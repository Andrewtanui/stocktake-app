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All staff\Margaret\Stock Take Folder\September Count 2026\"/>
    </mc:Choice>
  </mc:AlternateContent>
  <xr:revisionPtr revIDLastSave="8" documentId="13_ncr:1_{FAEB1323-9E28-4F60-8D90-554AC20B86FB}" xr6:coauthVersionLast="47" xr6:coauthVersionMax="47" xr10:uidLastSave="{10611C26-756F-4439-93A9-D7CF2C547B4C}"/>
  <bookViews>
    <workbookView xWindow="-108" yWindow="-108" windowWidth="23256" windowHeight="13896" tabRatio="929" xr2:uid="{446D1441-5B84-4C54-B147-B38C01FB1633}"/>
  </bookViews>
  <sheets>
    <sheet name=" General Stock Summary View  " sheetId="156" r:id="rId1"/>
    <sheet name="PowerApp_Physical count" sheetId="155" r:id="rId2"/>
    <sheet name="SUB-PRODUCT" sheetId="157" r:id="rId3"/>
    <sheet name="XBS " sheetId="99" r:id="rId4"/>
    <sheet name="Blocked for Processing" sheetId="154" r:id="rId5"/>
  </sheets>
  <externalReferences>
    <externalReference r:id="rId6"/>
    <externalReference r:id="rId7"/>
    <externalReference r:id="rId8"/>
    <externalReference r:id="rId9"/>
  </externalReferences>
  <definedNames>
    <definedName name="__IntlFixup" hidden="1">TRUE</definedName>
    <definedName name="_AOC2">[0]!_AOC2</definedName>
    <definedName name="_DAT1">#REF!</definedName>
    <definedName name="_DAT10">[1]Sheet1!$I$2:$I$40</definedName>
    <definedName name="_DAT11">#REF!</definedName>
    <definedName name="_DAT12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[2]SAP!#REF!</definedName>
    <definedName name="_DAT9">[1]Sheet1!$H$2:$H$40</definedName>
    <definedName name="_Fill" hidden="1">#REF!</definedName>
    <definedName name="_xlnm._FilterDatabase" localSheetId="0" hidden="1">' General Stock Summary View  '!$B$3:$AG$537</definedName>
    <definedName name="_xlnm._FilterDatabase" localSheetId="4" hidden="1">'Blocked for Processing'!$A$1:$S$59</definedName>
    <definedName name="_xlnm._FilterDatabase" localSheetId="1" hidden="1">'PowerApp_Physical count'!$A$1:$AC$305</definedName>
    <definedName name="_xlnm._FilterDatabase" localSheetId="3" hidden="1">'XBS '!$A$1:$AE$485</definedName>
    <definedName name="_SHR1">#REF!</definedName>
    <definedName name="_SHR2">#REF!</definedName>
    <definedName name="_tax1">#REF!</definedName>
    <definedName name="_tax2">#REF!</definedName>
    <definedName name="_tax3">#REF!</definedName>
    <definedName name="_tax4">#REF!</definedName>
    <definedName name="Beg_Bal">#REF!</definedName>
    <definedName name="bhg">#REF!</definedName>
    <definedName name="boxes">#REF!</definedName>
    <definedName name="button_area_1">#REF!</definedName>
    <definedName name="CC">#REF!</definedName>
    <definedName name="CCT">#REF!</definedName>
    <definedName name="CDB">#REF!</definedName>
    <definedName name="celltips_area">#REF!</definedName>
    <definedName name="CS">#REF!</definedName>
    <definedName name="Data">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[3]Sheet3!$O$3:$O$3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_xlnm.Database">#REF!</definedName>
    <definedName name="DDDD">#REF!</definedName>
    <definedName name="Decsorted">#REF!</definedName>
    <definedName name="dflt1">#REF!</definedName>
    <definedName name="dflt2">#REF!</definedName>
    <definedName name="dflt3">#REF!</definedName>
    <definedName name="dflt4">#REF!</definedName>
    <definedName name="dflt5">#REF!</definedName>
    <definedName name="dflt6">#REF!</definedName>
    <definedName name="dflt7">#REF!</definedName>
    <definedName name="dfsb">#REF!</definedName>
    <definedName name="display_area_1">#REF!</definedName>
    <definedName name="display_area_2">#REF!</definedName>
    <definedName name="dsavfwef">[0]!dsavfwef</definedName>
    <definedName name="End_Bal">#REF!</definedName>
    <definedName name="Extra_Pay">#REF!</definedName>
    <definedName name="fff">#REF!</definedName>
    <definedName name="FHRASD">#REF!</definedName>
    <definedName name="Full_Print">#REF!</definedName>
    <definedName name="ggg">#REF!</definedName>
    <definedName name="GHSZDG">[0]!GHSZDG</definedName>
    <definedName name="GoAssetChart">[0]!GoAssetChart</definedName>
    <definedName name="GoBack">[0]!GoBack</definedName>
    <definedName name="GoBalanceSheet">[0]!GoBalanceSheet</definedName>
    <definedName name="GoCashFlow">[0]!GoCashFlow</definedName>
    <definedName name="GoData">[0]!GoData</definedName>
    <definedName name="GoIncomeChart">[0]!GoIncomeChart</definedName>
    <definedName name="Header_Row">ROW(#REF!)</definedName>
    <definedName name="Hidec">#REF!</definedName>
    <definedName name="IMPTD">#REF!</definedName>
    <definedName name="Int">#REF!</definedName>
    <definedName name="Interest_Rate">#REF!</definedName>
    <definedName name="Last_Row">IF(Values_Entered,Header_Row+Number_of_Payments,Header_Row)</definedName>
    <definedName name="Loan_Amount">#REF!</definedName>
    <definedName name="Loan_Start">#REF!</definedName>
    <definedName name="Loan_Years">#REF!</definedName>
    <definedName name="LOC">#REF!</definedName>
    <definedName name="LTR">#REF!</definedName>
    <definedName name="MULWA">'[4]WEEK 1'!$A$1:$F$57</definedName>
    <definedName name="NO">#REF!</definedName>
    <definedName name="NS">#REF!</definedName>
    <definedName name="Num_Pmt_Per_Year">#REF!</definedName>
    <definedName name="Number_of_Payments">MATCH(0.01,End_Bal,-1)+1</definedName>
    <definedName name="Pay_Date">#REF!</definedName>
    <definedName name="Pay_Num">#REF!</definedName>
    <definedName name="Payment_Date">DATE(YEAR(Loan_Start),MONTH(Loan_Start)+Payment_Number,DAY(Loan_Start))</definedName>
    <definedName name="Princ">#REF!</definedName>
    <definedName name="_xlnm.Print_Area">#REF!</definedName>
    <definedName name="Print_Area_Reset">OFFSET(Full_Print,0,0,Last_Row)</definedName>
    <definedName name="q">[0]!q</definedName>
    <definedName name="SAPCrosstab1">#REF!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DFGDFG">[0]!SDFGDFG</definedName>
    <definedName name="sgfs">#REF!</definedName>
    <definedName name="SS">#REF!</definedName>
    <definedName name="START">#REF!</definedName>
    <definedName name="TEST0">#REF!</definedName>
    <definedName name="TESTHKEY">#REF!</definedName>
    <definedName name="TESTKEYS">#REF!</definedName>
    <definedName name="TESTVKEY">#REF!</definedName>
    <definedName name="TOT">#REF!</definedName>
    <definedName name="Total_Interest">#REF!</definedName>
    <definedName name="Total_Pay">#REF!</definedName>
    <definedName name="Total_Payment">Scheduled_Payment+Extra_Payment</definedName>
    <definedName name="totl">Scheduled_Payment+Extra_Payment</definedName>
    <definedName name="Values_Entered">IF(Loan_Amount*Interest_Rate*Loan_Years*Loan_Start&gt;0,1,0)</definedName>
    <definedName name="vbvgf">#REF!</definedName>
    <definedName name="vital1">#REF!</definedName>
    <definedName name="vital2">#REF!</definedName>
    <definedName name="vital4">#REF!</definedName>
    <definedName name="vital5">#REF!</definedName>
    <definedName name="vital6">#REF!</definedName>
    <definedName name="vital8">#REF!</definedName>
    <definedName name="vital9">#REF!</definedName>
    <definedName name="wawf">[0]!wawf</definedName>
    <definedName name="wgea">[0]!wgea</definedName>
    <definedName name="XX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72" i="156" l="1"/>
  <c r="Q173" i="156"/>
  <c r="Q174" i="156"/>
  <c r="Q175" i="156"/>
  <c r="Q176" i="156"/>
  <c r="S172" i="156"/>
  <c r="S173" i="156"/>
  <c r="S174" i="156"/>
  <c r="S175" i="156"/>
  <c r="S176" i="156"/>
  <c r="T172" i="156"/>
  <c r="T173" i="156"/>
  <c r="T174" i="156"/>
  <c r="T175" i="156"/>
  <c r="T176" i="156"/>
  <c r="V172" i="156"/>
  <c r="V173" i="156"/>
  <c r="V174" i="156"/>
  <c r="V175" i="156"/>
  <c r="V176" i="156"/>
  <c r="W172" i="156"/>
  <c r="W173" i="156"/>
  <c r="W174" i="156"/>
  <c r="X174" i="156" s="1"/>
  <c r="W175" i="156"/>
  <c r="X175" i="156" s="1"/>
  <c r="W176" i="156"/>
  <c r="X172" i="156"/>
  <c r="Y172" i="156"/>
  <c r="Y173" i="156"/>
  <c r="Y174" i="156"/>
  <c r="Y175" i="156"/>
  <c r="Y176" i="156"/>
  <c r="Z172" i="156"/>
  <c r="Z173" i="156"/>
  <c r="Z174" i="156"/>
  <c r="AA174" i="156" s="1"/>
  <c r="Z175" i="156"/>
  <c r="Z176" i="156"/>
  <c r="AA172" i="156"/>
  <c r="AB172" i="156"/>
  <c r="AB173" i="156"/>
  <c r="AB174" i="156"/>
  <c r="AB175" i="156"/>
  <c r="AB176" i="156"/>
  <c r="AC172" i="156"/>
  <c r="AC173" i="156"/>
  <c r="AC174" i="156"/>
  <c r="AD174" i="156" s="1"/>
  <c r="AC175" i="156"/>
  <c r="AC176" i="156"/>
  <c r="AD176" i="156" s="1"/>
  <c r="AD172" i="156"/>
  <c r="N172" i="156"/>
  <c r="N173" i="156"/>
  <c r="N174" i="156"/>
  <c r="N175" i="156"/>
  <c r="N176" i="156"/>
  <c r="L172" i="156"/>
  <c r="L173" i="156"/>
  <c r="L174" i="156"/>
  <c r="L175" i="156"/>
  <c r="L176" i="156"/>
  <c r="E172" i="156"/>
  <c r="M172" i="156" s="1"/>
  <c r="O172" i="156" s="1"/>
  <c r="E173" i="156"/>
  <c r="M173" i="156" s="1"/>
  <c r="O173" i="156" s="1"/>
  <c r="E174" i="156"/>
  <c r="M174" i="156" s="1"/>
  <c r="O174" i="156" s="1"/>
  <c r="E175" i="156"/>
  <c r="M175" i="156" s="1"/>
  <c r="O175" i="156" s="1"/>
  <c r="E176" i="156"/>
  <c r="M176" i="156" s="1"/>
  <c r="O176" i="156" s="1"/>
  <c r="E177" i="156"/>
  <c r="G177" i="156"/>
  <c r="H177" i="156"/>
  <c r="I177" i="156" s="1"/>
  <c r="J177" i="156"/>
  <c r="K177" i="156"/>
  <c r="N177" i="156"/>
  <c r="Q177" i="156"/>
  <c r="S177" i="156"/>
  <c r="T177" i="156"/>
  <c r="U177" i="156" s="1"/>
  <c r="V177" i="156"/>
  <c r="W177" i="156"/>
  <c r="Y177" i="156"/>
  <c r="Z177" i="156"/>
  <c r="AB177" i="156"/>
  <c r="AC177" i="156"/>
  <c r="AE177" i="156"/>
  <c r="E178" i="156"/>
  <c r="G178" i="156"/>
  <c r="H178" i="156"/>
  <c r="I178" i="156" s="1"/>
  <c r="J178" i="156"/>
  <c r="K178" i="156"/>
  <c r="N178" i="156"/>
  <c r="Q178" i="156"/>
  <c r="S178" i="156"/>
  <c r="T178" i="156"/>
  <c r="U178" i="156" s="1"/>
  <c r="V178" i="156"/>
  <c r="W178" i="156"/>
  <c r="X178" i="156" s="1"/>
  <c r="Y178" i="156"/>
  <c r="Z178" i="156"/>
  <c r="AA178" i="156" s="1"/>
  <c r="AB178" i="156"/>
  <c r="AC178" i="156"/>
  <c r="E179" i="156"/>
  <c r="G179" i="156"/>
  <c r="H179" i="156"/>
  <c r="J179" i="156"/>
  <c r="K179" i="156"/>
  <c r="Q179" i="156"/>
  <c r="S179" i="156"/>
  <c r="T179" i="156"/>
  <c r="U179" i="156" s="1"/>
  <c r="V179" i="156"/>
  <c r="W179" i="156"/>
  <c r="X179" i="156" s="1"/>
  <c r="Y179" i="156"/>
  <c r="Z179" i="156"/>
  <c r="AB179" i="156"/>
  <c r="AC179" i="156"/>
  <c r="E180" i="156"/>
  <c r="G180" i="156"/>
  <c r="H180" i="156"/>
  <c r="I180" i="156" s="1"/>
  <c r="J180" i="156"/>
  <c r="K180" i="156"/>
  <c r="Q180" i="156"/>
  <c r="S180" i="156"/>
  <c r="T180" i="156"/>
  <c r="U180" i="156" s="1"/>
  <c r="V180" i="156"/>
  <c r="W180" i="156"/>
  <c r="X180" i="156" s="1"/>
  <c r="Y180" i="156"/>
  <c r="Z180" i="156"/>
  <c r="AA180" i="156" s="1"/>
  <c r="AB180" i="156"/>
  <c r="AC180" i="156"/>
  <c r="E181" i="156"/>
  <c r="G181" i="156"/>
  <c r="H181" i="156"/>
  <c r="I181" i="156" s="1"/>
  <c r="J181" i="156"/>
  <c r="M181" i="156" s="1"/>
  <c r="K181" i="156"/>
  <c r="Q181" i="156"/>
  <c r="S181" i="156"/>
  <c r="T181" i="156"/>
  <c r="U181" i="156" s="1"/>
  <c r="V181" i="156"/>
  <c r="W181" i="156"/>
  <c r="X181" i="156" s="1"/>
  <c r="Y181" i="156"/>
  <c r="Z181" i="156"/>
  <c r="AA181" i="156" s="1"/>
  <c r="AB181" i="156"/>
  <c r="AC181" i="156"/>
  <c r="E182" i="156"/>
  <c r="G182" i="156"/>
  <c r="H182" i="156"/>
  <c r="J182" i="156"/>
  <c r="K182" i="156"/>
  <c r="Q182" i="156"/>
  <c r="S182" i="156"/>
  <c r="T182" i="156"/>
  <c r="U182" i="156" s="1"/>
  <c r="V182" i="156"/>
  <c r="W182" i="156"/>
  <c r="X182" i="156" s="1"/>
  <c r="Y182" i="156"/>
  <c r="Z182" i="156"/>
  <c r="AB182" i="156"/>
  <c r="AC182" i="156"/>
  <c r="E183" i="156"/>
  <c r="G183" i="156"/>
  <c r="H183" i="156"/>
  <c r="I183" i="156" s="1"/>
  <c r="J183" i="156"/>
  <c r="M183" i="156" s="1"/>
  <c r="K183" i="156"/>
  <c r="Q183" i="156"/>
  <c r="S183" i="156"/>
  <c r="T183" i="156"/>
  <c r="U183" i="156" s="1"/>
  <c r="V183" i="156"/>
  <c r="W183" i="156"/>
  <c r="X183" i="156" s="1"/>
  <c r="Y183" i="156"/>
  <c r="Z183" i="156"/>
  <c r="AA183" i="156" s="1"/>
  <c r="AB183" i="156"/>
  <c r="AC183" i="156"/>
  <c r="E184" i="156"/>
  <c r="G184" i="156"/>
  <c r="H184" i="156"/>
  <c r="I184" i="156" s="1"/>
  <c r="J184" i="156"/>
  <c r="M184" i="156" s="1"/>
  <c r="K184" i="156"/>
  <c r="Q184" i="156"/>
  <c r="S184" i="156"/>
  <c r="T184" i="156"/>
  <c r="U184" i="156" s="1"/>
  <c r="V184" i="156"/>
  <c r="W184" i="156"/>
  <c r="X184" i="156" s="1"/>
  <c r="Y184" i="156"/>
  <c r="Z184" i="156"/>
  <c r="AA184" i="156" s="1"/>
  <c r="AB184" i="156"/>
  <c r="AC184" i="156"/>
  <c r="E185" i="156"/>
  <c r="G185" i="156"/>
  <c r="H185" i="156"/>
  <c r="I185" i="156" s="1"/>
  <c r="J185" i="156"/>
  <c r="M185" i="156" s="1"/>
  <c r="K185" i="156"/>
  <c r="Q185" i="156"/>
  <c r="S185" i="156"/>
  <c r="T185" i="156"/>
  <c r="U185" i="156" s="1"/>
  <c r="V185" i="156"/>
  <c r="W185" i="156"/>
  <c r="X185" i="156" s="1"/>
  <c r="Y185" i="156"/>
  <c r="Z185" i="156"/>
  <c r="AA185" i="156" s="1"/>
  <c r="AB185" i="156"/>
  <c r="AC185" i="156"/>
  <c r="AC150" i="156"/>
  <c r="AB150" i="156"/>
  <c r="Z150" i="156"/>
  <c r="Y150" i="156"/>
  <c r="W150" i="156"/>
  <c r="V150" i="156"/>
  <c r="T150" i="156"/>
  <c r="S150" i="156"/>
  <c r="Q150" i="156"/>
  <c r="P150" i="156"/>
  <c r="K150" i="156"/>
  <c r="J150" i="156"/>
  <c r="H150" i="156"/>
  <c r="E150" i="156"/>
  <c r="E151" i="156"/>
  <c r="E152" i="156"/>
  <c r="E153" i="156"/>
  <c r="C75" i="157"/>
  <c r="D66" i="157"/>
  <c r="D62" i="157"/>
  <c r="D63" i="157"/>
  <c r="D64" i="157"/>
  <c r="D65" i="157"/>
  <c r="D50" i="157"/>
  <c r="D51" i="157"/>
  <c r="D52" i="157"/>
  <c r="D53" i="157"/>
  <c r="D54" i="157"/>
  <c r="D55" i="157"/>
  <c r="D56" i="157"/>
  <c r="D57" i="157"/>
  <c r="D58" i="157"/>
  <c r="D59" i="157"/>
  <c r="D60" i="157"/>
  <c r="D61" i="157"/>
  <c r="D49" i="157"/>
  <c r="D48" i="157"/>
  <c r="D47" i="157"/>
  <c r="AC522" i="156"/>
  <c r="AC523" i="156"/>
  <c r="AC524" i="156"/>
  <c r="AC525" i="156"/>
  <c r="AC526" i="156"/>
  <c r="AC527" i="156"/>
  <c r="AC528" i="156"/>
  <c r="AC529" i="156"/>
  <c r="AC530" i="156"/>
  <c r="AC531" i="156"/>
  <c r="AC532" i="156"/>
  <c r="AC533" i="156"/>
  <c r="AC534" i="156"/>
  <c r="AB522" i="156"/>
  <c r="AB523" i="156"/>
  <c r="AB524" i="156"/>
  <c r="AB525" i="156"/>
  <c r="AB526" i="156"/>
  <c r="AB527" i="156"/>
  <c r="AB528" i="156"/>
  <c r="AB529" i="156"/>
  <c r="AB530" i="156"/>
  <c r="AB531" i="156"/>
  <c r="AB532" i="156"/>
  <c r="AB533" i="156"/>
  <c r="AB534" i="156"/>
  <c r="Z522" i="156"/>
  <c r="Z523" i="156"/>
  <c r="Z524" i="156"/>
  <c r="Z525" i="156"/>
  <c r="Z526" i="156"/>
  <c r="Z527" i="156"/>
  <c r="Z528" i="156"/>
  <c r="Z529" i="156"/>
  <c r="Z530" i="156"/>
  <c r="Z531" i="156"/>
  <c r="Z532" i="156"/>
  <c r="Z533" i="156"/>
  <c r="Z534" i="156"/>
  <c r="Y522" i="156"/>
  <c r="Y523" i="156"/>
  <c r="Y524" i="156"/>
  <c r="Y525" i="156"/>
  <c r="Y526" i="156"/>
  <c r="Y527" i="156"/>
  <c r="Y528" i="156"/>
  <c r="Y529" i="156"/>
  <c r="Y530" i="156"/>
  <c r="Y531" i="156"/>
  <c r="Y532" i="156"/>
  <c r="Y533" i="156"/>
  <c r="Y534" i="156"/>
  <c r="W522" i="156"/>
  <c r="W523" i="156"/>
  <c r="W524" i="156"/>
  <c r="W525" i="156"/>
  <c r="W526" i="156"/>
  <c r="W527" i="156"/>
  <c r="W528" i="156"/>
  <c r="W529" i="156"/>
  <c r="W530" i="156"/>
  <c r="W531" i="156"/>
  <c r="W532" i="156"/>
  <c r="W533" i="156"/>
  <c r="W534" i="156"/>
  <c r="V522" i="156"/>
  <c r="V523" i="156"/>
  <c r="V524" i="156"/>
  <c r="V525" i="156"/>
  <c r="V526" i="156"/>
  <c r="V527" i="156"/>
  <c r="V528" i="156"/>
  <c r="V529" i="156"/>
  <c r="V530" i="156"/>
  <c r="V531" i="156"/>
  <c r="V532" i="156"/>
  <c r="V533" i="156"/>
  <c r="V534" i="156"/>
  <c r="T522" i="156"/>
  <c r="T523" i="156"/>
  <c r="T524" i="156"/>
  <c r="T525" i="156"/>
  <c r="T526" i="156"/>
  <c r="T527" i="156"/>
  <c r="T528" i="156"/>
  <c r="T529" i="156"/>
  <c r="T530" i="156"/>
  <c r="T531" i="156"/>
  <c r="T532" i="156"/>
  <c r="T533" i="156"/>
  <c r="T534" i="156"/>
  <c r="S522" i="156"/>
  <c r="S523" i="156"/>
  <c r="S524" i="156"/>
  <c r="S525" i="156"/>
  <c r="S526" i="156"/>
  <c r="S527" i="156"/>
  <c r="S528" i="156"/>
  <c r="S529" i="156"/>
  <c r="S530" i="156"/>
  <c r="S531" i="156"/>
  <c r="S532" i="156"/>
  <c r="S533" i="156"/>
  <c r="S534" i="156"/>
  <c r="Q522" i="156"/>
  <c r="Q523" i="156"/>
  <c r="Q524" i="156"/>
  <c r="Q525" i="156"/>
  <c r="Q526" i="156"/>
  <c r="Q527" i="156"/>
  <c r="Q528" i="156"/>
  <c r="Q529" i="156"/>
  <c r="Q530" i="156"/>
  <c r="Q531" i="156"/>
  <c r="Q532" i="156"/>
  <c r="Q533" i="156"/>
  <c r="Q534" i="156"/>
  <c r="P522" i="156"/>
  <c r="P523" i="156"/>
  <c r="P524" i="156"/>
  <c r="P525" i="156"/>
  <c r="P526" i="156"/>
  <c r="P527" i="156"/>
  <c r="P528" i="156"/>
  <c r="P529" i="156"/>
  <c r="P530" i="156"/>
  <c r="P531" i="156"/>
  <c r="P532" i="156"/>
  <c r="P533" i="156"/>
  <c r="P534" i="156"/>
  <c r="K522" i="156"/>
  <c r="K523" i="156"/>
  <c r="K524" i="156"/>
  <c r="K525" i="156"/>
  <c r="K526" i="156"/>
  <c r="K527" i="156"/>
  <c r="K528" i="156"/>
  <c r="K529" i="156"/>
  <c r="K530" i="156"/>
  <c r="K531" i="156"/>
  <c r="K532" i="156"/>
  <c r="K533" i="156"/>
  <c r="K534" i="156"/>
  <c r="J522" i="156"/>
  <c r="J523" i="156"/>
  <c r="J524" i="156"/>
  <c r="J525" i="156"/>
  <c r="J526" i="156"/>
  <c r="J527" i="156"/>
  <c r="J528" i="156"/>
  <c r="J529" i="156"/>
  <c r="J530" i="156"/>
  <c r="J531" i="156"/>
  <c r="J532" i="156"/>
  <c r="J533" i="156"/>
  <c r="J534" i="156"/>
  <c r="H522" i="156"/>
  <c r="H523" i="156"/>
  <c r="H524" i="156"/>
  <c r="H525" i="156"/>
  <c r="H526" i="156"/>
  <c r="H527" i="156"/>
  <c r="H528" i="156"/>
  <c r="H529" i="156"/>
  <c r="H530" i="156"/>
  <c r="H531" i="156"/>
  <c r="H532" i="156"/>
  <c r="H533" i="156"/>
  <c r="H534" i="156"/>
  <c r="G522" i="156"/>
  <c r="G523" i="156"/>
  <c r="G524" i="156"/>
  <c r="G525" i="156"/>
  <c r="G526" i="156"/>
  <c r="G527" i="156"/>
  <c r="G528" i="156"/>
  <c r="G529" i="156"/>
  <c r="G530" i="156"/>
  <c r="G531" i="156"/>
  <c r="G532" i="156"/>
  <c r="G533" i="156"/>
  <c r="G534" i="156"/>
  <c r="E522" i="156"/>
  <c r="E523" i="156"/>
  <c r="E524" i="156"/>
  <c r="E525" i="156"/>
  <c r="E526" i="156"/>
  <c r="E527" i="156"/>
  <c r="E528" i="156"/>
  <c r="E529" i="156"/>
  <c r="E530" i="156"/>
  <c r="E531" i="156"/>
  <c r="E532" i="156"/>
  <c r="E533" i="156"/>
  <c r="E534" i="156"/>
  <c r="D522" i="156"/>
  <c r="D523" i="156"/>
  <c r="D524" i="156"/>
  <c r="D525" i="156"/>
  <c r="D526" i="156"/>
  <c r="D527" i="156"/>
  <c r="D528" i="156"/>
  <c r="D529" i="156"/>
  <c r="D530" i="156"/>
  <c r="D531" i="156"/>
  <c r="D532" i="156"/>
  <c r="D533" i="156"/>
  <c r="D534" i="156"/>
  <c r="AC480" i="156"/>
  <c r="AC481" i="156"/>
  <c r="AC482" i="156"/>
  <c r="AC483" i="156"/>
  <c r="AC484" i="156"/>
  <c r="AC485" i="156"/>
  <c r="AC486" i="156"/>
  <c r="AC487" i="156"/>
  <c r="AC488" i="156"/>
  <c r="AC489" i="156"/>
  <c r="AC490" i="156"/>
  <c r="AC491" i="156"/>
  <c r="AC492" i="156"/>
  <c r="AC493" i="156"/>
  <c r="AC494" i="156"/>
  <c r="AC495" i="156"/>
  <c r="AC496" i="156"/>
  <c r="AC497" i="156"/>
  <c r="AC498" i="156"/>
  <c r="AC499" i="156"/>
  <c r="AC500" i="156"/>
  <c r="AC501" i="156"/>
  <c r="AC502" i="156"/>
  <c r="AC503" i="156"/>
  <c r="AC504" i="156"/>
  <c r="AC505" i="156"/>
  <c r="AC506" i="156"/>
  <c r="AC507" i="156"/>
  <c r="AC508" i="156"/>
  <c r="AC509" i="156"/>
  <c r="AC510" i="156"/>
  <c r="AC511" i="156"/>
  <c r="AC512" i="156"/>
  <c r="AC513" i="156"/>
  <c r="AC514" i="156"/>
  <c r="AC515" i="156"/>
  <c r="AC516" i="156"/>
  <c r="AC517" i="156"/>
  <c r="AC518" i="156"/>
  <c r="AC519" i="156"/>
  <c r="AC520" i="156"/>
  <c r="AC521" i="156"/>
  <c r="AB480" i="156"/>
  <c r="AB481" i="156"/>
  <c r="AB482" i="156"/>
  <c r="AB483" i="156"/>
  <c r="AB484" i="156"/>
  <c r="AB485" i="156"/>
  <c r="AB486" i="156"/>
  <c r="AB487" i="156"/>
  <c r="AB488" i="156"/>
  <c r="AB489" i="156"/>
  <c r="AB490" i="156"/>
  <c r="AB491" i="156"/>
  <c r="AB492" i="156"/>
  <c r="AB493" i="156"/>
  <c r="AB494" i="156"/>
  <c r="AB495" i="156"/>
  <c r="AB496" i="156"/>
  <c r="AB497" i="156"/>
  <c r="AB498" i="156"/>
  <c r="AB499" i="156"/>
  <c r="AB500" i="156"/>
  <c r="AB501" i="156"/>
  <c r="AB502" i="156"/>
  <c r="AB503" i="156"/>
  <c r="AB504" i="156"/>
  <c r="AB505" i="156"/>
  <c r="AB506" i="156"/>
  <c r="AB507" i="156"/>
  <c r="AB508" i="156"/>
  <c r="AB509" i="156"/>
  <c r="AB510" i="156"/>
  <c r="AB511" i="156"/>
  <c r="AB512" i="156"/>
  <c r="AB513" i="156"/>
  <c r="AB514" i="156"/>
  <c r="AB515" i="156"/>
  <c r="AB516" i="156"/>
  <c r="AB517" i="156"/>
  <c r="AB518" i="156"/>
  <c r="AB519" i="156"/>
  <c r="AB520" i="156"/>
  <c r="AB521" i="156"/>
  <c r="Z480" i="156"/>
  <c r="Z481" i="156"/>
  <c r="Z482" i="156"/>
  <c r="Z483" i="156"/>
  <c r="Z484" i="156"/>
  <c r="Z485" i="156"/>
  <c r="Z486" i="156"/>
  <c r="Z487" i="156"/>
  <c r="Z488" i="156"/>
  <c r="Z489" i="156"/>
  <c r="Z490" i="156"/>
  <c r="Z491" i="156"/>
  <c r="Z492" i="156"/>
  <c r="Z493" i="156"/>
  <c r="Z494" i="156"/>
  <c r="Z495" i="156"/>
  <c r="Z496" i="156"/>
  <c r="Z497" i="156"/>
  <c r="Z498" i="156"/>
  <c r="Z499" i="156"/>
  <c r="Z500" i="156"/>
  <c r="Z501" i="156"/>
  <c r="Z502" i="156"/>
  <c r="Z503" i="156"/>
  <c r="Z504" i="156"/>
  <c r="Z505" i="156"/>
  <c r="Z506" i="156"/>
  <c r="Z507" i="156"/>
  <c r="Z508" i="156"/>
  <c r="Z509" i="156"/>
  <c r="Z510" i="156"/>
  <c r="Z511" i="156"/>
  <c r="Z512" i="156"/>
  <c r="Z513" i="156"/>
  <c r="Z514" i="156"/>
  <c r="Z515" i="156"/>
  <c r="Z516" i="156"/>
  <c r="Z517" i="156"/>
  <c r="Z518" i="156"/>
  <c r="Z519" i="156"/>
  <c r="Z520" i="156"/>
  <c r="Z521" i="156"/>
  <c r="Y480" i="156"/>
  <c r="Y481" i="156"/>
  <c r="Y482" i="156"/>
  <c r="Y483" i="156"/>
  <c r="Y484" i="156"/>
  <c r="Y485" i="156"/>
  <c r="Y486" i="156"/>
  <c r="Y487" i="156"/>
  <c r="Y488" i="156"/>
  <c r="Y489" i="156"/>
  <c r="Y490" i="156"/>
  <c r="Y491" i="156"/>
  <c r="Y492" i="156"/>
  <c r="Y493" i="156"/>
  <c r="Y494" i="156"/>
  <c r="Y495" i="156"/>
  <c r="Y496" i="156"/>
  <c r="Y497" i="156"/>
  <c r="Y498" i="156"/>
  <c r="Y499" i="156"/>
  <c r="Y500" i="156"/>
  <c r="Y501" i="156"/>
  <c r="Y502" i="156"/>
  <c r="Y503" i="156"/>
  <c r="Y504" i="156"/>
  <c r="Y505" i="156"/>
  <c r="Y506" i="156"/>
  <c r="Y507" i="156"/>
  <c r="Y508" i="156"/>
  <c r="Y509" i="156"/>
  <c r="Y510" i="156"/>
  <c r="Y511" i="156"/>
  <c r="Y512" i="156"/>
  <c r="Y513" i="156"/>
  <c r="Y514" i="156"/>
  <c r="Y515" i="156"/>
  <c r="Y516" i="156"/>
  <c r="Y517" i="156"/>
  <c r="Y518" i="156"/>
  <c r="Y519" i="156"/>
  <c r="Y520" i="156"/>
  <c r="Y521" i="156"/>
  <c r="W480" i="156"/>
  <c r="W481" i="156"/>
  <c r="W482" i="156"/>
  <c r="W483" i="156"/>
  <c r="W484" i="156"/>
  <c r="W485" i="156"/>
  <c r="W486" i="156"/>
  <c r="W487" i="156"/>
  <c r="W488" i="156"/>
  <c r="W489" i="156"/>
  <c r="W490" i="156"/>
  <c r="W491" i="156"/>
  <c r="W492" i="156"/>
  <c r="W493" i="156"/>
  <c r="W494" i="156"/>
  <c r="W495" i="156"/>
  <c r="W496" i="156"/>
  <c r="W497" i="156"/>
  <c r="W498" i="156"/>
  <c r="W499" i="156"/>
  <c r="W500" i="156"/>
  <c r="W501" i="156"/>
  <c r="W502" i="156"/>
  <c r="W503" i="156"/>
  <c r="W504" i="156"/>
  <c r="W505" i="156"/>
  <c r="W506" i="156"/>
  <c r="W507" i="156"/>
  <c r="W508" i="156"/>
  <c r="W509" i="156"/>
  <c r="W510" i="156"/>
  <c r="W511" i="156"/>
  <c r="W512" i="156"/>
  <c r="W513" i="156"/>
  <c r="W514" i="156"/>
  <c r="W515" i="156"/>
  <c r="W516" i="156"/>
  <c r="W517" i="156"/>
  <c r="W518" i="156"/>
  <c r="W519" i="156"/>
  <c r="W520" i="156"/>
  <c r="W521" i="156"/>
  <c r="V480" i="156"/>
  <c r="V481" i="156"/>
  <c r="V482" i="156"/>
  <c r="V483" i="156"/>
  <c r="V484" i="156"/>
  <c r="V485" i="156"/>
  <c r="V486" i="156"/>
  <c r="V487" i="156"/>
  <c r="V488" i="156"/>
  <c r="V489" i="156"/>
  <c r="V490" i="156"/>
  <c r="V491" i="156"/>
  <c r="V492" i="156"/>
  <c r="V493" i="156"/>
  <c r="V494" i="156"/>
  <c r="V495" i="156"/>
  <c r="V496" i="156"/>
  <c r="V497" i="156"/>
  <c r="V498" i="156"/>
  <c r="V499" i="156"/>
  <c r="V500" i="156"/>
  <c r="V501" i="156"/>
  <c r="V502" i="156"/>
  <c r="V503" i="156"/>
  <c r="V504" i="156"/>
  <c r="V505" i="156"/>
  <c r="V506" i="156"/>
  <c r="V507" i="156"/>
  <c r="V508" i="156"/>
  <c r="V509" i="156"/>
  <c r="V510" i="156"/>
  <c r="V511" i="156"/>
  <c r="V512" i="156"/>
  <c r="V513" i="156"/>
  <c r="V514" i="156"/>
  <c r="V515" i="156"/>
  <c r="V516" i="156"/>
  <c r="V517" i="156"/>
  <c r="V518" i="156"/>
  <c r="V519" i="156"/>
  <c r="V520" i="156"/>
  <c r="V521" i="156"/>
  <c r="T480" i="156"/>
  <c r="T481" i="156"/>
  <c r="T482" i="156"/>
  <c r="T483" i="156"/>
  <c r="T484" i="156"/>
  <c r="T485" i="156"/>
  <c r="T486" i="156"/>
  <c r="T487" i="156"/>
  <c r="T488" i="156"/>
  <c r="T489" i="156"/>
  <c r="T490" i="156"/>
  <c r="T491" i="156"/>
  <c r="T492" i="156"/>
  <c r="T493" i="156"/>
  <c r="T494" i="156"/>
  <c r="T495" i="156"/>
  <c r="T496" i="156"/>
  <c r="T497" i="156"/>
  <c r="T498" i="156"/>
  <c r="T499" i="156"/>
  <c r="T500" i="156"/>
  <c r="T501" i="156"/>
  <c r="T502" i="156"/>
  <c r="T503" i="156"/>
  <c r="T504" i="156"/>
  <c r="T505" i="156"/>
  <c r="T506" i="156"/>
  <c r="T507" i="156"/>
  <c r="T508" i="156"/>
  <c r="T509" i="156"/>
  <c r="T510" i="156"/>
  <c r="T511" i="156"/>
  <c r="T512" i="156"/>
  <c r="T513" i="156"/>
  <c r="T514" i="156"/>
  <c r="T515" i="156"/>
  <c r="T516" i="156"/>
  <c r="T517" i="156"/>
  <c r="T518" i="156"/>
  <c r="T519" i="156"/>
  <c r="T520" i="156"/>
  <c r="T521" i="156"/>
  <c r="S480" i="156"/>
  <c r="S481" i="156"/>
  <c r="S482" i="156"/>
  <c r="S483" i="156"/>
  <c r="S484" i="156"/>
  <c r="S485" i="156"/>
  <c r="S486" i="156"/>
  <c r="S487" i="156"/>
  <c r="S488" i="156"/>
  <c r="S489" i="156"/>
  <c r="S490" i="156"/>
  <c r="S491" i="156"/>
  <c r="S492" i="156"/>
  <c r="S493" i="156"/>
  <c r="S494" i="156"/>
  <c r="S495" i="156"/>
  <c r="S496" i="156"/>
  <c r="S497" i="156"/>
  <c r="S498" i="156"/>
  <c r="S499" i="156"/>
  <c r="S500" i="156"/>
  <c r="S501" i="156"/>
  <c r="S502" i="156"/>
  <c r="S503" i="156"/>
  <c r="S504" i="156"/>
  <c r="S505" i="156"/>
  <c r="S506" i="156"/>
  <c r="S507" i="156"/>
  <c r="S508" i="156"/>
  <c r="S509" i="156"/>
  <c r="S510" i="156"/>
  <c r="S511" i="156"/>
  <c r="S512" i="156"/>
  <c r="S513" i="156"/>
  <c r="S514" i="156"/>
  <c r="S515" i="156"/>
  <c r="S516" i="156"/>
  <c r="S517" i="156"/>
  <c r="S518" i="156"/>
  <c r="S519" i="156"/>
  <c r="S520" i="156"/>
  <c r="S521" i="156"/>
  <c r="Q480" i="156"/>
  <c r="Q481" i="156"/>
  <c r="Q482" i="156"/>
  <c r="Q483" i="156"/>
  <c r="Q484" i="156"/>
  <c r="Q485" i="156"/>
  <c r="Q486" i="156"/>
  <c r="Q487" i="156"/>
  <c r="Q488" i="156"/>
  <c r="Q489" i="156"/>
  <c r="Q490" i="156"/>
  <c r="Q491" i="156"/>
  <c r="Q492" i="156"/>
  <c r="Q493" i="156"/>
  <c r="Q494" i="156"/>
  <c r="Q495" i="156"/>
  <c r="Q496" i="156"/>
  <c r="Q497" i="156"/>
  <c r="Q498" i="156"/>
  <c r="Q499" i="156"/>
  <c r="Q500" i="156"/>
  <c r="Q501" i="156"/>
  <c r="Q502" i="156"/>
  <c r="Q503" i="156"/>
  <c r="Q504" i="156"/>
  <c r="Q505" i="156"/>
  <c r="Q506" i="156"/>
  <c r="Q507" i="156"/>
  <c r="Q508" i="156"/>
  <c r="Q509" i="156"/>
  <c r="Q510" i="156"/>
  <c r="Q511" i="156"/>
  <c r="Q512" i="156"/>
  <c r="Q513" i="156"/>
  <c r="Q514" i="156"/>
  <c r="Q515" i="156"/>
  <c r="Q516" i="156"/>
  <c r="Q517" i="156"/>
  <c r="Q518" i="156"/>
  <c r="Q519" i="156"/>
  <c r="Q520" i="156"/>
  <c r="Q521" i="156"/>
  <c r="P480" i="156"/>
  <c r="P481" i="156"/>
  <c r="P482" i="156"/>
  <c r="P483" i="156"/>
  <c r="P484" i="156"/>
  <c r="P485" i="156"/>
  <c r="P486" i="156"/>
  <c r="P487" i="156"/>
  <c r="P488" i="156"/>
  <c r="P489" i="156"/>
  <c r="P490" i="156"/>
  <c r="P491" i="156"/>
  <c r="P492" i="156"/>
  <c r="P493" i="156"/>
  <c r="P494" i="156"/>
  <c r="P495" i="156"/>
  <c r="P496" i="156"/>
  <c r="P497" i="156"/>
  <c r="P498" i="156"/>
  <c r="P499" i="156"/>
  <c r="P500" i="156"/>
  <c r="P501" i="156"/>
  <c r="P502" i="156"/>
  <c r="P503" i="156"/>
  <c r="P504" i="156"/>
  <c r="P505" i="156"/>
  <c r="P506" i="156"/>
  <c r="P507" i="156"/>
  <c r="P508" i="156"/>
  <c r="P509" i="156"/>
  <c r="P510" i="156"/>
  <c r="P511" i="156"/>
  <c r="P512" i="156"/>
  <c r="P513" i="156"/>
  <c r="P514" i="156"/>
  <c r="P515" i="156"/>
  <c r="P516" i="156"/>
  <c r="P517" i="156"/>
  <c r="P518" i="156"/>
  <c r="P519" i="156"/>
  <c r="P520" i="156"/>
  <c r="P521" i="156"/>
  <c r="K480" i="156"/>
  <c r="K481" i="156"/>
  <c r="K482" i="156"/>
  <c r="K483" i="156"/>
  <c r="K484" i="156"/>
  <c r="K485" i="156"/>
  <c r="K486" i="156"/>
  <c r="K487" i="156"/>
  <c r="K488" i="156"/>
  <c r="K489" i="156"/>
  <c r="K490" i="156"/>
  <c r="K491" i="156"/>
  <c r="K492" i="156"/>
  <c r="K493" i="156"/>
  <c r="K494" i="156"/>
  <c r="K495" i="156"/>
  <c r="K496" i="156"/>
  <c r="K497" i="156"/>
  <c r="K498" i="156"/>
  <c r="K499" i="156"/>
  <c r="K500" i="156"/>
  <c r="K501" i="156"/>
  <c r="K502" i="156"/>
  <c r="K503" i="156"/>
  <c r="K504" i="156"/>
  <c r="K505" i="156"/>
  <c r="K506" i="156"/>
  <c r="K507" i="156"/>
  <c r="K508" i="156"/>
  <c r="K509" i="156"/>
  <c r="K510" i="156"/>
  <c r="K511" i="156"/>
  <c r="K512" i="156"/>
  <c r="K513" i="156"/>
  <c r="K514" i="156"/>
  <c r="K515" i="156"/>
  <c r="K516" i="156"/>
  <c r="K517" i="156"/>
  <c r="K518" i="156"/>
  <c r="K519" i="156"/>
  <c r="K520" i="156"/>
  <c r="K521" i="156"/>
  <c r="J480" i="156"/>
  <c r="J481" i="156"/>
  <c r="J482" i="156"/>
  <c r="J483" i="156"/>
  <c r="J484" i="156"/>
  <c r="J485" i="156"/>
  <c r="J486" i="156"/>
  <c r="J487" i="156"/>
  <c r="J488" i="156"/>
  <c r="J489" i="156"/>
  <c r="J490" i="156"/>
  <c r="J491" i="156"/>
  <c r="J492" i="156"/>
  <c r="J493" i="156"/>
  <c r="J494" i="156"/>
  <c r="J495" i="156"/>
  <c r="J496" i="156"/>
  <c r="J497" i="156"/>
  <c r="J498" i="156"/>
  <c r="J499" i="156"/>
  <c r="J500" i="156"/>
  <c r="J501" i="156"/>
  <c r="J502" i="156"/>
  <c r="J503" i="156"/>
  <c r="J504" i="156"/>
  <c r="J505" i="156"/>
  <c r="J506" i="156"/>
  <c r="J507" i="156"/>
  <c r="J508" i="156"/>
  <c r="J509" i="156"/>
  <c r="J510" i="156"/>
  <c r="J511" i="156"/>
  <c r="J512" i="156"/>
  <c r="J513" i="156"/>
  <c r="J514" i="156"/>
  <c r="J515" i="156"/>
  <c r="J516" i="156"/>
  <c r="J517" i="156"/>
  <c r="J518" i="156"/>
  <c r="J519" i="156"/>
  <c r="J520" i="156"/>
  <c r="J521" i="156"/>
  <c r="H480" i="156"/>
  <c r="H481" i="156"/>
  <c r="H482" i="156"/>
  <c r="H483" i="156"/>
  <c r="H484" i="156"/>
  <c r="H485" i="156"/>
  <c r="H486" i="156"/>
  <c r="H487" i="156"/>
  <c r="H488" i="156"/>
  <c r="H489" i="156"/>
  <c r="H490" i="156"/>
  <c r="H491" i="156"/>
  <c r="H492" i="156"/>
  <c r="H493" i="156"/>
  <c r="H494" i="156"/>
  <c r="H495" i="156"/>
  <c r="H496" i="156"/>
  <c r="H497" i="156"/>
  <c r="H498" i="156"/>
  <c r="H499" i="156"/>
  <c r="H500" i="156"/>
  <c r="H501" i="156"/>
  <c r="H502" i="156"/>
  <c r="H503" i="156"/>
  <c r="H504" i="156"/>
  <c r="H505" i="156"/>
  <c r="H506" i="156"/>
  <c r="H507" i="156"/>
  <c r="H508" i="156"/>
  <c r="H509" i="156"/>
  <c r="H510" i="156"/>
  <c r="H511" i="156"/>
  <c r="H512" i="156"/>
  <c r="H513" i="156"/>
  <c r="H514" i="156"/>
  <c r="H515" i="156"/>
  <c r="H516" i="156"/>
  <c r="H517" i="156"/>
  <c r="H518" i="156"/>
  <c r="H519" i="156"/>
  <c r="H520" i="156"/>
  <c r="H521" i="156"/>
  <c r="G480" i="156"/>
  <c r="G481" i="156"/>
  <c r="G482" i="156"/>
  <c r="G483" i="156"/>
  <c r="G484" i="156"/>
  <c r="G485" i="156"/>
  <c r="G486" i="156"/>
  <c r="G487" i="156"/>
  <c r="G488" i="156"/>
  <c r="G489" i="156"/>
  <c r="G490" i="156"/>
  <c r="G491" i="156"/>
  <c r="G492" i="156"/>
  <c r="G493" i="156"/>
  <c r="G494" i="156"/>
  <c r="G495" i="156"/>
  <c r="G496" i="156"/>
  <c r="G497" i="156"/>
  <c r="G498" i="156"/>
  <c r="G499" i="156"/>
  <c r="G500" i="156"/>
  <c r="G501" i="156"/>
  <c r="G502" i="156"/>
  <c r="G503" i="156"/>
  <c r="G504" i="156"/>
  <c r="G505" i="156"/>
  <c r="G506" i="156"/>
  <c r="G507" i="156"/>
  <c r="G508" i="156"/>
  <c r="G509" i="156"/>
  <c r="G510" i="156"/>
  <c r="G511" i="156"/>
  <c r="G512" i="156"/>
  <c r="G513" i="156"/>
  <c r="G514" i="156"/>
  <c r="G515" i="156"/>
  <c r="G516" i="156"/>
  <c r="G517" i="156"/>
  <c r="G518" i="156"/>
  <c r="G519" i="156"/>
  <c r="G520" i="156"/>
  <c r="G521" i="156"/>
  <c r="E480" i="156"/>
  <c r="E481" i="156"/>
  <c r="E482" i="156"/>
  <c r="E483" i="156"/>
  <c r="E484" i="156"/>
  <c r="E485" i="156"/>
  <c r="E486" i="156"/>
  <c r="E487" i="156"/>
  <c r="E488" i="156"/>
  <c r="E489" i="156"/>
  <c r="E490" i="156"/>
  <c r="E491" i="156"/>
  <c r="E492" i="156"/>
  <c r="E493" i="156"/>
  <c r="E494" i="156"/>
  <c r="E495" i="156"/>
  <c r="E496" i="156"/>
  <c r="E497" i="156"/>
  <c r="E498" i="156"/>
  <c r="E499" i="156"/>
  <c r="E500" i="156"/>
  <c r="E501" i="156"/>
  <c r="E502" i="156"/>
  <c r="E503" i="156"/>
  <c r="E504" i="156"/>
  <c r="E505" i="156"/>
  <c r="E506" i="156"/>
  <c r="E507" i="156"/>
  <c r="E508" i="156"/>
  <c r="E509" i="156"/>
  <c r="E510" i="156"/>
  <c r="E511" i="156"/>
  <c r="E512" i="156"/>
  <c r="E513" i="156"/>
  <c r="E514" i="156"/>
  <c r="E515" i="156"/>
  <c r="E516" i="156"/>
  <c r="E517" i="156"/>
  <c r="E518" i="156"/>
  <c r="E519" i="156"/>
  <c r="E520" i="156"/>
  <c r="E521" i="156"/>
  <c r="D480" i="156"/>
  <c r="D481" i="156"/>
  <c r="D482" i="156"/>
  <c r="D483" i="156"/>
  <c r="D484" i="156"/>
  <c r="D485" i="156"/>
  <c r="D486" i="156"/>
  <c r="D487" i="156"/>
  <c r="D488" i="156"/>
  <c r="D489" i="156"/>
  <c r="D490" i="156"/>
  <c r="D491" i="156"/>
  <c r="D492" i="156"/>
  <c r="D493" i="156"/>
  <c r="D494" i="156"/>
  <c r="D495" i="156"/>
  <c r="D496" i="156"/>
  <c r="D497" i="156"/>
  <c r="D498" i="156"/>
  <c r="D499" i="156"/>
  <c r="D500" i="156"/>
  <c r="D501" i="156"/>
  <c r="D502" i="156"/>
  <c r="D503" i="156"/>
  <c r="D504" i="156"/>
  <c r="D505" i="156"/>
  <c r="D506" i="156"/>
  <c r="D507" i="156"/>
  <c r="D508" i="156"/>
  <c r="D509" i="156"/>
  <c r="D510" i="156"/>
  <c r="D511" i="156"/>
  <c r="F511" i="156" s="1"/>
  <c r="D512" i="156"/>
  <c r="D513" i="156"/>
  <c r="D514" i="156"/>
  <c r="F514" i="156" s="1"/>
  <c r="D515" i="156"/>
  <c r="D516" i="156"/>
  <c r="D517" i="156"/>
  <c r="F517" i="156" s="1"/>
  <c r="D518" i="156"/>
  <c r="D519" i="156"/>
  <c r="D520" i="156"/>
  <c r="D521" i="156"/>
  <c r="D46" i="157"/>
  <c r="D45" i="157"/>
  <c r="D44" i="157"/>
  <c r="T309" i="99"/>
  <c r="T310" i="99"/>
  <c r="T311" i="99"/>
  <c r="T312" i="99"/>
  <c r="G313" i="156" s="1"/>
  <c r="T313" i="99"/>
  <c r="G314" i="156" s="1"/>
  <c r="T314" i="99"/>
  <c r="G315" i="156" s="1"/>
  <c r="T315" i="99"/>
  <c r="G316" i="156" s="1"/>
  <c r="T316" i="99"/>
  <c r="G317" i="156" s="1"/>
  <c r="T317" i="99"/>
  <c r="G318" i="156" s="1"/>
  <c r="T318" i="99"/>
  <c r="G319" i="156" s="1"/>
  <c r="T319" i="99"/>
  <c r="G320" i="156" s="1"/>
  <c r="T320" i="99"/>
  <c r="G321" i="156" s="1"/>
  <c r="T321" i="99"/>
  <c r="G322" i="156" s="1"/>
  <c r="T308" i="99"/>
  <c r="T3" i="99"/>
  <c r="T4" i="99"/>
  <c r="T5" i="99"/>
  <c r="T6" i="99"/>
  <c r="P8" i="156" s="1"/>
  <c r="T7" i="99"/>
  <c r="P9" i="156" s="1"/>
  <c r="T8" i="99"/>
  <c r="P10" i="156" s="1"/>
  <c r="T9" i="99"/>
  <c r="T10" i="99"/>
  <c r="T11" i="99"/>
  <c r="T12" i="99"/>
  <c r="T13" i="99"/>
  <c r="T14" i="99"/>
  <c r="T15" i="99"/>
  <c r="T16" i="99"/>
  <c r="T17" i="99"/>
  <c r="G19" i="156" s="1"/>
  <c r="T18" i="99"/>
  <c r="G20" i="156" s="1"/>
  <c r="T19" i="99"/>
  <c r="T20" i="99"/>
  <c r="T21" i="99"/>
  <c r="T22" i="99"/>
  <c r="T23" i="99"/>
  <c r="T24" i="99"/>
  <c r="T25" i="99"/>
  <c r="T26" i="99"/>
  <c r="T27" i="99"/>
  <c r="T28" i="99"/>
  <c r="T29" i="99"/>
  <c r="T30" i="99"/>
  <c r="T31" i="99"/>
  <c r="T32" i="99"/>
  <c r="T33" i="99"/>
  <c r="T34" i="99"/>
  <c r="T35" i="99"/>
  <c r="T36" i="99"/>
  <c r="T37" i="99"/>
  <c r="T38" i="99"/>
  <c r="T39" i="99"/>
  <c r="T40" i="99"/>
  <c r="T41" i="99"/>
  <c r="T42" i="99"/>
  <c r="T43" i="99"/>
  <c r="T44" i="99"/>
  <c r="T45" i="99"/>
  <c r="T46" i="99"/>
  <c r="T47" i="99"/>
  <c r="T48" i="99"/>
  <c r="T49" i="99"/>
  <c r="T50" i="99"/>
  <c r="T51" i="99"/>
  <c r="T52" i="99"/>
  <c r="T53" i="99"/>
  <c r="T54" i="99"/>
  <c r="T55" i="99"/>
  <c r="T56" i="99"/>
  <c r="T57" i="99"/>
  <c r="T58" i="99"/>
  <c r="T59" i="99"/>
  <c r="T60" i="99"/>
  <c r="T61" i="99"/>
  <c r="T62" i="99"/>
  <c r="T63" i="99"/>
  <c r="T64" i="99"/>
  <c r="T65" i="99"/>
  <c r="T66" i="99"/>
  <c r="T67" i="99"/>
  <c r="T68" i="99"/>
  <c r="T69" i="99"/>
  <c r="T70" i="99"/>
  <c r="T71" i="99"/>
  <c r="T72" i="99"/>
  <c r="T73" i="99"/>
  <c r="T74" i="99"/>
  <c r="T75" i="99"/>
  <c r="T76" i="99"/>
  <c r="T77" i="99"/>
  <c r="T78" i="99"/>
  <c r="T79" i="99"/>
  <c r="T80" i="99"/>
  <c r="T81" i="99"/>
  <c r="T82" i="99"/>
  <c r="T83" i="99"/>
  <c r="T84" i="99"/>
  <c r="T85" i="99"/>
  <c r="T86" i="99"/>
  <c r="T87" i="99"/>
  <c r="T88" i="99"/>
  <c r="T89" i="99"/>
  <c r="T90" i="99"/>
  <c r="T91" i="99"/>
  <c r="T92" i="99"/>
  <c r="T93" i="99"/>
  <c r="T94" i="99"/>
  <c r="T95" i="99"/>
  <c r="T96" i="99"/>
  <c r="T97" i="99"/>
  <c r="T98" i="99"/>
  <c r="T99" i="99"/>
  <c r="T100" i="99"/>
  <c r="T101" i="99"/>
  <c r="T102" i="99"/>
  <c r="T103" i="99"/>
  <c r="T104" i="99"/>
  <c r="T105" i="99"/>
  <c r="T106" i="99"/>
  <c r="T107" i="99"/>
  <c r="T108" i="99"/>
  <c r="T109" i="99"/>
  <c r="T110" i="99"/>
  <c r="T111" i="99"/>
  <c r="T112" i="99"/>
  <c r="T113" i="99"/>
  <c r="T114" i="99"/>
  <c r="T115" i="99"/>
  <c r="T116" i="99"/>
  <c r="T117" i="99"/>
  <c r="T118" i="99"/>
  <c r="G120" i="156" s="1"/>
  <c r="T119" i="99"/>
  <c r="G121" i="156" s="1"/>
  <c r="T120" i="99"/>
  <c r="G122" i="156" s="1"/>
  <c r="T121" i="99"/>
  <c r="G123" i="156" s="1"/>
  <c r="T122" i="99"/>
  <c r="G124" i="156" s="1"/>
  <c r="T123" i="99"/>
  <c r="T124" i="99"/>
  <c r="G126" i="156" s="1"/>
  <c r="T125" i="99"/>
  <c r="G127" i="156" s="1"/>
  <c r="T126" i="99"/>
  <c r="T127" i="99"/>
  <c r="T128" i="99"/>
  <c r="T129" i="99"/>
  <c r="T130" i="99"/>
  <c r="T131" i="99"/>
  <c r="G133" i="156" s="1"/>
  <c r="T132" i="99"/>
  <c r="G134" i="156" s="1"/>
  <c r="T133" i="99"/>
  <c r="G135" i="156" s="1"/>
  <c r="T134" i="99"/>
  <c r="G136" i="156" s="1"/>
  <c r="T135" i="99"/>
  <c r="G137" i="156" s="1"/>
  <c r="T136" i="99"/>
  <c r="G138" i="156" s="1"/>
  <c r="T137" i="99"/>
  <c r="G139" i="156" s="1"/>
  <c r="T138" i="99"/>
  <c r="G140" i="156" s="1"/>
  <c r="T139" i="99"/>
  <c r="G141" i="156" s="1"/>
  <c r="T140" i="99"/>
  <c r="G142" i="156" s="1"/>
  <c r="T141" i="99"/>
  <c r="T142" i="99"/>
  <c r="T143" i="99"/>
  <c r="T144" i="99"/>
  <c r="T145" i="99"/>
  <c r="T146" i="99"/>
  <c r="T147" i="99"/>
  <c r="G149" i="156" s="1"/>
  <c r="T148" i="99"/>
  <c r="T149" i="99"/>
  <c r="T150" i="99"/>
  <c r="D153" i="156" s="1"/>
  <c r="T151" i="99"/>
  <c r="T152" i="99"/>
  <c r="T153" i="99"/>
  <c r="G156" i="156" s="1"/>
  <c r="T154" i="99"/>
  <c r="G157" i="156" s="1"/>
  <c r="T155" i="99"/>
  <c r="T156" i="99"/>
  <c r="G159" i="156" s="1"/>
  <c r="T157" i="99"/>
  <c r="G160" i="156" s="1"/>
  <c r="T158" i="99"/>
  <c r="G161" i="156" s="1"/>
  <c r="T159" i="99"/>
  <c r="G162" i="156" s="1"/>
  <c r="T160" i="99"/>
  <c r="G163" i="156" s="1"/>
  <c r="T161" i="99"/>
  <c r="T162" i="99"/>
  <c r="T163" i="99"/>
  <c r="T164" i="99"/>
  <c r="T165" i="99"/>
  <c r="T166" i="99"/>
  <c r="T167" i="99"/>
  <c r="T168" i="99"/>
  <c r="T169" i="99"/>
  <c r="T170" i="99"/>
  <c r="T171" i="99"/>
  <c r="T172" i="99"/>
  <c r="T173" i="99"/>
  <c r="T174" i="99"/>
  <c r="T175" i="99"/>
  <c r="T176" i="99"/>
  <c r="T177" i="99"/>
  <c r="T178" i="99"/>
  <c r="T179" i="99"/>
  <c r="T180" i="99"/>
  <c r="T181" i="99"/>
  <c r="T182" i="99"/>
  <c r="T183" i="99"/>
  <c r="T184" i="99"/>
  <c r="T185" i="99"/>
  <c r="T186" i="99"/>
  <c r="T187" i="99"/>
  <c r="T188" i="99"/>
  <c r="T189" i="99"/>
  <c r="T190" i="99"/>
  <c r="T191" i="99"/>
  <c r="T192" i="99"/>
  <c r="T193" i="99"/>
  <c r="T194" i="99"/>
  <c r="T195" i="99"/>
  <c r="AB203" i="156" s="1"/>
  <c r="T196" i="99"/>
  <c r="AB204" i="156" s="1"/>
  <c r="T197" i="99"/>
  <c r="AB205" i="156" s="1"/>
  <c r="T198" i="99"/>
  <c r="Y206" i="156" s="1"/>
  <c r="T199" i="99"/>
  <c r="S207" i="156" s="1"/>
  <c r="T200" i="99"/>
  <c r="S208" i="156" s="1"/>
  <c r="T201" i="99"/>
  <c r="S209" i="156" s="1"/>
  <c r="T202" i="99"/>
  <c r="S210" i="156" s="1"/>
  <c r="T203" i="99"/>
  <c r="T204" i="99"/>
  <c r="T205" i="99"/>
  <c r="T206" i="99"/>
  <c r="T207" i="99"/>
  <c r="T208" i="99"/>
  <c r="P216" i="156" s="1"/>
  <c r="T209" i="99"/>
  <c r="P217" i="156" s="1"/>
  <c r="T210" i="99"/>
  <c r="P218" i="156" s="1"/>
  <c r="T211" i="99"/>
  <c r="P219" i="156" s="1"/>
  <c r="T212" i="99"/>
  <c r="P220" i="156" s="1"/>
  <c r="T213" i="99"/>
  <c r="P221" i="156" s="1"/>
  <c r="T214" i="99"/>
  <c r="AB222" i="156" s="1"/>
  <c r="T215" i="99"/>
  <c r="AB223" i="156" s="1"/>
  <c r="T216" i="99"/>
  <c r="Y224" i="156" s="1"/>
  <c r="T217" i="99"/>
  <c r="Y225" i="156" s="1"/>
  <c r="T218" i="99"/>
  <c r="V226" i="156" s="1"/>
  <c r="T219" i="99"/>
  <c r="V227" i="156" s="1"/>
  <c r="T220" i="99"/>
  <c r="V228" i="156" s="1"/>
  <c r="T221" i="99"/>
  <c r="V229" i="156" s="1"/>
  <c r="T222" i="99"/>
  <c r="V230" i="156" s="1"/>
  <c r="T223" i="99"/>
  <c r="V231" i="156" s="1"/>
  <c r="T224" i="99"/>
  <c r="T225" i="99"/>
  <c r="T226" i="99"/>
  <c r="T227" i="99"/>
  <c r="T228" i="99"/>
  <c r="T229" i="99"/>
  <c r="T230" i="99"/>
  <c r="T231" i="99"/>
  <c r="T232" i="99"/>
  <c r="T233" i="99"/>
  <c r="T234" i="99"/>
  <c r="T235" i="99"/>
  <c r="T236" i="99"/>
  <c r="T237" i="99"/>
  <c r="T238" i="99"/>
  <c r="T239" i="99"/>
  <c r="T240" i="99"/>
  <c r="T241" i="99"/>
  <c r="T242" i="99"/>
  <c r="T243" i="99"/>
  <c r="T244" i="99"/>
  <c r="T245" i="99"/>
  <c r="T246" i="99"/>
  <c r="T247" i="99"/>
  <c r="T248" i="99"/>
  <c r="T249" i="99"/>
  <c r="T250" i="99"/>
  <c r="T251" i="99"/>
  <c r="T252" i="99"/>
  <c r="T253" i="99"/>
  <c r="T254" i="99"/>
  <c r="T255" i="99"/>
  <c r="T256" i="99"/>
  <c r="T257" i="99"/>
  <c r="T258" i="99"/>
  <c r="T259" i="99"/>
  <c r="T260" i="99"/>
  <c r="T261" i="99"/>
  <c r="T262" i="99"/>
  <c r="T263" i="99"/>
  <c r="T264" i="99"/>
  <c r="T265" i="99"/>
  <c r="T266" i="99"/>
  <c r="T267" i="99"/>
  <c r="T268" i="99"/>
  <c r="T269" i="99"/>
  <c r="T270" i="99"/>
  <c r="T271" i="99"/>
  <c r="T272" i="99"/>
  <c r="T273" i="99"/>
  <c r="T274" i="99"/>
  <c r="T275" i="99"/>
  <c r="T276" i="99"/>
  <c r="T277" i="99"/>
  <c r="T278" i="99"/>
  <c r="T279" i="99"/>
  <c r="T280" i="99"/>
  <c r="T281" i="99"/>
  <c r="T282" i="99"/>
  <c r="T283" i="99"/>
  <c r="T284" i="99"/>
  <c r="T285" i="99"/>
  <c r="T286" i="99"/>
  <c r="T287" i="99"/>
  <c r="T288" i="99"/>
  <c r="T289" i="99"/>
  <c r="T290" i="99"/>
  <c r="T291" i="99"/>
  <c r="T292" i="99"/>
  <c r="T293" i="99"/>
  <c r="T294" i="99"/>
  <c r="T295" i="99"/>
  <c r="T296" i="99"/>
  <c r="T297" i="99"/>
  <c r="T298" i="99"/>
  <c r="T299" i="99"/>
  <c r="T300" i="99"/>
  <c r="T301" i="99"/>
  <c r="T302" i="99"/>
  <c r="T303" i="99"/>
  <c r="T304" i="99"/>
  <c r="T305" i="99"/>
  <c r="T306" i="99"/>
  <c r="T307" i="99"/>
  <c r="T322" i="99"/>
  <c r="T323" i="99"/>
  <c r="T324" i="99"/>
  <c r="T325" i="99"/>
  <c r="T326" i="99"/>
  <c r="T327" i="99"/>
  <c r="T328" i="99"/>
  <c r="T329" i="99"/>
  <c r="T330" i="99"/>
  <c r="T331" i="99"/>
  <c r="G332" i="156" s="1"/>
  <c r="T332" i="99"/>
  <c r="T333" i="99"/>
  <c r="G334" i="156" s="1"/>
  <c r="T334" i="99"/>
  <c r="T335" i="99"/>
  <c r="T336" i="99"/>
  <c r="T337" i="99"/>
  <c r="T338" i="99"/>
  <c r="T339" i="99"/>
  <c r="G338" i="156" s="1"/>
  <c r="T340" i="99"/>
  <c r="T341" i="99"/>
  <c r="T342" i="99"/>
  <c r="T343" i="99"/>
  <c r="G342" i="156" s="1"/>
  <c r="T344" i="99"/>
  <c r="G343" i="156" s="1"/>
  <c r="T345" i="99"/>
  <c r="T346" i="99"/>
  <c r="T347" i="99"/>
  <c r="T348" i="99"/>
  <c r="T349" i="99"/>
  <c r="T350" i="99"/>
  <c r="T351" i="99"/>
  <c r="T352" i="99"/>
  <c r="T353" i="99"/>
  <c r="T354" i="99"/>
  <c r="T355" i="99"/>
  <c r="T356" i="99"/>
  <c r="T357" i="99"/>
  <c r="T358" i="99"/>
  <c r="T359" i="99"/>
  <c r="T360" i="99"/>
  <c r="T361" i="99"/>
  <c r="T362" i="99"/>
  <c r="T363" i="99"/>
  <c r="T364" i="99"/>
  <c r="T365" i="99"/>
  <c r="P364" i="156" s="1"/>
  <c r="T366" i="99"/>
  <c r="G365" i="156" s="1"/>
  <c r="T367" i="99"/>
  <c r="G366" i="156" s="1"/>
  <c r="T368" i="99"/>
  <c r="G367" i="156" s="1"/>
  <c r="T369" i="99"/>
  <c r="AB368" i="156" s="1"/>
  <c r="T370" i="99"/>
  <c r="AB369" i="156" s="1"/>
  <c r="T371" i="99"/>
  <c r="AB370" i="156" s="1"/>
  <c r="T372" i="99"/>
  <c r="V371" i="156" s="1"/>
  <c r="T373" i="99"/>
  <c r="S372" i="156" s="1"/>
  <c r="T374" i="99"/>
  <c r="S373" i="156" s="1"/>
  <c r="T375" i="99"/>
  <c r="S374" i="156" s="1"/>
  <c r="T376" i="99"/>
  <c r="P375" i="156" s="1"/>
  <c r="T377" i="99"/>
  <c r="T378" i="99"/>
  <c r="P377" i="156" s="1"/>
  <c r="T379" i="99"/>
  <c r="P378" i="156" s="1"/>
  <c r="T380" i="99"/>
  <c r="T381" i="99"/>
  <c r="AB380" i="156" s="1"/>
  <c r="T382" i="99"/>
  <c r="AB381" i="156" s="1"/>
  <c r="T383" i="99"/>
  <c r="G382" i="156" s="1"/>
  <c r="T384" i="99"/>
  <c r="G383" i="156" s="1"/>
  <c r="T385" i="99"/>
  <c r="G384" i="156" s="1"/>
  <c r="T386" i="99"/>
  <c r="G385" i="156" s="1"/>
  <c r="T387" i="99"/>
  <c r="G386" i="156" s="1"/>
  <c r="T388" i="99"/>
  <c r="G387" i="156" s="1"/>
  <c r="T389" i="99"/>
  <c r="G388" i="156" s="1"/>
  <c r="T390" i="99"/>
  <c r="G389" i="156" s="1"/>
  <c r="T391" i="99"/>
  <c r="G390" i="156" s="1"/>
  <c r="T392" i="99"/>
  <c r="G391" i="156" s="1"/>
  <c r="T393" i="99"/>
  <c r="G392" i="156" s="1"/>
  <c r="T394" i="99"/>
  <c r="G393" i="156" s="1"/>
  <c r="T395" i="99"/>
  <c r="G394" i="156" s="1"/>
  <c r="T396" i="99"/>
  <c r="G395" i="156" s="1"/>
  <c r="T397" i="99"/>
  <c r="G396" i="156" s="1"/>
  <c r="T398" i="99"/>
  <c r="G397" i="156" s="1"/>
  <c r="T399" i="99"/>
  <c r="G398" i="156" s="1"/>
  <c r="T400" i="99"/>
  <c r="G399" i="156" s="1"/>
  <c r="T401" i="99"/>
  <c r="G400" i="156" s="1"/>
  <c r="T402" i="99"/>
  <c r="T403" i="99"/>
  <c r="T404" i="99"/>
  <c r="T405" i="99"/>
  <c r="T406" i="99"/>
  <c r="T407" i="99"/>
  <c r="T408" i="99"/>
  <c r="G407" i="156" s="1"/>
  <c r="T409" i="99"/>
  <c r="G408" i="156" s="1"/>
  <c r="T410" i="99"/>
  <c r="G409" i="156" s="1"/>
  <c r="T411" i="99"/>
  <c r="G410" i="156" s="1"/>
  <c r="T412" i="99"/>
  <c r="G411" i="156" s="1"/>
  <c r="T413" i="99"/>
  <c r="G412" i="156" s="1"/>
  <c r="T414" i="99"/>
  <c r="G413" i="156" s="1"/>
  <c r="T415" i="99"/>
  <c r="G414" i="156" s="1"/>
  <c r="T416" i="99"/>
  <c r="G415" i="156" s="1"/>
  <c r="T417" i="99"/>
  <c r="G416" i="156" s="1"/>
  <c r="T418" i="99"/>
  <c r="G417" i="156" s="1"/>
  <c r="T419" i="99"/>
  <c r="G418" i="156" s="1"/>
  <c r="T420" i="99"/>
  <c r="G419" i="156" s="1"/>
  <c r="T421" i="99"/>
  <c r="G420" i="156" s="1"/>
  <c r="T422" i="99"/>
  <c r="G421" i="156" s="1"/>
  <c r="T423" i="99"/>
  <c r="G422" i="156" s="1"/>
  <c r="T424" i="99"/>
  <c r="G423" i="156" s="1"/>
  <c r="T425" i="99"/>
  <c r="G424" i="156" s="1"/>
  <c r="T426" i="99"/>
  <c r="G425" i="156" s="1"/>
  <c r="T427" i="99"/>
  <c r="G426" i="156" s="1"/>
  <c r="T428" i="99"/>
  <c r="G427" i="156" s="1"/>
  <c r="T429" i="99"/>
  <c r="G428" i="156" s="1"/>
  <c r="T430" i="99"/>
  <c r="G429" i="156" s="1"/>
  <c r="T431" i="99"/>
  <c r="G430" i="156" s="1"/>
  <c r="T432" i="99"/>
  <c r="G431" i="156" s="1"/>
  <c r="T433" i="99"/>
  <c r="G432" i="156" s="1"/>
  <c r="T434" i="99"/>
  <c r="G433" i="156" s="1"/>
  <c r="T435" i="99"/>
  <c r="G434" i="156" s="1"/>
  <c r="T436" i="99"/>
  <c r="G435" i="156" s="1"/>
  <c r="T437" i="99"/>
  <c r="G436" i="156" s="1"/>
  <c r="T438" i="99"/>
  <c r="G437" i="156" s="1"/>
  <c r="T439" i="99"/>
  <c r="P438" i="156" s="1"/>
  <c r="T440" i="99"/>
  <c r="P439" i="156" s="1"/>
  <c r="T441" i="99"/>
  <c r="AB440" i="156" s="1"/>
  <c r="T442" i="99"/>
  <c r="P441" i="156" s="1"/>
  <c r="T443" i="99"/>
  <c r="P442" i="156" s="1"/>
  <c r="T444" i="99"/>
  <c r="P443" i="156" s="1"/>
  <c r="T445" i="99"/>
  <c r="T446" i="99"/>
  <c r="AB445" i="156" s="1"/>
  <c r="T447" i="99"/>
  <c r="T448" i="99"/>
  <c r="T449" i="99"/>
  <c r="G448" i="156" s="1"/>
  <c r="T450" i="99"/>
  <c r="G449" i="156" s="1"/>
  <c r="T451" i="99"/>
  <c r="G450" i="156" s="1"/>
  <c r="T452" i="99"/>
  <c r="G451" i="156" s="1"/>
  <c r="T453" i="99"/>
  <c r="V452" i="156" s="1"/>
  <c r="T454" i="99"/>
  <c r="S453" i="156" s="1"/>
  <c r="T455" i="99"/>
  <c r="T456" i="99"/>
  <c r="T457" i="99"/>
  <c r="T458" i="99"/>
  <c r="T459" i="99"/>
  <c r="T460" i="99"/>
  <c r="T461" i="99"/>
  <c r="T462" i="99"/>
  <c r="AB461" i="156" s="1"/>
  <c r="T463" i="99"/>
  <c r="S462" i="156" s="1"/>
  <c r="T464" i="99"/>
  <c r="T465" i="99"/>
  <c r="T466" i="99"/>
  <c r="AB465" i="156" s="1"/>
  <c r="T467" i="99"/>
  <c r="T468" i="99"/>
  <c r="P467" i="156" s="1"/>
  <c r="T469" i="99"/>
  <c r="P468" i="156" s="1"/>
  <c r="T470" i="99"/>
  <c r="P469" i="156" s="1"/>
  <c r="T471" i="99"/>
  <c r="P470" i="156" s="1"/>
  <c r="T472" i="99"/>
  <c r="P471" i="156" s="1"/>
  <c r="T473" i="99"/>
  <c r="P472" i="156" s="1"/>
  <c r="T474" i="99"/>
  <c r="T475" i="99"/>
  <c r="V474" i="156" s="1"/>
  <c r="T476" i="99"/>
  <c r="P475" i="156" s="1"/>
  <c r="T477" i="99"/>
  <c r="P476" i="156" s="1"/>
  <c r="T478" i="99"/>
  <c r="P477" i="156" s="1"/>
  <c r="T479" i="99"/>
  <c r="G478" i="156" s="1"/>
  <c r="T480" i="99"/>
  <c r="G479" i="156" s="1"/>
  <c r="T481" i="99"/>
  <c r="T482" i="99"/>
  <c r="T483" i="99"/>
  <c r="T484" i="99"/>
  <c r="T485" i="99"/>
  <c r="T2" i="99"/>
  <c r="P3" i="154"/>
  <c r="P4" i="154"/>
  <c r="P5" i="154"/>
  <c r="P6" i="154"/>
  <c r="P7" i="154"/>
  <c r="P8" i="154"/>
  <c r="P9" i="154"/>
  <c r="P10" i="154"/>
  <c r="P11" i="154"/>
  <c r="P12" i="154"/>
  <c r="P13" i="154"/>
  <c r="P14" i="154"/>
  <c r="P15" i="154"/>
  <c r="P16" i="154"/>
  <c r="P17" i="154"/>
  <c r="P18" i="154"/>
  <c r="P19" i="154"/>
  <c r="P20" i="154"/>
  <c r="P21" i="154"/>
  <c r="P22" i="154"/>
  <c r="P23" i="154"/>
  <c r="P24" i="154"/>
  <c r="P25" i="154"/>
  <c r="P26" i="154"/>
  <c r="P27" i="154"/>
  <c r="P28" i="154"/>
  <c r="P29" i="154"/>
  <c r="P30" i="154"/>
  <c r="P31" i="154"/>
  <c r="P32" i="154"/>
  <c r="P33" i="154"/>
  <c r="P34" i="154"/>
  <c r="P35" i="154"/>
  <c r="P36" i="154"/>
  <c r="P37" i="154"/>
  <c r="P38" i="154"/>
  <c r="P39" i="154"/>
  <c r="P40" i="154"/>
  <c r="P41" i="154"/>
  <c r="P42" i="154"/>
  <c r="P43" i="154"/>
  <c r="P44" i="154"/>
  <c r="P45" i="154"/>
  <c r="P46" i="154"/>
  <c r="P47" i="154"/>
  <c r="P48" i="154"/>
  <c r="P49" i="154"/>
  <c r="P50" i="154"/>
  <c r="P51" i="154"/>
  <c r="P52" i="154"/>
  <c r="P53" i="154"/>
  <c r="P54" i="154"/>
  <c r="P55" i="154"/>
  <c r="P56" i="154"/>
  <c r="P57" i="154"/>
  <c r="P58" i="154"/>
  <c r="P59" i="154"/>
  <c r="P2" i="154"/>
  <c r="AC21" i="156"/>
  <c r="AC22" i="156"/>
  <c r="AC23" i="156"/>
  <c r="AC24" i="156"/>
  <c r="AC25" i="156"/>
  <c r="AC26" i="156"/>
  <c r="AC27" i="156"/>
  <c r="AC28" i="156"/>
  <c r="AC29" i="156"/>
  <c r="AC30" i="156"/>
  <c r="AC31" i="156"/>
  <c r="AC32" i="156"/>
  <c r="AC33" i="156"/>
  <c r="AC34" i="156"/>
  <c r="AC35" i="156"/>
  <c r="AC36" i="156"/>
  <c r="AC37" i="156"/>
  <c r="AC38" i="156"/>
  <c r="AC39" i="156"/>
  <c r="AC40" i="156"/>
  <c r="AC41" i="156"/>
  <c r="AC42" i="156"/>
  <c r="AC43" i="156"/>
  <c r="AC44" i="156"/>
  <c r="AC45" i="156"/>
  <c r="AC46" i="156"/>
  <c r="AC47" i="156"/>
  <c r="AC48" i="156"/>
  <c r="AC49" i="156"/>
  <c r="AC50" i="156"/>
  <c r="AC51" i="156"/>
  <c r="AC52" i="156"/>
  <c r="AC53" i="156"/>
  <c r="AC54" i="156"/>
  <c r="AC55" i="156"/>
  <c r="AC56" i="156"/>
  <c r="AC57" i="156"/>
  <c r="AC58" i="156"/>
  <c r="AC59" i="156"/>
  <c r="AC60" i="156"/>
  <c r="AC61" i="156"/>
  <c r="AC62" i="156"/>
  <c r="AC63" i="156"/>
  <c r="AC64" i="156"/>
  <c r="AC65" i="156"/>
  <c r="AC66" i="156"/>
  <c r="AC67" i="156"/>
  <c r="AC68" i="156"/>
  <c r="AC69" i="156"/>
  <c r="AC70" i="156"/>
  <c r="AC71" i="156"/>
  <c r="AC72" i="156"/>
  <c r="AC73" i="156"/>
  <c r="AC74" i="156"/>
  <c r="AC75" i="156"/>
  <c r="AC76" i="156"/>
  <c r="AC77" i="156"/>
  <c r="AC78" i="156"/>
  <c r="AC79" i="156"/>
  <c r="AC80" i="156"/>
  <c r="AC81" i="156"/>
  <c r="AC82" i="156"/>
  <c r="AC83" i="156"/>
  <c r="AC84" i="156"/>
  <c r="AC85" i="156"/>
  <c r="AC86" i="156"/>
  <c r="AC87" i="156"/>
  <c r="AC88" i="156"/>
  <c r="AC89" i="156"/>
  <c r="AC90" i="156"/>
  <c r="AC91" i="156"/>
  <c r="AC92" i="156"/>
  <c r="AC93" i="156"/>
  <c r="AC94" i="156"/>
  <c r="AC95" i="156"/>
  <c r="AC96" i="156"/>
  <c r="AC97" i="156"/>
  <c r="AC98" i="156"/>
  <c r="AC99" i="156"/>
  <c r="AC100" i="156"/>
  <c r="AC101" i="156"/>
  <c r="AC102" i="156"/>
  <c r="AC103" i="156"/>
  <c r="AC104" i="156"/>
  <c r="AC105" i="156"/>
  <c r="AC106" i="156"/>
  <c r="AC107" i="156"/>
  <c r="AC108" i="156"/>
  <c r="AC109" i="156"/>
  <c r="AC110" i="156"/>
  <c r="AC111" i="156"/>
  <c r="AC112" i="156"/>
  <c r="AC113" i="156"/>
  <c r="AC114" i="156"/>
  <c r="AC115" i="156"/>
  <c r="AC116" i="156"/>
  <c r="AC117" i="156"/>
  <c r="AC118" i="156"/>
  <c r="AC119" i="156"/>
  <c r="AB21" i="156"/>
  <c r="AB22" i="156"/>
  <c r="AB23" i="156"/>
  <c r="AB24" i="156"/>
  <c r="AB25" i="156"/>
  <c r="AB26" i="156"/>
  <c r="AB27" i="156"/>
  <c r="AB28" i="156"/>
  <c r="AB29" i="156"/>
  <c r="AB30" i="156"/>
  <c r="AB31" i="156"/>
  <c r="AB32" i="156"/>
  <c r="AB33" i="156"/>
  <c r="AB34" i="156"/>
  <c r="AB35" i="156"/>
  <c r="AB36" i="156"/>
  <c r="AB37" i="156"/>
  <c r="AB38" i="156"/>
  <c r="AB39" i="156"/>
  <c r="AB40" i="156"/>
  <c r="AB41" i="156"/>
  <c r="AB42" i="156"/>
  <c r="AB43" i="156"/>
  <c r="AB44" i="156"/>
  <c r="AB45" i="156"/>
  <c r="AB46" i="156"/>
  <c r="AB47" i="156"/>
  <c r="AB48" i="156"/>
  <c r="AB49" i="156"/>
  <c r="AB50" i="156"/>
  <c r="AB51" i="156"/>
  <c r="AB52" i="156"/>
  <c r="AB53" i="156"/>
  <c r="AB54" i="156"/>
  <c r="AB55" i="156"/>
  <c r="AB56" i="156"/>
  <c r="AB57" i="156"/>
  <c r="AB58" i="156"/>
  <c r="AB59" i="156"/>
  <c r="AB60" i="156"/>
  <c r="AB61" i="156"/>
  <c r="AB62" i="156"/>
  <c r="AB63" i="156"/>
  <c r="AB64" i="156"/>
  <c r="AB65" i="156"/>
  <c r="AB66" i="156"/>
  <c r="AB67" i="156"/>
  <c r="AB68" i="156"/>
  <c r="AB69" i="156"/>
  <c r="AB70" i="156"/>
  <c r="AB72" i="156"/>
  <c r="AB73" i="156"/>
  <c r="AB74" i="156"/>
  <c r="AB75" i="156"/>
  <c r="AB76" i="156"/>
  <c r="AB77" i="156"/>
  <c r="AB78" i="156"/>
  <c r="AB79" i="156"/>
  <c r="AB80" i="156"/>
  <c r="AB81" i="156"/>
  <c r="AB82" i="156"/>
  <c r="AB83" i="156"/>
  <c r="AB84" i="156"/>
  <c r="AB85" i="156"/>
  <c r="AB86" i="156"/>
  <c r="AB87" i="156"/>
  <c r="AB88" i="156"/>
  <c r="AB89" i="156"/>
  <c r="AB90" i="156"/>
  <c r="AB91" i="156"/>
  <c r="AB92" i="156"/>
  <c r="AB93" i="156"/>
  <c r="AB94" i="156"/>
  <c r="AB96" i="156"/>
  <c r="AB97" i="156"/>
  <c r="AB98" i="156"/>
  <c r="AB99" i="156"/>
  <c r="AB100" i="156"/>
  <c r="AB101" i="156"/>
  <c r="AB102" i="156"/>
  <c r="AB103" i="156"/>
  <c r="AB104" i="156"/>
  <c r="AB105" i="156"/>
  <c r="AB106" i="156"/>
  <c r="AB107" i="156"/>
  <c r="AB108" i="156"/>
  <c r="AB109" i="156"/>
  <c r="AB110" i="156"/>
  <c r="AB111" i="156"/>
  <c r="AB112" i="156"/>
  <c r="AB113" i="156"/>
  <c r="AB114" i="156"/>
  <c r="AB115" i="156"/>
  <c r="AB116" i="156"/>
  <c r="AB117" i="156"/>
  <c r="AB118" i="156"/>
  <c r="AB119" i="156"/>
  <c r="Z21" i="156"/>
  <c r="Z22" i="156"/>
  <c r="Z23" i="156"/>
  <c r="Z24" i="156"/>
  <c r="Z25" i="156"/>
  <c r="Z26" i="156"/>
  <c r="Z27" i="156"/>
  <c r="Z28" i="156"/>
  <c r="Z29" i="156"/>
  <c r="Z30" i="156"/>
  <c r="Z31" i="156"/>
  <c r="Z32" i="156"/>
  <c r="Z33" i="156"/>
  <c r="Z34" i="156"/>
  <c r="Z35" i="156"/>
  <c r="Z36" i="156"/>
  <c r="Z37" i="156"/>
  <c r="Z38" i="156"/>
  <c r="Z39" i="156"/>
  <c r="Z40" i="156"/>
  <c r="Z41" i="156"/>
  <c r="Z42" i="156"/>
  <c r="Z43" i="156"/>
  <c r="Z44" i="156"/>
  <c r="Z45" i="156"/>
  <c r="Z46" i="156"/>
  <c r="Z47" i="156"/>
  <c r="Z48" i="156"/>
  <c r="Z49" i="156"/>
  <c r="Z50" i="156"/>
  <c r="Z51" i="156"/>
  <c r="Z52" i="156"/>
  <c r="Z53" i="156"/>
  <c r="Z54" i="156"/>
  <c r="Z55" i="156"/>
  <c r="Z56" i="156"/>
  <c r="Z57" i="156"/>
  <c r="Z58" i="156"/>
  <c r="Z59" i="156"/>
  <c r="Z60" i="156"/>
  <c r="Z61" i="156"/>
  <c r="Z62" i="156"/>
  <c r="Z63" i="156"/>
  <c r="Z64" i="156"/>
  <c r="Z65" i="156"/>
  <c r="Z66" i="156"/>
  <c r="Z67" i="156"/>
  <c r="Z68" i="156"/>
  <c r="Z69" i="156"/>
  <c r="Z70" i="156"/>
  <c r="Z71" i="156"/>
  <c r="Z72" i="156"/>
  <c r="Z73" i="156"/>
  <c r="Z74" i="156"/>
  <c r="Z75" i="156"/>
  <c r="Z76" i="156"/>
  <c r="Z77" i="156"/>
  <c r="Z78" i="156"/>
  <c r="Z79" i="156"/>
  <c r="Z80" i="156"/>
  <c r="Z81" i="156"/>
  <c r="Z82" i="156"/>
  <c r="Z83" i="156"/>
  <c r="Z84" i="156"/>
  <c r="Z85" i="156"/>
  <c r="Z86" i="156"/>
  <c r="Z87" i="156"/>
  <c r="Z88" i="156"/>
  <c r="Z89" i="156"/>
  <c r="Z90" i="156"/>
  <c r="Z91" i="156"/>
  <c r="Z92" i="156"/>
  <c r="Z93" i="156"/>
  <c r="Z94" i="156"/>
  <c r="Z95" i="156"/>
  <c r="Z96" i="156"/>
  <c r="Z97" i="156"/>
  <c r="Z98" i="156"/>
  <c r="Z99" i="156"/>
  <c r="Z100" i="156"/>
  <c r="Z101" i="156"/>
  <c r="Z102" i="156"/>
  <c r="Z103" i="156"/>
  <c r="Z104" i="156"/>
  <c r="Z105" i="156"/>
  <c r="Z106" i="156"/>
  <c r="Z107" i="156"/>
  <c r="Z108" i="156"/>
  <c r="Z109" i="156"/>
  <c r="Z110" i="156"/>
  <c r="Z111" i="156"/>
  <c r="Z112" i="156"/>
  <c r="Z113" i="156"/>
  <c r="Z114" i="156"/>
  <c r="Z115" i="156"/>
  <c r="Z116" i="156"/>
  <c r="Z117" i="156"/>
  <c r="Z118" i="156"/>
  <c r="Z119" i="156"/>
  <c r="Y21" i="156"/>
  <c r="Y22" i="156"/>
  <c r="Y23" i="156"/>
  <c r="Y24" i="156"/>
  <c r="Y25" i="156"/>
  <c r="Y26" i="156"/>
  <c r="Y27" i="156"/>
  <c r="Y28" i="156"/>
  <c r="Y29" i="156"/>
  <c r="Y30" i="156"/>
  <c r="Y31" i="156"/>
  <c r="Y32" i="156"/>
  <c r="Y33" i="156"/>
  <c r="Y34" i="156"/>
  <c r="Y35" i="156"/>
  <c r="Y36" i="156"/>
  <c r="Y37" i="156"/>
  <c r="Y38" i="156"/>
  <c r="Y39" i="156"/>
  <c r="Y40" i="156"/>
  <c r="Y41" i="156"/>
  <c r="Y42" i="156"/>
  <c r="Y43" i="156"/>
  <c r="Y44" i="156"/>
  <c r="Y45" i="156"/>
  <c r="Y46" i="156"/>
  <c r="Y47" i="156"/>
  <c r="Y48" i="156"/>
  <c r="Y49" i="156"/>
  <c r="Y50" i="156"/>
  <c r="Y51" i="156"/>
  <c r="Y52" i="156"/>
  <c r="Y53" i="156"/>
  <c r="Y54" i="156"/>
  <c r="Y55" i="156"/>
  <c r="Y56" i="156"/>
  <c r="Y57" i="156"/>
  <c r="Y58" i="156"/>
  <c r="Y59" i="156"/>
  <c r="Y60" i="156"/>
  <c r="Y61" i="156"/>
  <c r="Y62" i="156"/>
  <c r="Y63" i="156"/>
  <c r="Y64" i="156"/>
  <c r="Y65" i="156"/>
  <c r="Y66" i="156"/>
  <c r="Y67" i="156"/>
  <c r="Y68" i="156"/>
  <c r="Y69" i="156"/>
  <c r="Y70" i="156"/>
  <c r="Y71" i="156"/>
  <c r="Y74" i="156"/>
  <c r="Y75" i="156"/>
  <c r="Y76" i="156"/>
  <c r="Y77" i="156"/>
  <c r="Y78" i="156"/>
  <c r="Y79" i="156"/>
  <c r="Y80" i="156"/>
  <c r="Y81" i="156"/>
  <c r="Y82" i="156"/>
  <c r="Y83" i="156"/>
  <c r="Y84" i="156"/>
  <c r="Y85" i="156"/>
  <c r="Y86" i="156"/>
  <c r="Y87" i="156"/>
  <c r="Y88" i="156"/>
  <c r="Y89" i="156"/>
  <c r="Y90" i="156"/>
  <c r="Y91" i="156"/>
  <c r="Y92" i="156"/>
  <c r="Y93" i="156"/>
  <c r="Y94" i="156"/>
  <c r="Y95" i="156"/>
  <c r="Y98" i="156"/>
  <c r="Y99" i="156"/>
  <c r="Y100" i="156"/>
  <c r="Y101" i="156"/>
  <c r="Y102" i="156"/>
  <c r="Y103" i="156"/>
  <c r="Y104" i="156"/>
  <c r="Y105" i="156"/>
  <c r="Y106" i="156"/>
  <c r="Y107" i="156"/>
  <c r="Y108" i="156"/>
  <c r="Y109" i="156"/>
  <c r="Y110" i="156"/>
  <c r="Y111" i="156"/>
  <c r="Y112" i="156"/>
  <c r="Y113" i="156"/>
  <c r="Y114" i="156"/>
  <c r="Y115" i="156"/>
  <c r="Y116" i="156"/>
  <c r="Y117" i="156"/>
  <c r="Y118" i="156"/>
  <c r="Y119" i="156"/>
  <c r="W21" i="156"/>
  <c r="W22" i="156"/>
  <c r="W23" i="156"/>
  <c r="W24" i="156"/>
  <c r="W25" i="156"/>
  <c r="W26" i="156"/>
  <c r="W27" i="156"/>
  <c r="W28" i="156"/>
  <c r="W29" i="156"/>
  <c r="W30" i="156"/>
  <c r="W31" i="156"/>
  <c r="W32" i="156"/>
  <c r="W33" i="156"/>
  <c r="W34" i="156"/>
  <c r="W35" i="156"/>
  <c r="W36" i="156"/>
  <c r="W37" i="156"/>
  <c r="W38" i="156"/>
  <c r="W39" i="156"/>
  <c r="W40" i="156"/>
  <c r="W41" i="156"/>
  <c r="W42" i="156"/>
  <c r="W43" i="156"/>
  <c r="W44" i="156"/>
  <c r="W45" i="156"/>
  <c r="W46" i="156"/>
  <c r="W47" i="156"/>
  <c r="W48" i="156"/>
  <c r="W49" i="156"/>
  <c r="W50" i="156"/>
  <c r="W51" i="156"/>
  <c r="W52" i="156"/>
  <c r="W53" i="156"/>
  <c r="W54" i="156"/>
  <c r="W55" i="156"/>
  <c r="W56" i="156"/>
  <c r="W57" i="156"/>
  <c r="W58" i="156"/>
  <c r="W59" i="156"/>
  <c r="W60" i="156"/>
  <c r="W61" i="156"/>
  <c r="W62" i="156"/>
  <c r="W63" i="156"/>
  <c r="W64" i="156"/>
  <c r="W65" i="156"/>
  <c r="W66" i="156"/>
  <c r="W67" i="156"/>
  <c r="W68" i="156"/>
  <c r="W69" i="156"/>
  <c r="W70" i="156"/>
  <c r="W71" i="156"/>
  <c r="W72" i="156"/>
  <c r="W73" i="156"/>
  <c r="W74" i="156"/>
  <c r="W75" i="156"/>
  <c r="W76" i="156"/>
  <c r="W77" i="156"/>
  <c r="W78" i="156"/>
  <c r="W79" i="156"/>
  <c r="W80" i="156"/>
  <c r="W81" i="156"/>
  <c r="W82" i="156"/>
  <c r="W83" i="156"/>
  <c r="W84" i="156"/>
  <c r="W85" i="156"/>
  <c r="W86" i="156"/>
  <c r="W87" i="156"/>
  <c r="W88" i="156"/>
  <c r="W89" i="156"/>
  <c r="W90" i="156"/>
  <c r="W91" i="156"/>
  <c r="W92" i="156"/>
  <c r="W93" i="156"/>
  <c r="W94" i="156"/>
  <c r="W95" i="156"/>
  <c r="W96" i="156"/>
  <c r="W97" i="156"/>
  <c r="W98" i="156"/>
  <c r="W99" i="156"/>
  <c r="W100" i="156"/>
  <c r="W101" i="156"/>
  <c r="W102" i="156"/>
  <c r="W103" i="156"/>
  <c r="W104" i="156"/>
  <c r="W105" i="156"/>
  <c r="W106" i="156"/>
  <c r="W107" i="156"/>
  <c r="W108" i="156"/>
  <c r="W109" i="156"/>
  <c r="W110" i="156"/>
  <c r="W111" i="156"/>
  <c r="W112" i="156"/>
  <c r="W113" i="156"/>
  <c r="W114" i="156"/>
  <c r="W115" i="156"/>
  <c r="W116" i="156"/>
  <c r="W117" i="156"/>
  <c r="W118" i="156"/>
  <c r="W119" i="156"/>
  <c r="V21" i="156"/>
  <c r="V22" i="156"/>
  <c r="V23" i="156"/>
  <c r="V24" i="156"/>
  <c r="V25" i="156"/>
  <c r="V26" i="156"/>
  <c r="V27" i="156"/>
  <c r="V28" i="156"/>
  <c r="V29" i="156"/>
  <c r="V30" i="156"/>
  <c r="V31" i="156"/>
  <c r="V32" i="156"/>
  <c r="V33" i="156"/>
  <c r="V34" i="156"/>
  <c r="V35" i="156"/>
  <c r="V36" i="156"/>
  <c r="V37" i="156"/>
  <c r="V38" i="156"/>
  <c r="V39" i="156"/>
  <c r="V40" i="156"/>
  <c r="V41" i="156"/>
  <c r="V42" i="156"/>
  <c r="V43" i="156"/>
  <c r="V44" i="156"/>
  <c r="V45" i="156"/>
  <c r="V46" i="156"/>
  <c r="V47" i="156"/>
  <c r="V48" i="156"/>
  <c r="V49" i="156"/>
  <c r="V50" i="156"/>
  <c r="V51" i="156"/>
  <c r="V52" i="156"/>
  <c r="V53" i="156"/>
  <c r="V54" i="156"/>
  <c r="V55" i="156"/>
  <c r="V56" i="156"/>
  <c r="V57" i="156"/>
  <c r="V58" i="156"/>
  <c r="V59" i="156"/>
  <c r="V60" i="156"/>
  <c r="V61" i="156"/>
  <c r="V62" i="156"/>
  <c r="V63" i="156"/>
  <c r="V64" i="156"/>
  <c r="V65" i="156"/>
  <c r="V66" i="156"/>
  <c r="V67" i="156"/>
  <c r="V68" i="156"/>
  <c r="V69" i="156"/>
  <c r="V70" i="156"/>
  <c r="V71" i="156"/>
  <c r="V72" i="156"/>
  <c r="V73" i="156"/>
  <c r="V79" i="156"/>
  <c r="V80" i="156"/>
  <c r="V81" i="156"/>
  <c r="V82" i="156"/>
  <c r="V83" i="156"/>
  <c r="V84" i="156"/>
  <c r="V85" i="156"/>
  <c r="V86" i="156"/>
  <c r="V87" i="156"/>
  <c r="V88" i="156"/>
  <c r="V89" i="156"/>
  <c r="V90" i="156"/>
  <c r="V91" i="156"/>
  <c r="V92" i="156"/>
  <c r="V93" i="156"/>
  <c r="V94" i="156"/>
  <c r="V95" i="156"/>
  <c r="V96" i="156"/>
  <c r="V97" i="156"/>
  <c r="V98" i="156"/>
  <c r="V99" i="156"/>
  <c r="V100" i="156"/>
  <c r="V101" i="156"/>
  <c r="V102" i="156"/>
  <c r="V103" i="156"/>
  <c r="V104" i="156"/>
  <c r="V105" i="156"/>
  <c r="V106" i="156"/>
  <c r="V107" i="156"/>
  <c r="V108" i="156"/>
  <c r="V109" i="156"/>
  <c r="V110" i="156"/>
  <c r="V111" i="156"/>
  <c r="V112" i="156"/>
  <c r="V113" i="156"/>
  <c r="V114" i="156"/>
  <c r="V115" i="156"/>
  <c r="V116" i="156"/>
  <c r="V117" i="156"/>
  <c r="V118" i="156"/>
  <c r="V119" i="156"/>
  <c r="T21" i="156"/>
  <c r="T22" i="156"/>
  <c r="T23" i="156"/>
  <c r="T24" i="156"/>
  <c r="T25" i="156"/>
  <c r="T26" i="156"/>
  <c r="T27" i="156"/>
  <c r="T28" i="156"/>
  <c r="T29" i="156"/>
  <c r="T30" i="156"/>
  <c r="T31" i="156"/>
  <c r="T32" i="156"/>
  <c r="T33" i="156"/>
  <c r="T34" i="156"/>
  <c r="T35" i="156"/>
  <c r="T36" i="156"/>
  <c r="T37" i="156"/>
  <c r="T38" i="156"/>
  <c r="T39" i="156"/>
  <c r="T40" i="156"/>
  <c r="T41" i="156"/>
  <c r="T42" i="156"/>
  <c r="T43" i="156"/>
  <c r="T44" i="156"/>
  <c r="T45" i="156"/>
  <c r="T46" i="156"/>
  <c r="T47" i="156"/>
  <c r="T48" i="156"/>
  <c r="T49" i="156"/>
  <c r="T50" i="156"/>
  <c r="T51" i="156"/>
  <c r="T52" i="156"/>
  <c r="T53" i="156"/>
  <c r="T54" i="156"/>
  <c r="T55" i="156"/>
  <c r="T56" i="156"/>
  <c r="T57" i="156"/>
  <c r="T58" i="156"/>
  <c r="T59" i="156"/>
  <c r="T60" i="156"/>
  <c r="T61" i="156"/>
  <c r="T62" i="156"/>
  <c r="T63" i="156"/>
  <c r="T64" i="156"/>
  <c r="T65" i="156"/>
  <c r="T66" i="156"/>
  <c r="T67" i="156"/>
  <c r="T68" i="156"/>
  <c r="T69" i="156"/>
  <c r="T70" i="156"/>
  <c r="T71" i="156"/>
  <c r="T72" i="156"/>
  <c r="T73" i="156"/>
  <c r="T74" i="156"/>
  <c r="T75" i="156"/>
  <c r="T76" i="156"/>
  <c r="T77" i="156"/>
  <c r="T78" i="156"/>
  <c r="T79" i="156"/>
  <c r="T80" i="156"/>
  <c r="T81" i="156"/>
  <c r="T82" i="156"/>
  <c r="T83" i="156"/>
  <c r="T84" i="156"/>
  <c r="T85" i="156"/>
  <c r="T86" i="156"/>
  <c r="T87" i="156"/>
  <c r="T88" i="156"/>
  <c r="T89" i="156"/>
  <c r="T90" i="156"/>
  <c r="T91" i="156"/>
  <c r="T92" i="156"/>
  <c r="T93" i="156"/>
  <c r="T94" i="156"/>
  <c r="T95" i="156"/>
  <c r="T96" i="156"/>
  <c r="T97" i="156"/>
  <c r="T98" i="156"/>
  <c r="T99" i="156"/>
  <c r="T100" i="156"/>
  <c r="T101" i="156"/>
  <c r="T102" i="156"/>
  <c r="T103" i="156"/>
  <c r="T104" i="156"/>
  <c r="T105" i="156"/>
  <c r="T106" i="156"/>
  <c r="T107" i="156"/>
  <c r="T108" i="156"/>
  <c r="T109" i="156"/>
  <c r="T110" i="156"/>
  <c r="T111" i="156"/>
  <c r="T112" i="156"/>
  <c r="T113" i="156"/>
  <c r="T114" i="156"/>
  <c r="T115" i="156"/>
  <c r="T116" i="156"/>
  <c r="T117" i="156"/>
  <c r="T118" i="156"/>
  <c r="T119" i="156"/>
  <c r="S22" i="156"/>
  <c r="S23" i="156"/>
  <c r="S24" i="156"/>
  <c r="S25" i="156"/>
  <c r="S26" i="156"/>
  <c r="S27" i="156"/>
  <c r="S28" i="156"/>
  <c r="S29" i="156"/>
  <c r="S30" i="156"/>
  <c r="S31" i="156"/>
  <c r="S32" i="156"/>
  <c r="S33" i="156"/>
  <c r="S34" i="156"/>
  <c r="S35" i="156"/>
  <c r="S36" i="156"/>
  <c r="S37" i="156"/>
  <c r="S38" i="156"/>
  <c r="S39" i="156"/>
  <c r="S40" i="156"/>
  <c r="S41" i="156"/>
  <c r="S42" i="156"/>
  <c r="S43" i="156"/>
  <c r="S44" i="156"/>
  <c r="S45" i="156"/>
  <c r="S46" i="156"/>
  <c r="S47" i="156"/>
  <c r="S48" i="156"/>
  <c r="S49" i="156"/>
  <c r="S50" i="156"/>
  <c r="S51" i="156"/>
  <c r="S52" i="156"/>
  <c r="S53" i="156"/>
  <c r="S54" i="156"/>
  <c r="S55" i="156"/>
  <c r="S56" i="156"/>
  <c r="S57" i="156"/>
  <c r="S58" i="156"/>
  <c r="S59" i="156"/>
  <c r="S60" i="156"/>
  <c r="S61" i="156"/>
  <c r="S62" i="156"/>
  <c r="S63" i="156"/>
  <c r="S64" i="156"/>
  <c r="S65" i="156"/>
  <c r="S66" i="156"/>
  <c r="S67" i="156"/>
  <c r="S68" i="156"/>
  <c r="S69" i="156"/>
  <c r="S70" i="156"/>
  <c r="S71" i="156"/>
  <c r="S72" i="156"/>
  <c r="S73" i="156"/>
  <c r="S74" i="156"/>
  <c r="S75" i="156"/>
  <c r="S76" i="156"/>
  <c r="S77" i="156"/>
  <c r="S78" i="156"/>
  <c r="S85" i="156"/>
  <c r="S86" i="156"/>
  <c r="S87" i="156"/>
  <c r="S88" i="156"/>
  <c r="S89" i="156"/>
  <c r="S90" i="156"/>
  <c r="S91" i="156"/>
  <c r="S92" i="156"/>
  <c r="S93" i="156"/>
  <c r="S94" i="156"/>
  <c r="S95" i="156"/>
  <c r="S96" i="156"/>
  <c r="S97" i="156"/>
  <c r="S103" i="156"/>
  <c r="S104" i="156"/>
  <c r="S105" i="156"/>
  <c r="S106" i="156"/>
  <c r="S107" i="156"/>
  <c r="S108" i="156"/>
  <c r="S109" i="156"/>
  <c r="S110" i="156"/>
  <c r="S111" i="156"/>
  <c r="S112" i="156"/>
  <c r="S113" i="156"/>
  <c r="S114" i="156"/>
  <c r="S115" i="156"/>
  <c r="S116" i="156"/>
  <c r="S117" i="156"/>
  <c r="S118" i="156"/>
  <c r="S119" i="156"/>
  <c r="Q21" i="156"/>
  <c r="Q22" i="156"/>
  <c r="Q23" i="156"/>
  <c r="Q24" i="156"/>
  <c r="Q25" i="156"/>
  <c r="Q26" i="156"/>
  <c r="Q27" i="156"/>
  <c r="Q28" i="156"/>
  <c r="Q29" i="156"/>
  <c r="Q30" i="156"/>
  <c r="Q31" i="156"/>
  <c r="Q32" i="156"/>
  <c r="Q33" i="156"/>
  <c r="Q34" i="156"/>
  <c r="Q35" i="156"/>
  <c r="Q36" i="156"/>
  <c r="Q37" i="156"/>
  <c r="Q38" i="156"/>
  <c r="Q39" i="156"/>
  <c r="Q40" i="156"/>
  <c r="Q41" i="156"/>
  <c r="Q42" i="156"/>
  <c r="Q43" i="156"/>
  <c r="Q44" i="156"/>
  <c r="Q45" i="156"/>
  <c r="Q46" i="156"/>
  <c r="Q47" i="156"/>
  <c r="Q48" i="156"/>
  <c r="Q49" i="156"/>
  <c r="Q50" i="156"/>
  <c r="Q51" i="156"/>
  <c r="Q52" i="156"/>
  <c r="Q53" i="156"/>
  <c r="Q54" i="156"/>
  <c r="Q55" i="156"/>
  <c r="Q56" i="156"/>
  <c r="Q57" i="156"/>
  <c r="Q58" i="156"/>
  <c r="Q59" i="156"/>
  <c r="Q60" i="156"/>
  <c r="Q61" i="156"/>
  <c r="Q62" i="156"/>
  <c r="Q63" i="156"/>
  <c r="Q64" i="156"/>
  <c r="Q65" i="156"/>
  <c r="Q66" i="156"/>
  <c r="Q67" i="156"/>
  <c r="Q68" i="156"/>
  <c r="Q69" i="156"/>
  <c r="Q70" i="156"/>
  <c r="Q71" i="156"/>
  <c r="Q72" i="156"/>
  <c r="Q73" i="156"/>
  <c r="Q74" i="156"/>
  <c r="Q75" i="156"/>
  <c r="Q76" i="156"/>
  <c r="Q77" i="156"/>
  <c r="Q78" i="156"/>
  <c r="Q79" i="156"/>
  <c r="Q80" i="156"/>
  <c r="Q81" i="156"/>
  <c r="Q82" i="156"/>
  <c r="Q83" i="156"/>
  <c r="Q84" i="156"/>
  <c r="Q85" i="156"/>
  <c r="Q86" i="156"/>
  <c r="Q87" i="156"/>
  <c r="Q88" i="156"/>
  <c r="Q89" i="156"/>
  <c r="Q90" i="156"/>
  <c r="Q91" i="156"/>
  <c r="Q92" i="156"/>
  <c r="Q93" i="156"/>
  <c r="Q94" i="156"/>
  <c r="Q95" i="156"/>
  <c r="Q96" i="156"/>
  <c r="Q97" i="156"/>
  <c r="Q98" i="156"/>
  <c r="Q99" i="156"/>
  <c r="Q100" i="156"/>
  <c r="Q101" i="156"/>
  <c r="Q102" i="156"/>
  <c r="Q103" i="156"/>
  <c r="Q104" i="156"/>
  <c r="Q105" i="156"/>
  <c r="Q106" i="156"/>
  <c r="Q107" i="156"/>
  <c r="Q108" i="156"/>
  <c r="Q109" i="156"/>
  <c r="Q110" i="156"/>
  <c r="Q111" i="156"/>
  <c r="Q112" i="156"/>
  <c r="Q113" i="156"/>
  <c r="Q114" i="156"/>
  <c r="Q115" i="156"/>
  <c r="Q116" i="156"/>
  <c r="Q117" i="156"/>
  <c r="Q118" i="156"/>
  <c r="Q119" i="156"/>
  <c r="P21" i="156"/>
  <c r="P24" i="156"/>
  <c r="P26" i="156"/>
  <c r="P27" i="156"/>
  <c r="P28" i="156"/>
  <c r="P63" i="156"/>
  <c r="P64" i="156"/>
  <c r="P65" i="156"/>
  <c r="P66" i="156"/>
  <c r="P67" i="156"/>
  <c r="P68" i="156"/>
  <c r="P69" i="156"/>
  <c r="P70" i="156"/>
  <c r="P71" i="156"/>
  <c r="P72" i="156"/>
  <c r="P73" i="156"/>
  <c r="P74" i="156"/>
  <c r="P75" i="156"/>
  <c r="P76" i="156"/>
  <c r="P77" i="156"/>
  <c r="P78" i="156"/>
  <c r="P79" i="156"/>
  <c r="P80" i="156"/>
  <c r="P81" i="156"/>
  <c r="P82" i="156"/>
  <c r="P83" i="156"/>
  <c r="P84" i="156"/>
  <c r="P94" i="156"/>
  <c r="P95" i="156"/>
  <c r="P96" i="156"/>
  <c r="P97" i="156"/>
  <c r="P98" i="156"/>
  <c r="P99" i="156"/>
  <c r="P100" i="156"/>
  <c r="P101" i="156"/>
  <c r="P102" i="156"/>
  <c r="P104" i="156"/>
  <c r="P105" i="156"/>
  <c r="P106" i="156"/>
  <c r="P107" i="156"/>
  <c r="P108" i="156"/>
  <c r="P109" i="156"/>
  <c r="P110" i="156"/>
  <c r="P111" i="156"/>
  <c r="P112" i="156"/>
  <c r="P113" i="156"/>
  <c r="P114" i="156"/>
  <c r="P115" i="156"/>
  <c r="P116" i="156"/>
  <c r="P117" i="156"/>
  <c r="P118" i="156"/>
  <c r="P119" i="156"/>
  <c r="K21" i="156"/>
  <c r="K22" i="156"/>
  <c r="K23" i="156"/>
  <c r="K24" i="156"/>
  <c r="K25" i="156"/>
  <c r="K26" i="156"/>
  <c r="K27" i="156"/>
  <c r="K28" i="156"/>
  <c r="K29" i="156"/>
  <c r="K30" i="156"/>
  <c r="K31" i="156"/>
  <c r="K32" i="156"/>
  <c r="K33" i="156"/>
  <c r="K34" i="156"/>
  <c r="K35" i="156"/>
  <c r="K36" i="156"/>
  <c r="K37" i="156"/>
  <c r="K38" i="156"/>
  <c r="K39" i="156"/>
  <c r="K40" i="156"/>
  <c r="K41" i="156"/>
  <c r="K42" i="156"/>
  <c r="K43" i="156"/>
  <c r="K44" i="156"/>
  <c r="K45" i="156"/>
  <c r="K46" i="156"/>
  <c r="K47" i="156"/>
  <c r="K48" i="156"/>
  <c r="K49" i="156"/>
  <c r="K50" i="156"/>
  <c r="K51" i="156"/>
  <c r="K52" i="156"/>
  <c r="K53" i="156"/>
  <c r="K54" i="156"/>
  <c r="K55" i="156"/>
  <c r="K56" i="156"/>
  <c r="K57" i="156"/>
  <c r="K58" i="156"/>
  <c r="K59" i="156"/>
  <c r="K60" i="156"/>
  <c r="K61" i="156"/>
  <c r="K62" i="156"/>
  <c r="K63" i="156"/>
  <c r="K64" i="156"/>
  <c r="K65" i="156"/>
  <c r="K66" i="156"/>
  <c r="K67" i="156"/>
  <c r="K68" i="156"/>
  <c r="K69" i="156"/>
  <c r="K70" i="156"/>
  <c r="K71" i="156"/>
  <c r="K72" i="156"/>
  <c r="K73" i="156"/>
  <c r="K74" i="156"/>
  <c r="K75" i="156"/>
  <c r="K76" i="156"/>
  <c r="K77" i="156"/>
  <c r="K78" i="156"/>
  <c r="K79" i="156"/>
  <c r="K80" i="156"/>
  <c r="K81" i="156"/>
  <c r="K82" i="156"/>
  <c r="K83" i="156"/>
  <c r="K84" i="156"/>
  <c r="K85" i="156"/>
  <c r="K86" i="156"/>
  <c r="K87" i="156"/>
  <c r="K88" i="156"/>
  <c r="K89" i="156"/>
  <c r="K90" i="156"/>
  <c r="K91" i="156"/>
  <c r="K92" i="156"/>
  <c r="K93" i="156"/>
  <c r="K94" i="156"/>
  <c r="K95" i="156"/>
  <c r="K96" i="156"/>
  <c r="K97" i="156"/>
  <c r="K98" i="156"/>
  <c r="K99" i="156"/>
  <c r="K100" i="156"/>
  <c r="K101" i="156"/>
  <c r="K102" i="156"/>
  <c r="K103" i="156"/>
  <c r="K104" i="156"/>
  <c r="K105" i="156"/>
  <c r="K106" i="156"/>
  <c r="K107" i="156"/>
  <c r="K108" i="156"/>
  <c r="K109" i="156"/>
  <c r="K110" i="156"/>
  <c r="K111" i="156"/>
  <c r="K112" i="156"/>
  <c r="K113" i="156"/>
  <c r="K114" i="156"/>
  <c r="K115" i="156"/>
  <c r="K116" i="156"/>
  <c r="K117" i="156"/>
  <c r="K118" i="156"/>
  <c r="K119" i="156"/>
  <c r="J21" i="156"/>
  <c r="J22" i="156"/>
  <c r="J23" i="156"/>
  <c r="J24" i="156"/>
  <c r="J25" i="156"/>
  <c r="J26" i="156"/>
  <c r="J27" i="156"/>
  <c r="J28" i="156"/>
  <c r="J29" i="156"/>
  <c r="J30" i="156"/>
  <c r="J31" i="156"/>
  <c r="J32" i="156"/>
  <c r="J33" i="156"/>
  <c r="J34" i="156"/>
  <c r="J35" i="156"/>
  <c r="J36" i="156"/>
  <c r="J37" i="156"/>
  <c r="J38" i="156"/>
  <c r="J39" i="156"/>
  <c r="J40" i="156"/>
  <c r="J41" i="156"/>
  <c r="J42" i="156"/>
  <c r="J43" i="156"/>
  <c r="J44" i="156"/>
  <c r="J45" i="156"/>
  <c r="J46" i="156"/>
  <c r="J47" i="156"/>
  <c r="J48" i="156"/>
  <c r="J49" i="156"/>
  <c r="J50" i="156"/>
  <c r="J51" i="156"/>
  <c r="J52" i="156"/>
  <c r="J53" i="156"/>
  <c r="J54" i="156"/>
  <c r="J55" i="156"/>
  <c r="J56" i="156"/>
  <c r="J57" i="156"/>
  <c r="J58" i="156"/>
  <c r="J59" i="156"/>
  <c r="J60" i="156"/>
  <c r="J61" i="156"/>
  <c r="J62" i="156"/>
  <c r="J63" i="156"/>
  <c r="J64" i="156"/>
  <c r="J65" i="156"/>
  <c r="J66" i="156"/>
  <c r="J67" i="156"/>
  <c r="J68" i="156"/>
  <c r="J69" i="156"/>
  <c r="J70" i="156"/>
  <c r="J71" i="156"/>
  <c r="J72" i="156"/>
  <c r="J73" i="156"/>
  <c r="J74" i="156"/>
  <c r="J75" i="156"/>
  <c r="J76" i="156"/>
  <c r="J77" i="156"/>
  <c r="J78" i="156"/>
  <c r="J79" i="156"/>
  <c r="J80" i="156"/>
  <c r="J81" i="156"/>
  <c r="J82" i="156"/>
  <c r="J83" i="156"/>
  <c r="J84" i="156"/>
  <c r="J85" i="156"/>
  <c r="J86" i="156"/>
  <c r="J87" i="156"/>
  <c r="J88" i="156"/>
  <c r="J89" i="156"/>
  <c r="J90" i="156"/>
  <c r="J91" i="156"/>
  <c r="J92" i="156"/>
  <c r="J93" i="156"/>
  <c r="J94" i="156"/>
  <c r="J95" i="156"/>
  <c r="J96" i="156"/>
  <c r="J97" i="156"/>
  <c r="J98" i="156"/>
  <c r="J99" i="156"/>
  <c r="J100" i="156"/>
  <c r="J101" i="156"/>
  <c r="J102" i="156"/>
  <c r="J103" i="156"/>
  <c r="J104" i="156"/>
  <c r="J105" i="156"/>
  <c r="J106" i="156"/>
  <c r="J107" i="156"/>
  <c r="J108" i="156"/>
  <c r="J109" i="156"/>
  <c r="J110" i="156"/>
  <c r="J111" i="156"/>
  <c r="J112" i="156"/>
  <c r="J113" i="156"/>
  <c r="J114" i="156"/>
  <c r="J115" i="156"/>
  <c r="J116" i="156"/>
  <c r="J117" i="156"/>
  <c r="J118" i="156"/>
  <c r="J119" i="156"/>
  <c r="H21" i="156"/>
  <c r="H22" i="156"/>
  <c r="H23" i="156"/>
  <c r="H24" i="156"/>
  <c r="H25" i="156"/>
  <c r="H26" i="156"/>
  <c r="H27" i="156"/>
  <c r="H28" i="156"/>
  <c r="H29" i="156"/>
  <c r="H30" i="156"/>
  <c r="H31" i="156"/>
  <c r="H32" i="156"/>
  <c r="H33" i="156"/>
  <c r="H34" i="156"/>
  <c r="H35" i="156"/>
  <c r="H36" i="156"/>
  <c r="H37" i="156"/>
  <c r="H38" i="156"/>
  <c r="H39" i="156"/>
  <c r="H40" i="156"/>
  <c r="H41" i="156"/>
  <c r="H42" i="156"/>
  <c r="H43" i="156"/>
  <c r="H44" i="156"/>
  <c r="H45" i="156"/>
  <c r="H46" i="156"/>
  <c r="H47" i="156"/>
  <c r="H48" i="156"/>
  <c r="H49" i="156"/>
  <c r="H50" i="156"/>
  <c r="H51" i="156"/>
  <c r="H52" i="156"/>
  <c r="H53" i="156"/>
  <c r="H54" i="156"/>
  <c r="H55" i="156"/>
  <c r="H56" i="156"/>
  <c r="H57" i="156"/>
  <c r="H58" i="156"/>
  <c r="H59" i="156"/>
  <c r="H60" i="156"/>
  <c r="H61" i="156"/>
  <c r="H62" i="156"/>
  <c r="H63" i="156"/>
  <c r="H64" i="156"/>
  <c r="H65" i="156"/>
  <c r="H66" i="156"/>
  <c r="H67" i="156"/>
  <c r="H68" i="156"/>
  <c r="H69" i="156"/>
  <c r="H70" i="156"/>
  <c r="H71" i="156"/>
  <c r="H72" i="156"/>
  <c r="H73" i="156"/>
  <c r="H74" i="156"/>
  <c r="H75" i="156"/>
  <c r="H76" i="156"/>
  <c r="H77" i="156"/>
  <c r="H78" i="156"/>
  <c r="H79" i="156"/>
  <c r="H80" i="156"/>
  <c r="H81" i="156"/>
  <c r="H82" i="156"/>
  <c r="H83" i="156"/>
  <c r="H84" i="156"/>
  <c r="H85" i="156"/>
  <c r="H86" i="156"/>
  <c r="H87" i="156"/>
  <c r="H88" i="156"/>
  <c r="H89" i="156"/>
  <c r="H90" i="156"/>
  <c r="H91" i="156"/>
  <c r="H92" i="156"/>
  <c r="H93" i="156"/>
  <c r="H94" i="156"/>
  <c r="H95" i="156"/>
  <c r="H96" i="156"/>
  <c r="H97" i="156"/>
  <c r="H98" i="156"/>
  <c r="H99" i="156"/>
  <c r="H100" i="156"/>
  <c r="H101" i="156"/>
  <c r="H102" i="156"/>
  <c r="H103" i="156"/>
  <c r="H104" i="156"/>
  <c r="H105" i="156"/>
  <c r="H106" i="156"/>
  <c r="H107" i="156"/>
  <c r="H108" i="156"/>
  <c r="H109" i="156"/>
  <c r="H110" i="156"/>
  <c r="H111" i="156"/>
  <c r="H112" i="156"/>
  <c r="H113" i="156"/>
  <c r="H114" i="156"/>
  <c r="H115" i="156"/>
  <c r="H116" i="156"/>
  <c r="H117" i="156"/>
  <c r="H118" i="156"/>
  <c r="H119" i="156"/>
  <c r="G21" i="156"/>
  <c r="G22" i="156"/>
  <c r="G23" i="156"/>
  <c r="G25" i="156"/>
  <c r="G29" i="156"/>
  <c r="G30" i="156"/>
  <c r="G31" i="156"/>
  <c r="G32" i="156"/>
  <c r="G33" i="156"/>
  <c r="G34" i="156"/>
  <c r="G35" i="156"/>
  <c r="G36" i="156"/>
  <c r="G37" i="156"/>
  <c r="G38" i="156"/>
  <c r="G39" i="156"/>
  <c r="G40" i="156"/>
  <c r="G41" i="156"/>
  <c r="G42" i="156"/>
  <c r="G43" i="156"/>
  <c r="G44" i="156"/>
  <c r="G45" i="156"/>
  <c r="G46" i="156"/>
  <c r="G47" i="156"/>
  <c r="G48" i="156"/>
  <c r="G49" i="156"/>
  <c r="G50" i="156"/>
  <c r="G51" i="156"/>
  <c r="G52" i="156"/>
  <c r="G53" i="156"/>
  <c r="G54" i="156"/>
  <c r="G55" i="156"/>
  <c r="G56" i="156"/>
  <c r="G57" i="156"/>
  <c r="G58" i="156"/>
  <c r="G59" i="156"/>
  <c r="G60" i="156"/>
  <c r="G61" i="156"/>
  <c r="G62" i="156"/>
  <c r="G71" i="156"/>
  <c r="G72" i="156"/>
  <c r="G73" i="156"/>
  <c r="G74" i="156"/>
  <c r="G75" i="156"/>
  <c r="G76" i="156"/>
  <c r="G77" i="156"/>
  <c r="G78" i="156"/>
  <c r="G79" i="156"/>
  <c r="G80" i="156"/>
  <c r="G81" i="156"/>
  <c r="G82" i="156"/>
  <c r="G83" i="156"/>
  <c r="G84" i="156"/>
  <c r="G85" i="156"/>
  <c r="G86" i="156"/>
  <c r="G87" i="156"/>
  <c r="G88" i="156"/>
  <c r="G89" i="156"/>
  <c r="G90" i="156"/>
  <c r="G91" i="156"/>
  <c r="G92" i="156"/>
  <c r="G93" i="156"/>
  <c r="G95" i="156"/>
  <c r="G96" i="156"/>
  <c r="G97" i="156"/>
  <c r="G98" i="156"/>
  <c r="G99" i="156"/>
  <c r="G100" i="156"/>
  <c r="G101" i="156"/>
  <c r="G102" i="156"/>
  <c r="G103" i="156"/>
  <c r="E21" i="156"/>
  <c r="E22" i="156"/>
  <c r="E23" i="156"/>
  <c r="E24" i="156"/>
  <c r="E25" i="156"/>
  <c r="E26" i="156"/>
  <c r="E27" i="156"/>
  <c r="E28" i="156"/>
  <c r="E29" i="156"/>
  <c r="E30" i="156"/>
  <c r="E31" i="156"/>
  <c r="E32" i="156"/>
  <c r="E33" i="156"/>
  <c r="E34" i="156"/>
  <c r="E35" i="156"/>
  <c r="E36" i="156"/>
  <c r="E37" i="156"/>
  <c r="E38" i="156"/>
  <c r="E39" i="156"/>
  <c r="E40" i="156"/>
  <c r="E41" i="156"/>
  <c r="E42" i="156"/>
  <c r="E43" i="156"/>
  <c r="E44" i="156"/>
  <c r="E45" i="156"/>
  <c r="E46" i="156"/>
  <c r="E47" i="156"/>
  <c r="E48" i="156"/>
  <c r="E49" i="156"/>
  <c r="E50" i="156"/>
  <c r="E51" i="156"/>
  <c r="E52" i="156"/>
  <c r="E53" i="156"/>
  <c r="E54" i="156"/>
  <c r="E55" i="156"/>
  <c r="E56" i="156"/>
  <c r="E57" i="156"/>
  <c r="E58" i="156"/>
  <c r="E59" i="156"/>
  <c r="E60" i="156"/>
  <c r="E61" i="156"/>
  <c r="E62" i="156"/>
  <c r="E63" i="156"/>
  <c r="E64" i="156"/>
  <c r="E65" i="156"/>
  <c r="E66" i="156"/>
  <c r="E67" i="156"/>
  <c r="E68" i="156"/>
  <c r="E69" i="156"/>
  <c r="E70" i="156"/>
  <c r="E71" i="156"/>
  <c r="E72" i="156"/>
  <c r="E73" i="156"/>
  <c r="E74" i="156"/>
  <c r="E75" i="156"/>
  <c r="E76" i="156"/>
  <c r="E77" i="156"/>
  <c r="E78" i="156"/>
  <c r="E79" i="156"/>
  <c r="E80" i="156"/>
  <c r="E81" i="156"/>
  <c r="E82" i="156"/>
  <c r="E83" i="156"/>
  <c r="E84" i="156"/>
  <c r="E85" i="156"/>
  <c r="E86" i="156"/>
  <c r="E87" i="156"/>
  <c r="E88" i="156"/>
  <c r="E89" i="156"/>
  <c r="E90" i="156"/>
  <c r="E91" i="156"/>
  <c r="E92" i="156"/>
  <c r="E93" i="156"/>
  <c r="E94" i="156"/>
  <c r="E95" i="156"/>
  <c r="E96" i="156"/>
  <c r="E97" i="156"/>
  <c r="E98" i="156"/>
  <c r="E99" i="156"/>
  <c r="E100" i="156"/>
  <c r="E101" i="156"/>
  <c r="E102" i="156"/>
  <c r="E103" i="156"/>
  <c r="E104" i="156"/>
  <c r="E105" i="156"/>
  <c r="E106" i="156"/>
  <c r="E107" i="156"/>
  <c r="E108" i="156"/>
  <c r="E109" i="156"/>
  <c r="E110" i="156"/>
  <c r="E111" i="156"/>
  <c r="E112" i="156"/>
  <c r="E113" i="156"/>
  <c r="E114" i="156"/>
  <c r="E115" i="156"/>
  <c r="E116" i="156"/>
  <c r="E117" i="156"/>
  <c r="E118" i="156"/>
  <c r="E119" i="156"/>
  <c r="Q356" i="156"/>
  <c r="Q351" i="156"/>
  <c r="Q350" i="156"/>
  <c r="Q354" i="156"/>
  <c r="Q352" i="156"/>
  <c r="Q353" i="156"/>
  <c r="Q349" i="156"/>
  <c r="Q355" i="156"/>
  <c r="Q358" i="156"/>
  <c r="Q348" i="156"/>
  <c r="Q357" i="156"/>
  <c r="Q373" i="156"/>
  <c r="Q370" i="156"/>
  <c r="Q371" i="156"/>
  <c r="T375" i="156"/>
  <c r="T364" i="156"/>
  <c r="H279" i="156"/>
  <c r="H271" i="156"/>
  <c r="H270" i="156"/>
  <c r="H269" i="156"/>
  <c r="H268" i="156"/>
  <c r="H275" i="156"/>
  <c r="H280" i="156"/>
  <c r="H278" i="156"/>
  <c r="H277" i="156"/>
  <c r="H273" i="156"/>
  <c r="H281" i="156"/>
  <c r="H272" i="156"/>
  <c r="H276" i="156"/>
  <c r="H274" i="156"/>
  <c r="H207" i="156"/>
  <c r="H213" i="156"/>
  <c r="H293" i="156"/>
  <c r="H166" i="156"/>
  <c r="H325" i="156"/>
  <c r="H121" i="156"/>
  <c r="H18" i="156"/>
  <c r="H337" i="156"/>
  <c r="H20" i="156"/>
  <c r="H9" i="156"/>
  <c r="H19" i="156"/>
  <c r="H309" i="156"/>
  <c r="H15" i="156"/>
  <c r="H208" i="156"/>
  <c r="H215" i="156"/>
  <c r="H209" i="156"/>
  <c r="H318" i="156"/>
  <c r="H326" i="156"/>
  <c r="H282" i="156"/>
  <c r="H329" i="156"/>
  <c r="H319" i="156"/>
  <c r="H122" i="156"/>
  <c r="H135" i="156"/>
  <c r="H330" i="156"/>
  <c r="H285" i="156"/>
  <c r="H315" i="156"/>
  <c r="H16" i="156"/>
  <c r="H316" i="156"/>
  <c r="H210" i="156"/>
  <c r="H317" i="156"/>
  <c r="H266" i="156"/>
  <c r="H211" i="156"/>
  <c r="H140" i="156"/>
  <c r="H14" i="156"/>
  <c r="H323" i="156"/>
  <c r="H141" i="156"/>
  <c r="H324" i="156"/>
  <c r="H290" i="156"/>
  <c r="H193" i="156"/>
  <c r="H235" i="156"/>
  <c r="H136" i="156"/>
  <c r="H255" i="156"/>
  <c r="H232" i="156"/>
  <c r="H233" i="156"/>
  <c r="H221" i="156"/>
  <c r="H241" i="156"/>
  <c r="H238" i="156"/>
  <c r="H322" i="156"/>
  <c r="H200" i="156"/>
  <c r="H289" i="156"/>
  <c r="H10" i="156"/>
  <c r="H161" i="156"/>
  <c r="H218" i="156"/>
  <c r="H11" i="156"/>
  <c r="H288" i="156"/>
  <c r="H202" i="156"/>
  <c r="H236" i="156"/>
  <c r="H287" i="156"/>
  <c r="H12" i="156"/>
  <c r="H310" i="156"/>
  <c r="H155" i="156"/>
  <c r="H264" i="156"/>
  <c r="H133" i="156"/>
  <c r="H267" i="156"/>
  <c r="H265" i="156"/>
  <c r="H254" i="156"/>
  <c r="H148" i="156"/>
  <c r="H263" i="156"/>
  <c r="H149" i="156"/>
  <c r="H320" i="156"/>
  <c r="H340" i="156"/>
  <c r="H321" i="156"/>
  <c r="H286" i="156"/>
  <c r="H145" i="156"/>
  <c r="H13" i="156"/>
  <c r="H301" i="156"/>
  <c r="H298" i="156"/>
  <c r="H239" i="156"/>
  <c r="H299" i="156"/>
  <c r="H303" i="156"/>
  <c r="H154" i="156"/>
  <c r="H306" i="156"/>
  <c r="H300" i="156"/>
  <c r="H157" i="156"/>
  <c r="H139" i="156"/>
  <c r="H305" i="156"/>
  <c r="H156" i="156"/>
  <c r="H336" i="156"/>
  <c r="H138" i="156"/>
  <c r="H219" i="156"/>
  <c r="H137" i="156"/>
  <c r="H227" i="156"/>
  <c r="H142" i="156"/>
  <c r="H259" i="156"/>
  <c r="H335" i="156"/>
  <c r="H244" i="156"/>
  <c r="H243" i="156"/>
  <c r="H147" i="156"/>
  <c r="H143" i="156"/>
  <c r="H332" i="156"/>
  <c r="H153" i="156"/>
  <c r="H163" i="156"/>
  <c r="H198" i="156"/>
  <c r="H146" i="156"/>
  <c r="H186" i="156"/>
  <c r="H260" i="156"/>
  <c r="H134" i="156"/>
  <c r="H256" i="156"/>
  <c r="H194" i="156"/>
  <c r="H226" i="156"/>
  <c r="H191" i="156"/>
  <c r="H123" i="156"/>
  <c r="H187" i="156"/>
  <c r="H124" i="156"/>
  <c r="H190" i="156"/>
  <c r="H251" i="156"/>
  <c r="H125" i="156"/>
  <c r="H199" i="156"/>
  <c r="H126" i="156"/>
  <c r="H197" i="156"/>
  <c r="H127" i="156"/>
  <c r="H188" i="156"/>
  <c r="H283" i="156"/>
  <c r="H230" i="156"/>
  <c r="H160" i="156"/>
  <c r="H130" i="156"/>
  <c r="H196" i="156"/>
  <c r="H192" i="156"/>
  <c r="H195" i="156"/>
  <c r="H7" i="156"/>
  <c r="H334" i="156"/>
  <c r="H8" i="156"/>
  <c r="H333" i="156"/>
  <c r="H261" i="156"/>
  <c r="H151" i="156"/>
  <c r="H152" i="156"/>
  <c r="H132" i="156"/>
  <c r="H131" i="156"/>
  <c r="H249" i="156"/>
  <c r="H237" i="156"/>
  <c r="H246" i="156"/>
  <c r="H228" i="156"/>
  <c r="H220" i="156"/>
  <c r="H242" i="156"/>
  <c r="H252" i="156"/>
  <c r="H253" i="156"/>
  <c r="H257" i="156"/>
  <c r="H258" i="156"/>
  <c r="H234" i="156"/>
  <c r="H245" i="156"/>
  <c r="H240" i="156"/>
  <c r="H341" i="156"/>
  <c r="H343" i="156"/>
  <c r="H248" i="156"/>
  <c r="H223" i="156"/>
  <c r="H250" i="156"/>
  <c r="H302" i="156"/>
  <c r="H294" i="156"/>
  <c r="H296" i="156"/>
  <c r="H304" i="156"/>
  <c r="H297" i="156"/>
  <c r="H295" i="156"/>
  <c r="H222" i="156"/>
  <c r="H339" i="156"/>
  <c r="H338" i="156"/>
  <c r="H224" i="156"/>
  <c r="H225" i="156"/>
  <c r="H120" i="156"/>
  <c r="H284" i="156"/>
  <c r="H311" i="156"/>
  <c r="H314" i="156"/>
  <c r="H128" i="156"/>
  <c r="H327" i="156"/>
  <c r="H291" i="156"/>
  <c r="H292" i="156"/>
  <c r="H129" i="156"/>
  <c r="H328" i="156"/>
  <c r="H312" i="156"/>
  <c r="H313" i="156"/>
  <c r="H17" i="156"/>
  <c r="H214" i="156"/>
  <c r="H204" i="156"/>
  <c r="H205" i="156"/>
  <c r="H308" i="156"/>
  <c r="H307" i="156"/>
  <c r="H162" i="156"/>
  <c r="H167" i="156"/>
  <c r="H168" i="156"/>
  <c r="H169" i="156"/>
  <c r="H170" i="156"/>
  <c r="H171" i="156"/>
  <c r="H189" i="156"/>
  <c r="H201" i="156"/>
  <c r="H331" i="156"/>
  <c r="H206" i="156"/>
  <c r="H262" i="156"/>
  <c r="H158" i="156"/>
  <c r="H159" i="156"/>
  <c r="H144" i="156"/>
  <c r="H164" i="156"/>
  <c r="H203" i="156"/>
  <c r="H231" i="156"/>
  <c r="H229" i="156"/>
  <c r="H212" i="156"/>
  <c r="H165" i="156"/>
  <c r="B73" i="157"/>
  <c r="D31" i="157"/>
  <c r="D39" i="157"/>
  <c r="D4" i="157"/>
  <c r="D5" i="157"/>
  <c r="D6" i="157"/>
  <c r="D7" i="157"/>
  <c r="D8" i="157"/>
  <c r="D9" i="157"/>
  <c r="D10" i="157"/>
  <c r="D11" i="157"/>
  <c r="D12" i="157"/>
  <c r="D13" i="157"/>
  <c r="D14" i="157"/>
  <c r="D15" i="157"/>
  <c r="D16" i="157"/>
  <c r="D17" i="157"/>
  <c r="D18" i="157"/>
  <c r="D19" i="157"/>
  <c r="D20" i="157"/>
  <c r="D21" i="157"/>
  <c r="D22" i="157"/>
  <c r="D23" i="157"/>
  <c r="D24" i="157"/>
  <c r="D25" i="157"/>
  <c r="D26" i="157"/>
  <c r="D27" i="157"/>
  <c r="D28" i="157"/>
  <c r="D29" i="157"/>
  <c r="D30" i="157"/>
  <c r="D32" i="157"/>
  <c r="D33" i="157"/>
  <c r="D34" i="157"/>
  <c r="D35" i="157"/>
  <c r="D36" i="157"/>
  <c r="D37" i="157"/>
  <c r="D38" i="157"/>
  <c r="D40" i="157"/>
  <c r="D41" i="157"/>
  <c r="D42" i="157"/>
  <c r="D43" i="157"/>
  <c r="D3" i="157"/>
  <c r="AC346" i="156"/>
  <c r="AC347" i="156"/>
  <c r="AC348" i="156"/>
  <c r="AC349" i="156"/>
  <c r="AC350" i="156"/>
  <c r="AC351" i="156"/>
  <c r="AC352" i="156"/>
  <c r="AC353" i="156"/>
  <c r="AC354" i="156"/>
  <c r="AC355" i="156"/>
  <c r="AC356" i="156"/>
  <c r="AC357" i="156"/>
  <c r="AC358" i="156"/>
  <c r="AC359" i="156"/>
  <c r="AC360" i="156"/>
  <c r="AC361" i="156"/>
  <c r="AC362" i="156"/>
  <c r="AC363" i="156"/>
  <c r="AC364" i="156"/>
  <c r="AC365" i="156"/>
  <c r="AC366" i="156"/>
  <c r="AC367" i="156"/>
  <c r="AC368" i="156"/>
  <c r="AC369" i="156"/>
  <c r="AC370" i="156"/>
  <c r="AC371" i="156"/>
  <c r="AC372" i="156"/>
  <c r="AC373" i="156"/>
  <c r="AC374" i="156"/>
  <c r="AC375" i="156"/>
  <c r="AC376" i="156"/>
  <c r="AC377" i="156"/>
  <c r="AC378" i="156"/>
  <c r="AC379" i="156"/>
  <c r="AC380" i="156"/>
  <c r="AC381" i="156"/>
  <c r="AB346" i="156"/>
  <c r="AB347" i="156"/>
  <c r="AB348" i="156"/>
  <c r="AB349" i="156"/>
  <c r="AB350" i="156"/>
  <c r="AB351" i="156"/>
  <c r="AB352" i="156"/>
  <c r="AB353" i="156"/>
  <c r="AB354" i="156"/>
  <c r="AB355" i="156"/>
  <c r="AB356" i="156"/>
  <c r="AB357" i="156"/>
  <c r="AB358" i="156"/>
  <c r="AB359" i="156"/>
  <c r="AB360" i="156"/>
  <c r="AB361" i="156"/>
  <c r="AB362" i="156"/>
  <c r="AB363" i="156"/>
  <c r="AB364" i="156"/>
  <c r="AB365" i="156"/>
  <c r="AB366" i="156"/>
  <c r="AB367" i="156"/>
  <c r="AB371" i="156"/>
  <c r="AB372" i="156"/>
  <c r="AB373" i="156"/>
  <c r="AB374" i="156"/>
  <c r="AB375" i="156"/>
  <c r="AB376" i="156"/>
  <c r="AB377" i="156"/>
  <c r="AB378" i="156"/>
  <c r="AB379" i="156"/>
  <c r="Z346" i="156"/>
  <c r="Z347" i="156"/>
  <c r="Z348" i="156"/>
  <c r="Z349" i="156"/>
  <c r="Z350" i="156"/>
  <c r="Z351" i="156"/>
  <c r="Z352" i="156"/>
  <c r="Z353" i="156"/>
  <c r="Z354" i="156"/>
  <c r="Z355" i="156"/>
  <c r="Z356" i="156"/>
  <c r="Z357" i="156"/>
  <c r="Z358" i="156"/>
  <c r="Z359" i="156"/>
  <c r="Z360" i="156"/>
  <c r="Z361" i="156"/>
  <c r="Z362" i="156"/>
  <c r="Z363" i="156"/>
  <c r="Z364" i="156"/>
  <c r="Z365" i="156"/>
  <c r="Z366" i="156"/>
  <c r="Z367" i="156"/>
  <c r="Z368" i="156"/>
  <c r="Z369" i="156"/>
  <c r="Z370" i="156"/>
  <c r="Z371" i="156"/>
  <c r="Z372" i="156"/>
  <c r="Z373" i="156"/>
  <c r="Z374" i="156"/>
  <c r="Z375" i="156"/>
  <c r="Z376" i="156"/>
  <c r="Z377" i="156"/>
  <c r="Z378" i="156"/>
  <c r="Z379" i="156"/>
  <c r="Z380" i="156"/>
  <c r="Z381" i="156"/>
  <c r="Y346" i="156"/>
  <c r="Y347" i="156"/>
  <c r="Y348" i="156"/>
  <c r="Y349" i="156"/>
  <c r="Y350" i="156"/>
  <c r="Y351" i="156"/>
  <c r="Y352" i="156"/>
  <c r="Y353" i="156"/>
  <c r="Y354" i="156"/>
  <c r="Y355" i="156"/>
  <c r="Y356" i="156"/>
  <c r="Y357" i="156"/>
  <c r="Y358" i="156"/>
  <c r="Y359" i="156"/>
  <c r="Y360" i="156"/>
  <c r="Y361" i="156"/>
  <c r="Y362" i="156"/>
  <c r="Y363" i="156"/>
  <c r="Y364" i="156"/>
  <c r="Y365" i="156"/>
  <c r="Y366" i="156"/>
  <c r="Y367" i="156"/>
  <c r="Y368" i="156"/>
  <c r="Y369" i="156"/>
  <c r="Y370" i="156"/>
  <c r="Y371" i="156"/>
  <c r="Y372" i="156"/>
  <c r="Y373" i="156"/>
  <c r="Y375" i="156"/>
  <c r="Y376" i="156"/>
  <c r="Y377" i="156"/>
  <c r="Y378" i="156"/>
  <c r="Y379" i="156"/>
  <c r="Y380" i="156"/>
  <c r="Y381" i="156"/>
  <c r="W346" i="156"/>
  <c r="W347" i="156"/>
  <c r="W348" i="156"/>
  <c r="W349" i="156"/>
  <c r="W350" i="156"/>
  <c r="W351" i="156"/>
  <c r="W352" i="156"/>
  <c r="W353" i="156"/>
  <c r="W354" i="156"/>
  <c r="W355" i="156"/>
  <c r="W356" i="156"/>
  <c r="W357" i="156"/>
  <c r="W358" i="156"/>
  <c r="W359" i="156"/>
  <c r="W360" i="156"/>
  <c r="W361" i="156"/>
  <c r="W362" i="156"/>
  <c r="W363" i="156"/>
  <c r="W364" i="156"/>
  <c r="W365" i="156"/>
  <c r="W366" i="156"/>
  <c r="W367" i="156"/>
  <c r="W368" i="156"/>
  <c r="W369" i="156"/>
  <c r="W370" i="156"/>
  <c r="W371" i="156"/>
  <c r="W372" i="156"/>
  <c r="W373" i="156"/>
  <c r="W374" i="156"/>
  <c r="W375" i="156"/>
  <c r="W376" i="156"/>
  <c r="W377" i="156"/>
  <c r="W378" i="156"/>
  <c r="W379" i="156"/>
  <c r="W380" i="156"/>
  <c r="W381" i="156"/>
  <c r="V346" i="156"/>
  <c r="V347" i="156"/>
  <c r="V348" i="156"/>
  <c r="V349" i="156"/>
  <c r="V350" i="156"/>
  <c r="V351" i="156"/>
  <c r="V352" i="156"/>
  <c r="V353" i="156"/>
  <c r="V354" i="156"/>
  <c r="V355" i="156"/>
  <c r="V356" i="156"/>
  <c r="V357" i="156"/>
  <c r="V358" i="156"/>
  <c r="V359" i="156"/>
  <c r="V360" i="156"/>
  <c r="V361" i="156"/>
  <c r="V362" i="156"/>
  <c r="V363" i="156"/>
  <c r="V364" i="156"/>
  <c r="V365" i="156"/>
  <c r="V366" i="156"/>
  <c r="V367" i="156"/>
  <c r="V368" i="156"/>
  <c r="V369" i="156"/>
  <c r="V370" i="156"/>
  <c r="V372" i="156"/>
  <c r="V373" i="156"/>
  <c r="V374" i="156"/>
  <c r="V375" i="156"/>
  <c r="V376" i="156"/>
  <c r="V377" i="156"/>
  <c r="V378" i="156"/>
  <c r="V379" i="156"/>
  <c r="V380" i="156"/>
  <c r="V381" i="156"/>
  <c r="T346" i="156"/>
  <c r="T347" i="156"/>
  <c r="T348" i="156"/>
  <c r="T349" i="156"/>
  <c r="T350" i="156"/>
  <c r="T351" i="156"/>
  <c r="T352" i="156"/>
  <c r="T353" i="156"/>
  <c r="T354" i="156"/>
  <c r="T355" i="156"/>
  <c r="T356" i="156"/>
  <c r="T357" i="156"/>
  <c r="T358" i="156"/>
  <c r="T359" i="156"/>
  <c r="T360" i="156"/>
  <c r="T361" i="156"/>
  <c r="T362" i="156"/>
  <c r="T363" i="156"/>
  <c r="T365" i="156"/>
  <c r="T366" i="156"/>
  <c r="T367" i="156"/>
  <c r="T368" i="156"/>
  <c r="T369" i="156"/>
  <c r="T370" i="156"/>
  <c r="T371" i="156"/>
  <c r="T372" i="156"/>
  <c r="T373" i="156"/>
  <c r="T374" i="156"/>
  <c r="T376" i="156"/>
  <c r="T377" i="156"/>
  <c r="T378" i="156"/>
  <c r="T379" i="156"/>
  <c r="T380" i="156"/>
  <c r="T381" i="156"/>
  <c r="S346" i="156"/>
  <c r="S347" i="156"/>
  <c r="S348" i="156"/>
  <c r="S349" i="156"/>
  <c r="S350" i="156"/>
  <c r="S351" i="156"/>
  <c r="S352" i="156"/>
  <c r="S353" i="156"/>
  <c r="S354" i="156"/>
  <c r="S355" i="156"/>
  <c r="S356" i="156"/>
  <c r="S357" i="156"/>
  <c r="S358" i="156"/>
  <c r="S359" i="156"/>
  <c r="S360" i="156"/>
  <c r="S361" i="156"/>
  <c r="S362" i="156"/>
  <c r="S363" i="156"/>
  <c r="S370" i="156"/>
  <c r="S371" i="156"/>
  <c r="S376" i="156"/>
  <c r="S379" i="156"/>
  <c r="S380" i="156"/>
  <c r="S381" i="156"/>
  <c r="Q359" i="156"/>
  <c r="Q360" i="156"/>
  <c r="Q361" i="156"/>
  <c r="Q362" i="156"/>
  <c r="Q363" i="156"/>
  <c r="Q364" i="156"/>
  <c r="Q365" i="156"/>
  <c r="Q366" i="156"/>
  <c r="Q367" i="156"/>
  <c r="Q368" i="156"/>
  <c r="Q369" i="156"/>
  <c r="Q372" i="156"/>
  <c r="Q374" i="156"/>
  <c r="Q375" i="156"/>
  <c r="Q376" i="156"/>
  <c r="Q377" i="156"/>
  <c r="Q378" i="156"/>
  <c r="Q379" i="156"/>
  <c r="Q380" i="156"/>
  <c r="Q381" i="156"/>
  <c r="P365" i="156"/>
  <c r="P366" i="156"/>
  <c r="P367" i="156"/>
  <c r="P368" i="156"/>
  <c r="P369" i="156"/>
  <c r="P374" i="156"/>
  <c r="K346" i="156"/>
  <c r="K347" i="156"/>
  <c r="K348" i="156"/>
  <c r="K349" i="156"/>
  <c r="K350" i="156"/>
  <c r="K351" i="156"/>
  <c r="K352" i="156"/>
  <c r="K353" i="156"/>
  <c r="K354" i="156"/>
  <c r="K355" i="156"/>
  <c r="K356" i="156"/>
  <c r="K357" i="156"/>
  <c r="K358" i="156"/>
  <c r="K359" i="156"/>
  <c r="K360" i="156"/>
  <c r="K361" i="156"/>
  <c r="K362" i="156"/>
  <c r="K363" i="156"/>
  <c r="K364" i="156"/>
  <c r="K365" i="156"/>
  <c r="K366" i="156"/>
  <c r="K367" i="156"/>
  <c r="K368" i="156"/>
  <c r="K369" i="156"/>
  <c r="K370" i="156"/>
  <c r="K371" i="156"/>
  <c r="K372" i="156"/>
  <c r="K373" i="156"/>
  <c r="K374" i="156"/>
  <c r="K375" i="156"/>
  <c r="K376" i="156"/>
  <c r="K377" i="156"/>
  <c r="K378" i="156"/>
  <c r="K379" i="156"/>
  <c r="K380" i="156"/>
  <c r="K381" i="156"/>
  <c r="J346" i="156"/>
  <c r="J347" i="156"/>
  <c r="J348" i="156"/>
  <c r="J349" i="156"/>
  <c r="J350" i="156"/>
  <c r="J351" i="156"/>
  <c r="J352" i="156"/>
  <c r="J353" i="156"/>
  <c r="J354" i="156"/>
  <c r="J355" i="156"/>
  <c r="J356" i="156"/>
  <c r="J357" i="156"/>
  <c r="J358" i="156"/>
  <c r="J359" i="156"/>
  <c r="J360" i="156"/>
  <c r="J361" i="156"/>
  <c r="J362" i="156"/>
  <c r="J363" i="156"/>
  <c r="J364" i="156"/>
  <c r="J365" i="156"/>
  <c r="J366" i="156"/>
  <c r="J367" i="156"/>
  <c r="J368" i="156"/>
  <c r="J369" i="156"/>
  <c r="J370" i="156"/>
  <c r="J371" i="156"/>
  <c r="J372" i="156"/>
  <c r="J373" i="156"/>
  <c r="J374" i="156"/>
  <c r="J375" i="156"/>
  <c r="J376" i="156"/>
  <c r="J377" i="156"/>
  <c r="J378" i="156"/>
  <c r="J379" i="156"/>
  <c r="J380" i="156"/>
  <c r="J381" i="156"/>
  <c r="H346" i="156"/>
  <c r="H347" i="156"/>
  <c r="H348" i="156"/>
  <c r="H349" i="156"/>
  <c r="H350" i="156"/>
  <c r="H351" i="156"/>
  <c r="H352" i="156"/>
  <c r="H353" i="156"/>
  <c r="H354" i="156"/>
  <c r="H355" i="156"/>
  <c r="H356" i="156"/>
  <c r="H357" i="156"/>
  <c r="H358" i="156"/>
  <c r="H359" i="156"/>
  <c r="H360" i="156"/>
  <c r="H361" i="156"/>
  <c r="H362" i="156"/>
  <c r="H363" i="156"/>
  <c r="H364" i="156"/>
  <c r="H365" i="156"/>
  <c r="H366" i="156"/>
  <c r="H367" i="156"/>
  <c r="H368" i="156"/>
  <c r="H369" i="156"/>
  <c r="H370" i="156"/>
  <c r="H371" i="156"/>
  <c r="H372" i="156"/>
  <c r="H373" i="156"/>
  <c r="H374" i="156"/>
  <c r="H375" i="156"/>
  <c r="H376" i="156"/>
  <c r="H377" i="156"/>
  <c r="H378" i="156"/>
  <c r="H379" i="156"/>
  <c r="H380" i="156"/>
  <c r="H381" i="156"/>
  <c r="G346" i="156"/>
  <c r="G347" i="156"/>
  <c r="G348" i="156"/>
  <c r="G349" i="156"/>
  <c r="G350" i="156"/>
  <c r="G351" i="156"/>
  <c r="G352" i="156"/>
  <c r="G353" i="156"/>
  <c r="G354" i="156"/>
  <c r="G355" i="156"/>
  <c r="G356" i="156"/>
  <c r="G357" i="156"/>
  <c r="G358" i="156"/>
  <c r="G359" i="156"/>
  <c r="G360" i="156"/>
  <c r="G361" i="156"/>
  <c r="G362" i="156"/>
  <c r="G363" i="156"/>
  <c r="G364" i="156"/>
  <c r="G368" i="156"/>
  <c r="G369" i="156"/>
  <c r="G370" i="156"/>
  <c r="G371" i="156"/>
  <c r="G372" i="156"/>
  <c r="G373" i="156"/>
  <c r="G374" i="156"/>
  <c r="G375" i="156"/>
  <c r="G376" i="156"/>
  <c r="G377" i="156"/>
  <c r="G378" i="156"/>
  <c r="G379" i="156"/>
  <c r="G380" i="156"/>
  <c r="G381" i="156"/>
  <c r="E346" i="156"/>
  <c r="E347" i="156"/>
  <c r="E348" i="156"/>
  <c r="E349" i="156"/>
  <c r="E350" i="156"/>
  <c r="E351" i="156"/>
  <c r="E352" i="156"/>
  <c r="E353" i="156"/>
  <c r="E354" i="156"/>
  <c r="E355" i="156"/>
  <c r="E356" i="156"/>
  <c r="E357" i="156"/>
  <c r="E358" i="156"/>
  <c r="E359" i="156"/>
  <c r="E360" i="156"/>
  <c r="E361" i="156"/>
  <c r="E362" i="156"/>
  <c r="E363" i="156"/>
  <c r="E364" i="156"/>
  <c r="E365" i="156"/>
  <c r="E366" i="156"/>
  <c r="E367" i="156"/>
  <c r="E368" i="156"/>
  <c r="E369" i="156"/>
  <c r="E370" i="156"/>
  <c r="E371" i="156"/>
  <c r="E372" i="156"/>
  <c r="E373" i="156"/>
  <c r="E374" i="156"/>
  <c r="E375" i="156"/>
  <c r="E376" i="156"/>
  <c r="E377" i="156"/>
  <c r="E378" i="156"/>
  <c r="E379" i="156"/>
  <c r="E380" i="156"/>
  <c r="E381" i="156"/>
  <c r="E268" i="156"/>
  <c r="AC7" i="156"/>
  <c r="AC8" i="156"/>
  <c r="AC9" i="156"/>
  <c r="AC10" i="156"/>
  <c r="AC11" i="156"/>
  <c r="AC12" i="156"/>
  <c r="AC13" i="156"/>
  <c r="AC14" i="156"/>
  <c r="AC15" i="156"/>
  <c r="AC16" i="156"/>
  <c r="AC17" i="156"/>
  <c r="AC18" i="156"/>
  <c r="AC19" i="156"/>
  <c r="AC20" i="156"/>
  <c r="AC120" i="156"/>
  <c r="AC121" i="156"/>
  <c r="AC122" i="156"/>
  <c r="AC123" i="156"/>
  <c r="AC124" i="156"/>
  <c r="AC125" i="156"/>
  <c r="AC126" i="156"/>
  <c r="AC127" i="156"/>
  <c r="AC128" i="156"/>
  <c r="AC129" i="156"/>
  <c r="AC130" i="156"/>
  <c r="AC131" i="156"/>
  <c r="AC132" i="156"/>
  <c r="AC133" i="156"/>
  <c r="AC134" i="156"/>
  <c r="AC135" i="156"/>
  <c r="AC136" i="156"/>
  <c r="AC137" i="156"/>
  <c r="AC138" i="156"/>
  <c r="AC139" i="156"/>
  <c r="AC140" i="156"/>
  <c r="AC141" i="156"/>
  <c r="AC142" i="156"/>
  <c r="AC143" i="156"/>
  <c r="AC144" i="156"/>
  <c r="AC145" i="156"/>
  <c r="AC146" i="156"/>
  <c r="AC147" i="156"/>
  <c r="AC148" i="156"/>
  <c r="AC149" i="156"/>
  <c r="AC151" i="156"/>
  <c r="AC152" i="156"/>
  <c r="AC153" i="156"/>
  <c r="AC154" i="156"/>
  <c r="AC155" i="156"/>
  <c r="AC156" i="156"/>
  <c r="AC157" i="156"/>
  <c r="AC158" i="156"/>
  <c r="AC159" i="156"/>
  <c r="AC160" i="156"/>
  <c r="AC161" i="156"/>
  <c r="AC162" i="156"/>
  <c r="AC163" i="156"/>
  <c r="AC164" i="156"/>
  <c r="AC165" i="156"/>
  <c r="AC166" i="156"/>
  <c r="AC167" i="156"/>
  <c r="AC168" i="156"/>
  <c r="AC169" i="156"/>
  <c r="AC170" i="156"/>
  <c r="AC171" i="156"/>
  <c r="AC186" i="156"/>
  <c r="AC187" i="156"/>
  <c r="AC188" i="156"/>
  <c r="AC189" i="156"/>
  <c r="AC190" i="156"/>
  <c r="AC191" i="156"/>
  <c r="AC192" i="156"/>
  <c r="AC193" i="156"/>
  <c r="AC194" i="156"/>
  <c r="AC195" i="156"/>
  <c r="AC196" i="156"/>
  <c r="AC197" i="156"/>
  <c r="AC198" i="156"/>
  <c r="AC199" i="156"/>
  <c r="AC200" i="156"/>
  <c r="AC201" i="156"/>
  <c r="AC202" i="156"/>
  <c r="AC203" i="156"/>
  <c r="AC204" i="156"/>
  <c r="AC205" i="156"/>
  <c r="AC206" i="156"/>
  <c r="AC207" i="156"/>
  <c r="AC208" i="156"/>
  <c r="AC209" i="156"/>
  <c r="AC210" i="156"/>
  <c r="AC211" i="156"/>
  <c r="AC212" i="156"/>
  <c r="AC213" i="156"/>
  <c r="AC214" i="156"/>
  <c r="AC215" i="156"/>
  <c r="AC216" i="156"/>
  <c r="AC217" i="156"/>
  <c r="AC218" i="156"/>
  <c r="AC219" i="156"/>
  <c r="AC220" i="156"/>
  <c r="AC221" i="156"/>
  <c r="AC222" i="156"/>
  <c r="AC223" i="156"/>
  <c r="AC224" i="156"/>
  <c r="AC225" i="156"/>
  <c r="AC226" i="156"/>
  <c r="AC227" i="156"/>
  <c r="AC228" i="156"/>
  <c r="AC229" i="156"/>
  <c r="AC230" i="156"/>
  <c r="AC231" i="156"/>
  <c r="AC232" i="156"/>
  <c r="AC233" i="156"/>
  <c r="AC234" i="156"/>
  <c r="AC235" i="156"/>
  <c r="AC236" i="156"/>
  <c r="AC237" i="156"/>
  <c r="AC238" i="156"/>
  <c r="AC239" i="156"/>
  <c r="AC240" i="156"/>
  <c r="AC241" i="156"/>
  <c r="AC242" i="156"/>
  <c r="AC243" i="156"/>
  <c r="AC244" i="156"/>
  <c r="AC245" i="156"/>
  <c r="AC246" i="156"/>
  <c r="AC247" i="156"/>
  <c r="AC248" i="156"/>
  <c r="AC249" i="156"/>
  <c r="AC250" i="156"/>
  <c r="AC251" i="156"/>
  <c r="AC252" i="156"/>
  <c r="AC253" i="156"/>
  <c r="AC254" i="156"/>
  <c r="AC255" i="156"/>
  <c r="AC256" i="156"/>
  <c r="AC257" i="156"/>
  <c r="AC258" i="156"/>
  <c r="AC259" i="156"/>
  <c r="AC260" i="156"/>
  <c r="AC261" i="156"/>
  <c r="AC262" i="156"/>
  <c r="AC263" i="156"/>
  <c r="AC264" i="156"/>
  <c r="AC265" i="156"/>
  <c r="AC266" i="156"/>
  <c r="AC267" i="156"/>
  <c r="AC268" i="156"/>
  <c r="AC269" i="156"/>
  <c r="AC270" i="156"/>
  <c r="AC271" i="156"/>
  <c r="AC272" i="156"/>
  <c r="AC273" i="156"/>
  <c r="AC274" i="156"/>
  <c r="AC275" i="156"/>
  <c r="AC276" i="156"/>
  <c r="AC277" i="156"/>
  <c r="AC278" i="156"/>
  <c r="AC279" i="156"/>
  <c r="AC280" i="156"/>
  <c r="AC281" i="156"/>
  <c r="AC282" i="156"/>
  <c r="AC283" i="156"/>
  <c r="AC284" i="156"/>
  <c r="AC285" i="156"/>
  <c r="AC286" i="156"/>
  <c r="AC287" i="156"/>
  <c r="AC288" i="156"/>
  <c r="AC289" i="156"/>
  <c r="AC290" i="156"/>
  <c r="AC291" i="156"/>
  <c r="AC292" i="156"/>
  <c r="AC293" i="156"/>
  <c r="AC294" i="156"/>
  <c r="AC295" i="156"/>
  <c r="AC296" i="156"/>
  <c r="AC297" i="156"/>
  <c r="AC298" i="156"/>
  <c r="AC299" i="156"/>
  <c r="AC300" i="156"/>
  <c r="AC301" i="156"/>
  <c r="AC302" i="156"/>
  <c r="AC303" i="156"/>
  <c r="AC304" i="156"/>
  <c r="AC305" i="156"/>
  <c r="AC306" i="156"/>
  <c r="AC307" i="156"/>
  <c r="AC308" i="156"/>
  <c r="AC309" i="156"/>
  <c r="AC310" i="156"/>
  <c r="AC311" i="156"/>
  <c r="AC312" i="156"/>
  <c r="AC313" i="156"/>
  <c r="AC314" i="156"/>
  <c r="AC315" i="156"/>
  <c r="AC316" i="156"/>
  <c r="AC317" i="156"/>
  <c r="AC318" i="156"/>
  <c r="AC319" i="156"/>
  <c r="AC320" i="156"/>
  <c r="AC321" i="156"/>
  <c r="AC322" i="156"/>
  <c r="AC323" i="156"/>
  <c r="AC324" i="156"/>
  <c r="AC325" i="156"/>
  <c r="AC326" i="156"/>
  <c r="AC327" i="156"/>
  <c r="AC328" i="156"/>
  <c r="AC329" i="156"/>
  <c r="AC330" i="156"/>
  <c r="AC331" i="156"/>
  <c r="AC332" i="156"/>
  <c r="AC333" i="156"/>
  <c r="AC334" i="156"/>
  <c r="AC335" i="156"/>
  <c r="AC336" i="156"/>
  <c r="AC337" i="156"/>
  <c r="AC338" i="156"/>
  <c r="AC339" i="156"/>
  <c r="AC340" i="156"/>
  <c r="AC341" i="156"/>
  <c r="AC342" i="156"/>
  <c r="AC343" i="156"/>
  <c r="AC344" i="156"/>
  <c r="AC345" i="156"/>
  <c r="AC382" i="156"/>
  <c r="AC383" i="156"/>
  <c r="AC384" i="156"/>
  <c r="AC385" i="156"/>
  <c r="AC386" i="156"/>
  <c r="AC387" i="156"/>
  <c r="AC388" i="156"/>
  <c r="AC389" i="156"/>
  <c r="AC390" i="156"/>
  <c r="AC391" i="156"/>
  <c r="AC392" i="156"/>
  <c r="AC393" i="156"/>
  <c r="AC394" i="156"/>
  <c r="AC395" i="156"/>
  <c r="AC396" i="156"/>
  <c r="AC397" i="156"/>
  <c r="AC398" i="156"/>
  <c r="AC399" i="156"/>
  <c r="AC400" i="156"/>
  <c r="AC401" i="156"/>
  <c r="AC402" i="156"/>
  <c r="AC403" i="156"/>
  <c r="AC404" i="156"/>
  <c r="AC405" i="156"/>
  <c r="AC406" i="156"/>
  <c r="AC407" i="156"/>
  <c r="AC408" i="156"/>
  <c r="AC409" i="156"/>
  <c r="AC410" i="156"/>
  <c r="AC411" i="156"/>
  <c r="AC412" i="156"/>
  <c r="AC413" i="156"/>
  <c r="AC414" i="156"/>
  <c r="AC415" i="156"/>
  <c r="AC416" i="156"/>
  <c r="AC417" i="156"/>
  <c r="AC418" i="156"/>
  <c r="AC419" i="156"/>
  <c r="AC420" i="156"/>
  <c r="AC421" i="156"/>
  <c r="AC422" i="156"/>
  <c r="AC423" i="156"/>
  <c r="AC424" i="156"/>
  <c r="AC425" i="156"/>
  <c r="AC426" i="156"/>
  <c r="AC427" i="156"/>
  <c r="AC428" i="156"/>
  <c r="AC429" i="156"/>
  <c r="AC430" i="156"/>
  <c r="AC431" i="156"/>
  <c r="AC432" i="156"/>
  <c r="AC433" i="156"/>
  <c r="AC434" i="156"/>
  <c r="AC435" i="156"/>
  <c r="AC436" i="156"/>
  <c r="AC437" i="156"/>
  <c r="AC438" i="156"/>
  <c r="AC439" i="156"/>
  <c r="AC440" i="156"/>
  <c r="AC441" i="156"/>
  <c r="AC442" i="156"/>
  <c r="AC443" i="156"/>
  <c r="AC444" i="156"/>
  <c r="AC445" i="156"/>
  <c r="AC446" i="156"/>
  <c r="AC447" i="156"/>
  <c r="AC448" i="156"/>
  <c r="AC449" i="156"/>
  <c r="AC450" i="156"/>
  <c r="AC451" i="156"/>
  <c r="AC452" i="156"/>
  <c r="AC453" i="156"/>
  <c r="AC454" i="156"/>
  <c r="AC455" i="156"/>
  <c r="AC456" i="156"/>
  <c r="AC457" i="156"/>
  <c r="AC458" i="156"/>
  <c r="AC459" i="156"/>
  <c r="AC460" i="156"/>
  <c r="AC461" i="156"/>
  <c r="AC462" i="156"/>
  <c r="AC463" i="156"/>
  <c r="AC464" i="156"/>
  <c r="AC465" i="156"/>
  <c r="AC466" i="156"/>
  <c r="AC467" i="156"/>
  <c r="AC468" i="156"/>
  <c r="AC469" i="156"/>
  <c r="AC470" i="156"/>
  <c r="AC471" i="156"/>
  <c r="AC472" i="156"/>
  <c r="AC473" i="156"/>
  <c r="AC474" i="156"/>
  <c r="AC475" i="156"/>
  <c r="AC476" i="156"/>
  <c r="AC477" i="156"/>
  <c r="AC478" i="156"/>
  <c r="AC479" i="156"/>
  <c r="AC535" i="156"/>
  <c r="AB7" i="156"/>
  <c r="AB8" i="156"/>
  <c r="AB9" i="156"/>
  <c r="AB10" i="156"/>
  <c r="AB11" i="156"/>
  <c r="AB12" i="156"/>
  <c r="AB13" i="156"/>
  <c r="AB14" i="156"/>
  <c r="AB15" i="156"/>
  <c r="AB16" i="156"/>
  <c r="AB17" i="156"/>
  <c r="AB18" i="156"/>
  <c r="AB19" i="156"/>
  <c r="AB20" i="156"/>
  <c r="AB120" i="156"/>
  <c r="AB121" i="156"/>
  <c r="AB122" i="156"/>
  <c r="AB123" i="156"/>
  <c r="AB124" i="156"/>
  <c r="AB125" i="156"/>
  <c r="AB126" i="156"/>
  <c r="AB127" i="156"/>
  <c r="AB128" i="156"/>
  <c r="AB129" i="156"/>
  <c r="AB130" i="156"/>
  <c r="AB131" i="156"/>
  <c r="AB132" i="156"/>
  <c r="AB133" i="156"/>
  <c r="AB134" i="156"/>
  <c r="AB135" i="156"/>
  <c r="AB136" i="156"/>
  <c r="AB137" i="156"/>
  <c r="AB138" i="156"/>
  <c r="AB139" i="156"/>
  <c r="AB140" i="156"/>
  <c r="AB141" i="156"/>
  <c r="AB142" i="156"/>
  <c r="AB143" i="156"/>
  <c r="AB144" i="156"/>
  <c r="AB145" i="156"/>
  <c r="AB146" i="156"/>
  <c r="AB147" i="156"/>
  <c r="AB148" i="156"/>
  <c r="AB149" i="156"/>
  <c r="AB151" i="156"/>
  <c r="AB152" i="156"/>
  <c r="AB153" i="156"/>
  <c r="AB154" i="156"/>
  <c r="AB155" i="156"/>
  <c r="AB156" i="156"/>
  <c r="AB157" i="156"/>
  <c r="AB158" i="156"/>
  <c r="AB159" i="156"/>
  <c r="AB160" i="156"/>
  <c r="AB161" i="156"/>
  <c r="AB162" i="156"/>
  <c r="AB163" i="156"/>
  <c r="AB164" i="156"/>
  <c r="AB165" i="156"/>
  <c r="AB166" i="156"/>
  <c r="AB167" i="156"/>
  <c r="AB168" i="156"/>
  <c r="AB169" i="156"/>
  <c r="AB170" i="156"/>
  <c r="AB171" i="156"/>
  <c r="AB186" i="156"/>
  <c r="AB187" i="156"/>
  <c r="AB188" i="156"/>
  <c r="AB189" i="156"/>
  <c r="AB190" i="156"/>
  <c r="AB191" i="156"/>
  <c r="AB192" i="156"/>
  <c r="AB193" i="156"/>
  <c r="AB194" i="156"/>
  <c r="AB195" i="156"/>
  <c r="AB196" i="156"/>
  <c r="AB197" i="156"/>
  <c r="AB198" i="156"/>
  <c r="AB199" i="156"/>
  <c r="AB200" i="156"/>
  <c r="AB201" i="156"/>
  <c r="AB202" i="156"/>
  <c r="AB206" i="156"/>
  <c r="AB207" i="156"/>
  <c r="AB208" i="156"/>
  <c r="AB209" i="156"/>
  <c r="AB210" i="156"/>
  <c r="AB211" i="156"/>
  <c r="AB212" i="156"/>
  <c r="AB213" i="156"/>
  <c r="AB214" i="156"/>
  <c r="AB215" i="156"/>
  <c r="AB216" i="156"/>
  <c r="AB217" i="156"/>
  <c r="AB218" i="156"/>
  <c r="AB219" i="156"/>
  <c r="AB220" i="156"/>
  <c r="AB221" i="156"/>
  <c r="AB224" i="156"/>
  <c r="AB225" i="156"/>
  <c r="AB226" i="156"/>
  <c r="AB227" i="156"/>
  <c r="AB228" i="156"/>
  <c r="AB229" i="156"/>
  <c r="AB230" i="156"/>
  <c r="AB231" i="156"/>
  <c r="AB232" i="156"/>
  <c r="AB233" i="156"/>
  <c r="AB234" i="156"/>
  <c r="AB235" i="156"/>
  <c r="AB236" i="156"/>
  <c r="AB237" i="156"/>
  <c r="AB238" i="156"/>
  <c r="AB239" i="156"/>
  <c r="AB240" i="156"/>
  <c r="AB241" i="156"/>
  <c r="AB242" i="156"/>
  <c r="AB243" i="156"/>
  <c r="AB244" i="156"/>
  <c r="AB245" i="156"/>
  <c r="AB246" i="156"/>
  <c r="AB247" i="156"/>
  <c r="AB248" i="156"/>
  <c r="AB249" i="156"/>
  <c r="AB250" i="156"/>
  <c r="AB251" i="156"/>
  <c r="AB252" i="156"/>
  <c r="AB253" i="156"/>
  <c r="AB254" i="156"/>
  <c r="AB255" i="156"/>
  <c r="AB256" i="156"/>
  <c r="AB257" i="156"/>
  <c r="AB258" i="156"/>
  <c r="AB259" i="156"/>
  <c r="AB260" i="156"/>
  <c r="AB261" i="156"/>
  <c r="AB262" i="156"/>
  <c r="AB263" i="156"/>
  <c r="AB264" i="156"/>
  <c r="AB265" i="156"/>
  <c r="AB266" i="156"/>
  <c r="AB267" i="156"/>
  <c r="AB268" i="156"/>
  <c r="AB269" i="156"/>
  <c r="AB270" i="156"/>
  <c r="AB271" i="156"/>
  <c r="AB272" i="156"/>
  <c r="AB273" i="156"/>
  <c r="AB274" i="156"/>
  <c r="AB275" i="156"/>
  <c r="AB276" i="156"/>
  <c r="AB277" i="156"/>
  <c r="AB278" i="156"/>
  <c r="AB279" i="156"/>
  <c r="AB280" i="156"/>
  <c r="AB281" i="156"/>
  <c r="AB282" i="156"/>
  <c r="AB283" i="156"/>
  <c r="AB284" i="156"/>
  <c r="AB285" i="156"/>
  <c r="AB286" i="156"/>
  <c r="AB287" i="156"/>
  <c r="AB288" i="156"/>
  <c r="AB289" i="156"/>
  <c r="AB290" i="156"/>
  <c r="AB291" i="156"/>
  <c r="AB292" i="156"/>
  <c r="AB293" i="156"/>
  <c r="AB294" i="156"/>
  <c r="AB295" i="156"/>
  <c r="AB296" i="156"/>
  <c r="AB297" i="156"/>
  <c r="AB298" i="156"/>
  <c r="AB299" i="156"/>
  <c r="AB300" i="156"/>
  <c r="AB301" i="156"/>
  <c r="AB302" i="156"/>
  <c r="AB303" i="156"/>
  <c r="AB304" i="156"/>
  <c r="AB305" i="156"/>
  <c r="AB306" i="156"/>
  <c r="AB307" i="156"/>
  <c r="AB308" i="156"/>
  <c r="AB309" i="156"/>
  <c r="AB310" i="156"/>
  <c r="AB311" i="156"/>
  <c r="AB312" i="156"/>
  <c r="AB313" i="156"/>
  <c r="AB314" i="156"/>
  <c r="AB315" i="156"/>
  <c r="AB316" i="156"/>
  <c r="AB317" i="156"/>
  <c r="AB318" i="156"/>
  <c r="AB319" i="156"/>
  <c r="AB320" i="156"/>
  <c r="AB321" i="156"/>
  <c r="AB322" i="156"/>
  <c r="AB323" i="156"/>
  <c r="AB324" i="156"/>
  <c r="AB325" i="156"/>
  <c r="AB326" i="156"/>
  <c r="AB327" i="156"/>
  <c r="AB328" i="156"/>
  <c r="AB329" i="156"/>
  <c r="AB330" i="156"/>
  <c r="AB331" i="156"/>
  <c r="AB332" i="156"/>
  <c r="AB333" i="156"/>
  <c r="AB334" i="156"/>
  <c r="AB335" i="156"/>
  <c r="AB336" i="156"/>
  <c r="AB337" i="156"/>
  <c r="AB338" i="156"/>
  <c r="AB339" i="156"/>
  <c r="AB340" i="156"/>
  <c r="AB341" i="156"/>
  <c r="AB342" i="156"/>
  <c r="AB343" i="156"/>
  <c r="AB344" i="156"/>
  <c r="AB345" i="156"/>
  <c r="AB382" i="156"/>
  <c r="AB383" i="156"/>
  <c r="AB384" i="156"/>
  <c r="AB385" i="156"/>
  <c r="AB386" i="156"/>
  <c r="AB387" i="156"/>
  <c r="AB388" i="156"/>
  <c r="AB389" i="156"/>
  <c r="AB390" i="156"/>
  <c r="AB391" i="156"/>
  <c r="AB392" i="156"/>
  <c r="AB393" i="156"/>
  <c r="AB394" i="156"/>
  <c r="AB395" i="156"/>
  <c r="AB396" i="156"/>
  <c r="AB397" i="156"/>
  <c r="AB398" i="156"/>
  <c r="AB399" i="156"/>
  <c r="AB400" i="156"/>
  <c r="AB401" i="156"/>
  <c r="AB402" i="156"/>
  <c r="AB403" i="156"/>
  <c r="AB404" i="156"/>
  <c r="AB405" i="156"/>
  <c r="AB406" i="156"/>
  <c r="AB408" i="156"/>
  <c r="AB409" i="156"/>
  <c r="AB410" i="156"/>
  <c r="AB411" i="156"/>
  <c r="AB412" i="156"/>
  <c r="AB413" i="156"/>
  <c r="AB414" i="156"/>
  <c r="AB415" i="156"/>
  <c r="AB416" i="156"/>
  <c r="AB417" i="156"/>
  <c r="AB418" i="156"/>
  <c r="AB419" i="156"/>
  <c r="AB420" i="156"/>
  <c r="AB421" i="156"/>
  <c r="AB422" i="156"/>
  <c r="AB423" i="156"/>
  <c r="AB424" i="156"/>
  <c r="AB425" i="156"/>
  <c r="AB426" i="156"/>
  <c r="AB427" i="156"/>
  <c r="AB428" i="156"/>
  <c r="AB429" i="156"/>
  <c r="AB430" i="156"/>
  <c r="AB431" i="156"/>
  <c r="AB432" i="156"/>
  <c r="AB433" i="156"/>
  <c r="AB434" i="156"/>
  <c r="AB435" i="156"/>
  <c r="AB436" i="156"/>
  <c r="AB437" i="156"/>
  <c r="AB438" i="156"/>
  <c r="AB439" i="156"/>
  <c r="AB441" i="156"/>
  <c r="AB442" i="156"/>
  <c r="AB443" i="156"/>
  <c r="AB444" i="156"/>
  <c r="AB446" i="156"/>
  <c r="AB447" i="156"/>
  <c r="AB448" i="156"/>
  <c r="AB449" i="156"/>
  <c r="AB450" i="156"/>
  <c r="AB451" i="156"/>
  <c r="AB452" i="156"/>
  <c r="AB453" i="156"/>
  <c r="AB454" i="156"/>
  <c r="AB455" i="156"/>
  <c r="AB456" i="156"/>
  <c r="AB457" i="156"/>
  <c r="AB458" i="156"/>
  <c r="AB459" i="156"/>
  <c r="AB460" i="156"/>
  <c r="AB462" i="156"/>
  <c r="AB463" i="156"/>
  <c r="AB464" i="156"/>
  <c r="AB466" i="156"/>
  <c r="AB467" i="156"/>
  <c r="AB468" i="156"/>
  <c r="AB469" i="156"/>
  <c r="AB470" i="156"/>
  <c r="AB471" i="156"/>
  <c r="AB472" i="156"/>
  <c r="AB473" i="156"/>
  <c r="AB474" i="156"/>
  <c r="AB475" i="156"/>
  <c r="AB476" i="156"/>
  <c r="AB477" i="156"/>
  <c r="AB478" i="156"/>
  <c r="AB479" i="156"/>
  <c r="AB535" i="156"/>
  <c r="Z7" i="156"/>
  <c r="Z8" i="156"/>
  <c r="Z9" i="156"/>
  <c r="Z10" i="156"/>
  <c r="Z11" i="156"/>
  <c r="Z12" i="156"/>
  <c r="Z13" i="156"/>
  <c r="Z14" i="156"/>
  <c r="Z15" i="156"/>
  <c r="Z16" i="156"/>
  <c r="Z17" i="156"/>
  <c r="Z18" i="156"/>
  <c r="Z19" i="156"/>
  <c r="Z20" i="156"/>
  <c r="Z120" i="156"/>
  <c r="Z121" i="156"/>
  <c r="Z122" i="156"/>
  <c r="Z123" i="156"/>
  <c r="Z124" i="156"/>
  <c r="Z125" i="156"/>
  <c r="Z126" i="156"/>
  <c r="Z127" i="156"/>
  <c r="Z128" i="156"/>
  <c r="Z129" i="156"/>
  <c r="Z130" i="156"/>
  <c r="Z131" i="156"/>
  <c r="Z132" i="156"/>
  <c r="Z133" i="156"/>
  <c r="Z134" i="156"/>
  <c r="Z135" i="156"/>
  <c r="Z136" i="156"/>
  <c r="Z137" i="156"/>
  <c r="Z138" i="156"/>
  <c r="Z139" i="156"/>
  <c r="Z140" i="156"/>
  <c r="Z141" i="156"/>
  <c r="Z142" i="156"/>
  <c r="Z143" i="156"/>
  <c r="Z144" i="156"/>
  <c r="Z145" i="156"/>
  <c r="Z146" i="156"/>
  <c r="Z147" i="156"/>
  <c r="Z148" i="156"/>
  <c r="Z149" i="156"/>
  <c r="Z151" i="156"/>
  <c r="Z152" i="156"/>
  <c r="Z153" i="156"/>
  <c r="Z154" i="156"/>
  <c r="Z155" i="156"/>
  <c r="Z156" i="156"/>
  <c r="Z157" i="156"/>
  <c r="Z158" i="156"/>
  <c r="Z159" i="156"/>
  <c r="Z160" i="156"/>
  <c r="Z161" i="156"/>
  <c r="Z162" i="156"/>
  <c r="Z163" i="156"/>
  <c r="Z164" i="156"/>
  <c r="Z165" i="156"/>
  <c r="Z166" i="156"/>
  <c r="Z167" i="156"/>
  <c r="Z168" i="156"/>
  <c r="Z169" i="156"/>
  <c r="Z170" i="156"/>
  <c r="Z171" i="156"/>
  <c r="Z186" i="156"/>
  <c r="Z187" i="156"/>
  <c r="Z188" i="156"/>
  <c r="Z189" i="156"/>
  <c r="Z190" i="156"/>
  <c r="Z191" i="156"/>
  <c r="Z192" i="156"/>
  <c r="Z193" i="156"/>
  <c r="Z194" i="156"/>
  <c r="Z195" i="156"/>
  <c r="Z196" i="156"/>
  <c r="Z197" i="156"/>
  <c r="Z198" i="156"/>
  <c r="Z199" i="156"/>
  <c r="Z200" i="156"/>
  <c r="Z201" i="156"/>
  <c r="Z202" i="156"/>
  <c r="Z203" i="156"/>
  <c r="Z204" i="156"/>
  <c r="Z205" i="156"/>
  <c r="Z206" i="156"/>
  <c r="Z207" i="156"/>
  <c r="Z208" i="156"/>
  <c r="Z209" i="156"/>
  <c r="Z210" i="156"/>
  <c r="Z211" i="156"/>
  <c r="Z212" i="156"/>
  <c r="Z213" i="156"/>
  <c r="Z214" i="156"/>
  <c r="Z215" i="156"/>
  <c r="Z216" i="156"/>
  <c r="Z217" i="156"/>
  <c r="Z218" i="156"/>
  <c r="Z219" i="156"/>
  <c r="Z220" i="156"/>
  <c r="Z221" i="156"/>
  <c r="Z222" i="156"/>
  <c r="Z223" i="156"/>
  <c r="Z224" i="156"/>
  <c r="Z225" i="156"/>
  <c r="Z226" i="156"/>
  <c r="Z227" i="156"/>
  <c r="Z228" i="156"/>
  <c r="Z229" i="156"/>
  <c r="Z230" i="156"/>
  <c r="Z231" i="156"/>
  <c r="Z232" i="156"/>
  <c r="Z233" i="156"/>
  <c r="Z234" i="156"/>
  <c r="Z235" i="156"/>
  <c r="Z236" i="156"/>
  <c r="Z237" i="156"/>
  <c r="Z238" i="156"/>
  <c r="Z239" i="156"/>
  <c r="Z240" i="156"/>
  <c r="Z241" i="156"/>
  <c r="Z242" i="156"/>
  <c r="Z243" i="156"/>
  <c r="Z244" i="156"/>
  <c r="Z245" i="156"/>
  <c r="Z246" i="156"/>
  <c r="Z247" i="156"/>
  <c r="Z248" i="156"/>
  <c r="Z249" i="156"/>
  <c r="Z250" i="156"/>
  <c r="Z251" i="156"/>
  <c r="Z252" i="156"/>
  <c r="Z253" i="156"/>
  <c r="Z254" i="156"/>
  <c r="Z255" i="156"/>
  <c r="Z256" i="156"/>
  <c r="Z257" i="156"/>
  <c r="Z258" i="156"/>
  <c r="Z259" i="156"/>
  <c r="Z260" i="156"/>
  <c r="Z261" i="156"/>
  <c r="Z262" i="156"/>
  <c r="Z263" i="156"/>
  <c r="Z264" i="156"/>
  <c r="Z265" i="156"/>
  <c r="Z266" i="156"/>
  <c r="Z267" i="156"/>
  <c r="Z268" i="156"/>
  <c r="Z269" i="156"/>
  <c r="Z270" i="156"/>
  <c r="Z271" i="156"/>
  <c r="Z272" i="156"/>
  <c r="Z273" i="156"/>
  <c r="Z274" i="156"/>
  <c r="Z275" i="156"/>
  <c r="Z276" i="156"/>
  <c r="Z277" i="156"/>
  <c r="Z278" i="156"/>
  <c r="Z279" i="156"/>
  <c r="Z280" i="156"/>
  <c r="Z281" i="156"/>
  <c r="Z282" i="156"/>
  <c r="Z283" i="156"/>
  <c r="Z284" i="156"/>
  <c r="Z285" i="156"/>
  <c r="Z286" i="156"/>
  <c r="Z287" i="156"/>
  <c r="Z288" i="156"/>
  <c r="Z289" i="156"/>
  <c r="Z290" i="156"/>
  <c r="Z291" i="156"/>
  <c r="Z292" i="156"/>
  <c r="Z293" i="156"/>
  <c r="Z294" i="156"/>
  <c r="Z295" i="156"/>
  <c r="Z296" i="156"/>
  <c r="Z297" i="156"/>
  <c r="Z298" i="156"/>
  <c r="Z299" i="156"/>
  <c r="Z300" i="156"/>
  <c r="Z301" i="156"/>
  <c r="Z302" i="156"/>
  <c r="Z303" i="156"/>
  <c r="Z304" i="156"/>
  <c r="Z305" i="156"/>
  <c r="Z306" i="156"/>
  <c r="Z307" i="156"/>
  <c r="Z308" i="156"/>
  <c r="Z309" i="156"/>
  <c r="Z310" i="156"/>
  <c r="Z311" i="156"/>
  <c r="Z312" i="156"/>
  <c r="Z313" i="156"/>
  <c r="Z314" i="156"/>
  <c r="Z315" i="156"/>
  <c r="Z316" i="156"/>
  <c r="Z317" i="156"/>
  <c r="Z318" i="156"/>
  <c r="Z319" i="156"/>
  <c r="Z320" i="156"/>
  <c r="Z321" i="156"/>
  <c r="Z322" i="156"/>
  <c r="Z323" i="156"/>
  <c r="Z324" i="156"/>
  <c r="Z325" i="156"/>
  <c r="Z326" i="156"/>
  <c r="Z327" i="156"/>
  <c r="Z328" i="156"/>
  <c r="Z329" i="156"/>
  <c r="Z330" i="156"/>
  <c r="Z331" i="156"/>
  <c r="Z332" i="156"/>
  <c r="Z333" i="156"/>
  <c r="Z334" i="156"/>
  <c r="Z335" i="156"/>
  <c r="Z336" i="156"/>
  <c r="Z337" i="156"/>
  <c r="Z338" i="156"/>
  <c r="Z339" i="156"/>
  <c r="Z340" i="156"/>
  <c r="Z341" i="156"/>
  <c r="Z342" i="156"/>
  <c r="Z343" i="156"/>
  <c r="Z344" i="156"/>
  <c r="Z345" i="156"/>
  <c r="Z382" i="156"/>
  <c r="Z383" i="156"/>
  <c r="Z384" i="156"/>
  <c r="Z385" i="156"/>
  <c r="Z386" i="156"/>
  <c r="Z387" i="156"/>
  <c r="Z388" i="156"/>
  <c r="Z389" i="156"/>
  <c r="Z390" i="156"/>
  <c r="Z391" i="156"/>
  <c r="Z392" i="156"/>
  <c r="Z393" i="156"/>
  <c r="Z394" i="156"/>
  <c r="Z395" i="156"/>
  <c r="Z396" i="156"/>
  <c r="Z397" i="156"/>
  <c r="Z398" i="156"/>
  <c r="Z399" i="156"/>
  <c r="Z400" i="156"/>
  <c r="Z401" i="156"/>
  <c r="Z402" i="156"/>
  <c r="Z403" i="156"/>
  <c r="Z404" i="156"/>
  <c r="Z405" i="156"/>
  <c r="Z406" i="156"/>
  <c r="Z407" i="156"/>
  <c r="Z408" i="156"/>
  <c r="Z409" i="156"/>
  <c r="Z410" i="156"/>
  <c r="Z411" i="156"/>
  <c r="Z412" i="156"/>
  <c r="Z413" i="156"/>
  <c r="Z414" i="156"/>
  <c r="Z415" i="156"/>
  <c r="Z416" i="156"/>
  <c r="Z417" i="156"/>
  <c r="Z418" i="156"/>
  <c r="Z419" i="156"/>
  <c r="Z420" i="156"/>
  <c r="Z421" i="156"/>
  <c r="Z422" i="156"/>
  <c r="Z423" i="156"/>
  <c r="Z424" i="156"/>
  <c r="Z425" i="156"/>
  <c r="Z426" i="156"/>
  <c r="Z427" i="156"/>
  <c r="Z428" i="156"/>
  <c r="Z429" i="156"/>
  <c r="Z430" i="156"/>
  <c r="Z431" i="156"/>
  <c r="Z432" i="156"/>
  <c r="Z433" i="156"/>
  <c r="Z434" i="156"/>
  <c r="Z435" i="156"/>
  <c r="Z436" i="156"/>
  <c r="Z437" i="156"/>
  <c r="Z438" i="156"/>
  <c r="Z439" i="156"/>
  <c r="Z440" i="156"/>
  <c r="Z441" i="156"/>
  <c r="Z442" i="156"/>
  <c r="Z443" i="156"/>
  <c r="Z444" i="156"/>
  <c r="Z445" i="156"/>
  <c r="Z446" i="156"/>
  <c r="Z447" i="156"/>
  <c r="Z448" i="156"/>
  <c r="Z449" i="156"/>
  <c r="Z450" i="156"/>
  <c r="Z451" i="156"/>
  <c r="Z452" i="156"/>
  <c r="Z453" i="156"/>
  <c r="Z454" i="156"/>
  <c r="Z455" i="156"/>
  <c r="Z456" i="156"/>
  <c r="Z457" i="156"/>
  <c r="Z458" i="156"/>
  <c r="Z459" i="156"/>
  <c r="Z460" i="156"/>
  <c r="Z461" i="156"/>
  <c r="Z462" i="156"/>
  <c r="Z463" i="156"/>
  <c r="Z464" i="156"/>
  <c r="Z465" i="156"/>
  <c r="Z466" i="156"/>
  <c r="Z467" i="156"/>
  <c r="Z468" i="156"/>
  <c r="Z469" i="156"/>
  <c r="Z470" i="156"/>
  <c r="Z471" i="156"/>
  <c r="Z472" i="156"/>
  <c r="Z473" i="156"/>
  <c r="Z474" i="156"/>
  <c r="Z475" i="156"/>
  <c r="Z476" i="156"/>
  <c r="Z477" i="156"/>
  <c r="Z478" i="156"/>
  <c r="Z479" i="156"/>
  <c r="Z535" i="156"/>
  <c r="Y7" i="156"/>
  <c r="Y8" i="156"/>
  <c r="Y9" i="156"/>
  <c r="Y10" i="156"/>
  <c r="Y11" i="156"/>
  <c r="Y12" i="156"/>
  <c r="Y13" i="156"/>
  <c r="Y14" i="156"/>
  <c r="Y15" i="156"/>
  <c r="Y16" i="156"/>
  <c r="Y17" i="156"/>
  <c r="Y18" i="156"/>
  <c r="Y19" i="156"/>
  <c r="Y20" i="156"/>
  <c r="Y120" i="156"/>
  <c r="Y121" i="156"/>
  <c r="Y122" i="156"/>
  <c r="Y123" i="156"/>
  <c r="Y124" i="156"/>
  <c r="Y125" i="156"/>
  <c r="Y126" i="156"/>
  <c r="Y127" i="156"/>
  <c r="Y128" i="156"/>
  <c r="Y129" i="156"/>
  <c r="Y130" i="156"/>
  <c r="Y131" i="156"/>
  <c r="Y132" i="156"/>
  <c r="Y133" i="156"/>
  <c r="Y134" i="156"/>
  <c r="Y135" i="156"/>
  <c r="Y136" i="156"/>
  <c r="Y137" i="156"/>
  <c r="Y138" i="156"/>
  <c r="Y139" i="156"/>
  <c r="Y140" i="156"/>
  <c r="Y141" i="156"/>
  <c r="Y142" i="156"/>
  <c r="Y143" i="156"/>
  <c r="Y144" i="156"/>
  <c r="Y145" i="156"/>
  <c r="Y146" i="156"/>
  <c r="Y147" i="156"/>
  <c r="Y148" i="156"/>
  <c r="Y151" i="156"/>
  <c r="Y152" i="156"/>
  <c r="Y153" i="156"/>
  <c r="Y154" i="156"/>
  <c r="Y155" i="156"/>
  <c r="Y156" i="156"/>
  <c r="Y157" i="156"/>
  <c r="Y158" i="156"/>
  <c r="Y159" i="156"/>
  <c r="Y160" i="156"/>
  <c r="Y161" i="156"/>
  <c r="Y162" i="156"/>
  <c r="Y163" i="156"/>
  <c r="Y164" i="156"/>
  <c r="Y165" i="156"/>
  <c r="Y166" i="156"/>
  <c r="Y167" i="156"/>
  <c r="Y168" i="156"/>
  <c r="Y169" i="156"/>
  <c r="Y170" i="156"/>
  <c r="Y171" i="156"/>
  <c r="Y186" i="156"/>
  <c r="Y187" i="156"/>
  <c r="Y188" i="156"/>
  <c r="Y189" i="156"/>
  <c r="Y190" i="156"/>
  <c r="Y191" i="156"/>
  <c r="Y192" i="156"/>
  <c r="Y193" i="156"/>
  <c r="Y194" i="156"/>
  <c r="Y195" i="156"/>
  <c r="Y196" i="156"/>
  <c r="Y197" i="156"/>
  <c r="Y198" i="156"/>
  <c r="Y199" i="156"/>
  <c r="Y200" i="156"/>
  <c r="Y201" i="156"/>
  <c r="Y202" i="156"/>
  <c r="Y203" i="156"/>
  <c r="Y204" i="156"/>
  <c r="Y205" i="156"/>
  <c r="Y207" i="156"/>
  <c r="Y208" i="156"/>
  <c r="Y209" i="156"/>
  <c r="Y210" i="156"/>
  <c r="Y211" i="156"/>
  <c r="Y212" i="156"/>
  <c r="Y213" i="156"/>
  <c r="Y214" i="156"/>
  <c r="Y215" i="156"/>
  <c r="Y216" i="156"/>
  <c r="Y217" i="156"/>
  <c r="Y218" i="156"/>
  <c r="Y219" i="156"/>
  <c r="Y220" i="156"/>
  <c r="Y221" i="156"/>
  <c r="Y222" i="156"/>
  <c r="Y223" i="156"/>
  <c r="Y226" i="156"/>
  <c r="Y227" i="156"/>
  <c r="Y228" i="156"/>
  <c r="Y229" i="156"/>
  <c r="Y230" i="156"/>
  <c r="Y231" i="156"/>
  <c r="Y232" i="156"/>
  <c r="Y233" i="156"/>
  <c r="Y234" i="156"/>
  <c r="Y235" i="156"/>
  <c r="Y236" i="156"/>
  <c r="Y237" i="156"/>
  <c r="Y238" i="156"/>
  <c r="Y239" i="156"/>
  <c r="Y240" i="156"/>
  <c r="Y241" i="156"/>
  <c r="Y242" i="156"/>
  <c r="Y243" i="156"/>
  <c r="Y244" i="156"/>
  <c r="Y245" i="156"/>
  <c r="Y246" i="156"/>
  <c r="Y247" i="156"/>
  <c r="Y248" i="156"/>
  <c r="Y249" i="156"/>
  <c r="Y250" i="156"/>
  <c r="Y251" i="156"/>
  <c r="Y252" i="156"/>
  <c r="Y253" i="156"/>
  <c r="Y254" i="156"/>
  <c r="Y255" i="156"/>
  <c r="Y256" i="156"/>
  <c r="Y257" i="156"/>
  <c r="Y258" i="156"/>
  <c r="Y259" i="156"/>
  <c r="Y260" i="156"/>
  <c r="Y261" i="156"/>
  <c r="Y262" i="156"/>
  <c r="Y263" i="156"/>
  <c r="Y264" i="156"/>
  <c r="Y265" i="156"/>
  <c r="Y266" i="156"/>
  <c r="Y267" i="156"/>
  <c r="Y268" i="156"/>
  <c r="Y269" i="156"/>
  <c r="Y270" i="156"/>
  <c r="Y271" i="156"/>
  <c r="Y272" i="156"/>
  <c r="Y273" i="156"/>
  <c r="Y274" i="156"/>
  <c r="Y275" i="156"/>
  <c r="Y276" i="156"/>
  <c r="Y277" i="156"/>
  <c r="Y278" i="156"/>
  <c r="Y279" i="156"/>
  <c r="Y280" i="156"/>
  <c r="Y281" i="156"/>
  <c r="Y282" i="156"/>
  <c r="Y283" i="156"/>
  <c r="Y284" i="156"/>
  <c r="Y285" i="156"/>
  <c r="Y286" i="156"/>
  <c r="Y287" i="156"/>
  <c r="Y288" i="156"/>
  <c r="Y289" i="156"/>
  <c r="Y290" i="156"/>
  <c r="Y291" i="156"/>
  <c r="Y292" i="156"/>
  <c r="Y293" i="156"/>
  <c r="Y294" i="156"/>
  <c r="Y295" i="156"/>
  <c r="Y296" i="156"/>
  <c r="Y297" i="156"/>
  <c r="Y298" i="156"/>
  <c r="Y299" i="156"/>
  <c r="Y300" i="156"/>
  <c r="Y301" i="156"/>
  <c r="Y302" i="156"/>
  <c r="Y303" i="156"/>
  <c r="Y304" i="156"/>
  <c r="Y305" i="156"/>
  <c r="Y306" i="156"/>
  <c r="Y307" i="156"/>
  <c r="Y308" i="156"/>
  <c r="Y309" i="156"/>
  <c r="Y310" i="156"/>
  <c r="Y311" i="156"/>
  <c r="Y312" i="156"/>
  <c r="Y313" i="156"/>
  <c r="Y314" i="156"/>
  <c r="Y315" i="156"/>
  <c r="Y316" i="156"/>
  <c r="Y317" i="156"/>
  <c r="Y318" i="156"/>
  <c r="Y319" i="156"/>
  <c r="Y320" i="156"/>
  <c r="Y321" i="156"/>
  <c r="Y322" i="156"/>
  <c r="Y323" i="156"/>
  <c r="Y324" i="156"/>
  <c r="Y325" i="156"/>
  <c r="Y326" i="156"/>
  <c r="Y327" i="156"/>
  <c r="Y328" i="156"/>
  <c r="Y329" i="156"/>
  <c r="Y330" i="156"/>
  <c r="Y331" i="156"/>
  <c r="Y332" i="156"/>
  <c r="Y333" i="156"/>
  <c r="Y334" i="156"/>
  <c r="Y335" i="156"/>
  <c r="Y336" i="156"/>
  <c r="Y337" i="156"/>
  <c r="Y338" i="156"/>
  <c r="Y339" i="156"/>
  <c r="Y340" i="156"/>
  <c r="Y341" i="156"/>
  <c r="Y342" i="156"/>
  <c r="Y343" i="156"/>
  <c r="Y344" i="156"/>
  <c r="Y345" i="156"/>
  <c r="Y382" i="156"/>
  <c r="Y383" i="156"/>
  <c r="Y384" i="156"/>
  <c r="Y385" i="156"/>
  <c r="Y386" i="156"/>
  <c r="Y387" i="156"/>
  <c r="Y388" i="156"/>
  <c r="Y389" i="156"/>
  <c r="Y390" i="156"/>
  <c r="Y391" i="156"/>
  <c r="Y392" i="156"/>
  <c r="Y393" i="156"/>
  <c r="Y394" i="156"/>
  <c r="Y395" i="156"/>
  <c r="Y396" i="156"/>
  <c r="Y397" i="156"/>
  <c r="Y398" i="156"/>
  <c r="Y399" i="156"/>
  <c r="Y400" i="156"/>
  <c r="Y401" i="156"/>
  <c r="Y402" i="156"/>
  <c r="Y403" i="156"/>
  <c r="Y404" i="156"/>
  <c r="Y405" i="156"/>
  <c r="Y406" i="156"/>
  <c r="Y407" i="156"/>
  <c r="Y409" i="156"/>
  <c r="Y410" i="156"/>
  <c r="Y411" i="156"/>
  <c r="Y412" i="156"/>
  <c r="Y413" i="156"/>
  <c r="Y414" i="156"/>
  <c r="Y415" i="156"/>
  <c r="Y416" i="156"/>
  <c r="Y417" i="156"/>
  <c r="Y418" i="156"/>
  <c r="Y419" i="156"/>
  <c r="Y420" i="156"/>
  <c r="Y421" i="156"/>
  <c r="Y422" i="156"/>
  <c r="Y423" i="156"/>
  <c r="Y424" i="156"/>
  <c r="Y425" i="156"/>
  <c r="Y426" i="156"/>
  <c r="Y427" i="156"/>
  <c r="Y428" i="156"/>
  <c r="Y429" i="156"/>
  <c r="Y430" i="156"/>
  <c r="Y431" i="156"/>
  <c r="Y432" i="156"/>
  <c r="Y433" i="156"/>
  <c r="Y434" i="156"/>
  <c r="Y435" i="156"/>
  <c r="Y436" i="156"/>
  <c r="Y437" i="156"/>
  <c r="Y438" i="156"/>
  <c r="Y439" i="156"/>
  <c r="Y440" i="156"/>
  <c r="Y441" i="156"/>
  <c r="Y442" i="156"/>
  <c r="Y443" i="156"/>
  <c r="Y444" i="156"/>
  <c r="Y445" i="156"/>
  <c r="Y446" i="156"/>
  <c r="Y447" i="156"/>
  <c r="Y448" i="156"/>
  <c r="Y449" i="156"/>
  <c r="Y450" i="156"/>
  <c r="Y451" i="156"/>
  <c r="Y452" i="156"/>
  <c r="Y453" i="156"/>
  <c r="Y454" i="156"/>
  <c r="Y455" i="156"/>
  <c r="Y456" i="156"/>
  <c r="Y457" i="156"/>
  <c r="Y458" i="156"/>
  <c r="Y459" i="156"/>
  <c r="Y460" i="156"/>
  <c r="Y461" i="156"/>
  <c r="Y462" i="156"/>
  <c r="Y463" i="156"/>
  <c r="Y464" i="156"/>
  <c r="Y465" i="156"/>
  <c r="Y466" i="156"/>
  <c r="Y467" i="156"/>
  <c r="Y468" i="156"/>
  <c r="Y469" i="156"/>
  <c r="Y470" i="156"/>
  <c r="Y471" i="156"/>
  <c r="Y472" i="156"/>
  <c r="Y473" i="156"/>
  <c r="Y474" i="156"/>
  <c r="Y475" i="156"/>
  <c r="Y476" i="156"/>
  <c r="Y477" i="156"/>
  <c r="Y478" i="156"/>
  <c r="Y479" i="156"/>
  <c r="Y535" i="156"/>
  <c r="W7" i="156"/>
  <c r="W8" i="156"/>
  <c r="W9" i="156"/>
  <c r="W10" i="156"/>
  <c r="W11" i="156"/>
  <c r="W12" i="156"/>
  <c r="W13" i="156"/>
  <c r="W14" i="156"/>
  <c r="W15" i="156"/>
  <c r="W16" i="156"/>
  <c r="W17" i="156"/>
  <c r="W18" i="156"/>
  <c r="W19" i="156"/>
  <c r="W20" i="156"/>
  <c r="W120" i="156"/>
  <c r="W121" i="156"/>
  <c r="W122" i="156"/>
  <c r="W123" i="156"/>
  <c r="W124" i="156"/>
  <c r="W125" i="156"/>
  <c r="W126" i="156"/>
  <c r="W127" i="156"/>
  <c r="W128" i="156"/>
  <c r="W129" i="156"/>
  <c r="W130" i="156"/>
  <c r="W131" i="156"/>
  <c r="W132" i="156"/>
  <c r="W133" i="156"/>
  <c r="W134" i="156"/>
  <c r="W135" i="156"/>
  <c r="W136" i="156"/>
  <c r="W137" i="156"/>
  <c r="W138" i="156"/>
  <c r="W139" i="156"/>
  <c r="W140" i="156"/>
  <c r="W141" i="156"/>
  <c r="W142" i="156"/>
  <c r="W143" i="156"/>
  <c r="W144" i="156"/>
  <c r="W145" i="156"/>
  <c r="W146" i="156"/>
  <c r="W147" i="156"/>
  <c r="W148" i="156"/>
  <c r="W149" i="156"/>
  <c r="W151" i="156"/>
  <c r="W152" i="156"/>
  <c r="W153" i="156"/>
  <c r="W154" i="156"/>
  <c r="W155" i="156"/>
  <c r="W156" i="156"/>
  <c r="W157" i="156"/>
  <c r="W158" i="156"/>
  <c r="W159" i="156"/>
  <c r="W160" i="156"/>
  <c r="W161" i="156"/>
  <c r="W162" i="156"/>
  <c r="W163" i="156"/>
  <c r="W164" i="156"/>
  <c r="W165" i="156"/>
  <c r="W166" i="156"/>
  <c r="W167" i="156"/>
  <c r="W168" i="156"/>
  <c r="W169" i="156"/>
  <c r="W170" i="156"/>
  <c r="W171" i="156"/>
  <c r="W186" i="156"/>
  <c r="W187" i="156"/>
  <c r="W188" i="156"/>
  <c r="W189" i="156"/>
  <c r="W190" i="156"/>
  <c r="W191" i="156"/>
  <c r="W192" i="156"/>
  <c r="W193" i="156"/>
  <c r="W194" i="156"/>
  <c r="W195" i="156"/>
  <c r="W196" i="156"/>
  <c r="W197" i="156"/>
  <c r="W198" i="156"/>
  <c r="W199" i="156"/>
  <c r="W200" i="156"/>
  <c r="W201" i="156"/>
  <c r="W202" i="156"/>
  <c r="W203" i="156"/>
  <c r="W204" i="156"/>
  <c r="W205" i="156"/>
  <c r="W206" i="156"/>
  <c r="W207" i="156"/>
  <c r="W208" i="156"/>
  <c r="W209" i="156"/>
  <c r="W210" i="156"/>
  <c r="W211" i="156"/>
  <c r="W212" i="156"/>
  <c r="W213" i="156"/>
  <c r="W214" i="156"/>
  <c r="W215" i="156"/>
  <c r="W216" i="156"/>
  <c r="W217" i="156"/>
  <c r="W218" i="156"/>
  <c r="W219" i="156"/>
  <c r="W220" i="156"/>
  <c r="W221" i="156"/>
  <c r="W222" i="156"/>
  <c r="W223" i="156"/>
  <c r="W224" i="156"/>
  <c r="W225" i="156"/>
  <c r="W226" i="156"/>
  <c r="W227" i="156"/>
  <c r="W228" i="156"/>
  <c r="W229" i="156"/>
  <c r="W230" i="156"/>
  <c r="W231" i="156"/>
  <c r="W232" i="156"/>
  <c r="W233" i="156"/>
  <c r="W234" i="156"/>
  <c r="W235" i="156"/>
  <c r="W236" i="156"/>
  <c r="W237" i="156"/>
  <c r="W238" i="156"/>
  <c r="W239" i="156"/>
  <c r="W240" i="156"/>
  <c r="W241" i="156"/>
  <c r="W242" i="156"/>
  <c r="W243" i="156"/>
  <c r="W244" i="156"/>
  <c r="W245" i="156"/>
  <c r="W246" i="156"/>
  <c r="W247" i="156"/>
  <c r="W248" i="156"/>
  <c r="W249" i="156"/>
  <c r="W250" i="156"/>
  <c r="W251" i="156"/>
  <c r="W252" i="156"/>
  <c r="W253" i="156"/>
  <c r="W254" i="156"/>
  <c r="W255" i="156"/>
  <c r="W256" i="156"/>
  <c r="W257" i="156"/>
  <c r="W258" i="156"/>
  <c r="W259" i="156"/>
  <c r="W260" i="156"/>
  <c r="W261" i="156"/>
  <c r="W262" i="156"/>
  <c r="W263" i="156"/>
  <c r="W264" i="156"/>
  <c r="W265" i="156"/>
  <c r="W266" i="156"/>
  <c r="W267" i="156"/>
  <c r="W268" i="156"/>
  <c r="W269" i="156"/>
  <c r="W270" i="156"/>
  <c r="W271" i="156"/>
  <c r="W272" i="156"/>
  <c r="W273" i="156"/>
  <c r="W274" i="156"/>
  <c r="W275" i="156"/>
  <c r="W276" i="156"/>
  <c r="W277" i="156"/>
  <c r="W278" i="156"/>
  <c r="W279" i="156"/>
  <c r="W280" i="156"/>
  <c r="W281" i="156"/>
  <c r="W282" i="156"/>
  <c r="W283" i="156"/>
  <c r="W284" i="156"/>
  <c r="W285" i="156"/>
  <c r="W286" i="156"/>
  <c r="W287" i="156"/>
  <c r="W288" i="156"/>
  <c r="W289" i="156"/>
  <c r="W290" i="156"/>
  <c r="W291" i="156"/>
  <c r="W292" i="156"/>
  <c r="W293" i="156"/>
  <c r="W294" i="156"/>
  <c r="W295" i="156"/>
  <c r="W296" i="156"/>
  <c r="W297" i="156"/>
  <c r="W298" i="156"/>
  <c r="W299" i="156"/>
  <c r="W300" i="156"/>
  <c r="W301" i="156"/>
  <c r="W302" i="156"/>
  <c r="W303" i="156"/>
  <c r="W304" i="156"/>
  <c r="W305" i="156"/>
  <c r="W306" i="156"/>
  <c r="W307" i="156"/>
  <c r="W308" i="156"/>
  <c r="W309" i="156"/>
  <c r="W310" i="156"/>
  <c r="W311" i="156"/>
  <c r="W312" i="156"/>
  <c r="W313" i="156"/>
  <c r="W314" i="156"/>
  <c r="W315" i="156"/>
  <c r="W316" i="156"/>
  <c r="W317" i="156"/>
  <c r="W318" i="156"/>
  <c r="W319" i="156"/>
  <c r="W320" i="156"/>
  <c r="W321" i="156"/>
  <c r="W322" i="156"/>
  <c r="W323" i="156"/>
  <c r="W324" i="156"/>
  <c r="W325" i="156"/>
  <c r="W326" i="156"/>
  <c r="W327" i="156"/>
  <c r="W328" i="156"/>
  <c r="W329" i="156"/>
  <c r="W330" i="156"/>
  <c r="W331" i="156"/>
  <c r="W332" i="156"/>
  <c r="W333" i="156"/>
  <c r="W334" i="156"/>
  <c r="W335" i="156"/>
  <c r="W336" i="156"/>
  <c r="W337" i="156"/>
  <c r="W338" i="156"/>
  <c r="W339" i="156"/>
  <c r="W340" i="156"/>
  <c r="W341" i="156"/>
  <c r="W342" i="156"/>
  <c r="W343" i="156"/>
  <c r="W344" i="156"/>
  <c r="W345" i="156"/>
  <c r="W382" i="156"/>
  <c r="W383" i="156"/>
  <c r="W384" i="156"/>
  <c r="W385" i="156"/>
  <c r="W386" i="156"/>
  <c r="W387" i="156"/>
  <c r="W388" i="156"/>
  <c r="W389" i="156"/>
  <c r="W390" i="156"/>
  <c r="W391" i="156"/>
  <c r="W392" i="156"/>
  <c r="W393" i="156"/>
  <c r="W394" i="156"/>
  <c r="W395" i="156"/>
  <c r="W396" i="156"/>
  <c r="W397" i="156"/>
  <c r="W398" i="156"/>
  <c r="W399" i="156"/>
  <c r="W400" i="156"/>
  <c r="W401" i="156"/>
  <c r="W402" i="156"/>
  <c r="W403" i="156"/>
  <c r="W404" i="156"/>
  <c r="W405" i="156"/>
  <c r="W406" i="156"/>
  <c r="W407" i="156"/>
  <c r="W408" i="156"/>
  <c r="W409" i="156"/>
  <c r="W410" i="156"/>
  <c r="W411" i="156"/>
  <c r="W412" i="156"/>
  <c r="W413" i="156"/>
  <c r="W414" i="156"/>
  <c r="W415" i="156"/>
  <c r="W416" i="156"/>
  <c r="W417" i="156"/>
  <c r="W418" i="156"/>
  <c r="W419" i="156"/>
  <c r="W420" i="156"/>
  <c r="W421" i="156"/>
  <c r="W422" i="156"/>
  <c r="W423" i="156"/>
  <c r="W424" i="156"/>
  <c r="W425" i="156"/>
  <c r="W426" i="156"/>
  <c r="W427" i="156"/>
  <c r="W428" i="156"/>
  <c r="W429" i="156"/>
  <c r="W430" i="156"/>
  <c r="W431" i="156"/>
  <c r="W432" i="156"/>
  <c r="W433" i="156"/>
  <c r="W434" i="156"/>
  <c r="W435" i="156"/>
  <c r="W436" i="156"/>
  <c r="W437" i="156"/>
  <c r="W438" i="156"/>
  <c r="W439" i="156"/>
  <c r="W440" i="156"/>
  <c r="W441" i="156"/>
  <c r="W442" i="156"/>
  <c r="W443" i="156"/>
  <c r="W444" i="156"/>
  <c r="W445" i="156"/>
  <c r="W446" i="156"/>
  <c r="W447" i="156"/>
  <c r="W448" i="156"/>
  <c r="W449" i="156"/>
  <c r="W450" i="156"/>
  <c r="W451" i="156"/>
  <c r="W452" i="156"/>
  <c r="W453" i="156"/>
  <c r="W454" i="156"/>
  <c r="W455" i="156"/>
  <c r="W456" i="156"/>
  <c r="W457" i="156"/>
  <c r="W458" i="156"/>
  <c r="W459" i="156"/>
  <c r="W460" i="156"/>
  <c r="W461" i="156"/>
  <c r="W462" i="156"/>
  <c r="W463" i="156"/>
  <c r="W464" i="156"/>
  <c r="W465" i="156"/>
  <c r="W466" i="156"/>
  <c r="W467" i="156"/>
  <c r="W468" i="156"/>
  <c r="W469" i="156"/>
  <c r="W470" i="156"/>
  <c r="W471" i="156"/>
  <c r="W472" i="156"/>
  <c r="W473" i="156"/>
  <c r="W474" i="156"/>
  <c r="W475" i="156"/>
  <c r="W476" i="156"/>
  <c r="W477" i="156"/>
  <c r="W478" i="156"/>
  <c r="W479" i="156"/>
  <c r="W535" i="156"/>
  <c r="V7" i="156"/>
  <c r="V8" i="156"/>
  <c r="V9" i="156"/>
  <c r="V10" i="156"/>
  <c r="V11" i="156"/>
  <c r="V12" i="156"/>
  <c r="V13" i="156"/>
  <c r="V14" i="156"/>
  <c r="V15" i="156"/>
  <c r="V16" i="156"/>
  <c r="V17" i="156"/>
  <c r="V18" i="156"/>
  <c r="V19" i="156"/>
  <c r="V20" i="156"/>
  <c r="V120" i="156"/>
  <c r="V121" i="156"/>
  <c r="V122" i="156"/>
  <c r="V123" i="156"/>
  <c r="V124" i="156"/>
  <c r="V125" i="156"/>
  <c r="V126" i="156"/>
  <c r="V127" i="156"/>
  <c r="V128" i="156"/>
  <c r="V129" i="156"/>
  <c r="V130" i="156"/>
  <c r="V131" i="156"/>
  <c r="V132" i="156"/>
  <c r="V133" i="156"/>
  <c r="V134" i="156"/>
  <c r="V135" i="156"/>
  <c r="V136" i="156"/>
  <c r="V137" i="156"/>
  <c r="V138" i="156"/>
  <c r="V139" i="156"/>
  <c r="V140" i="156"/>
  <c r="V141" i="156"/>
  <c r="V142" i="156"/>
  <c r="V143" i="156"/>
  <c r="V144" i="156"/>
  <c r="V145" i="156"/>
  <c r="V146" i="156"/>
  <c r="V147" i="156"/>
  <c r="V148" i="156"/>
  <c r="V149" i="156"/>
  <c r="V151" i="156"/>
  <c r="V152" i="156"/>
  <c r="V153" i="156"/>
  <c r="V154" i="156"/>
  <c r="V155" i="156"/>
  <c r="V156" i="156"/>
  <c r="V157" i="156"/>
  <c r="V158" i="156"/>
  <c r="V159" i="156"/>
  <c r="V160" i="156"/>
  <c r="V161" i="156"/>
  <c r="V162" i="156"/>
  <c r="V163" i="156"/>
  <c r="V164" i="156"/>
  <c r="V165" i="156"/>
  <c r="V166" i="156"/>
  <c r="V167" i="156"/>
  <c r="V168" i="156"/>
  <c r="V169" i="156"/>
  <c r="V170" i="156"/>
  <c r="V171" i="156"/>
  <c r="V186" i="156"/>
  <c r="V187" i="156"/>
  <c r="V188" i="156"/>
  <c r="V189" i="156"/>
  <c r="V190" i="156"/>
  <c r="V191" i="156"/>
  <c r="V192" i="156"/>
  <c r="V193" i="156"/>
  <c r="V194" i="156"/>
  <c r="V195" i="156"/>
  <c r="V196" i="156"/>
  <c r="V197" i="156"/>
  <c r="V198" i="156"/>
  <c r="V199" i="156"/>
  <c r="V200" i="156"/>
  <c r="V201" i="156"/>
  <c r="V202" i="156"/>
  <c r="V203" i="156"/>
  <c r="V204" i="156"/>
  <c r="V205" i="156"/>
  <c r="V206" i="156"/>
  <c r="V207" i="156"/>
  <c r="V208" i="156"/>
  <c r="V209" i="156"/>
  <c r="V210" i="156"/>
  <c r="V211" i="156"/>
  <c r="V212" i="156"/>
  <c r="V213" i="156"/>
  <c r="V214" i="156"/>
  <c r="V215" i="156"/>
  <c r="V216" i="156"/>
  <c r="V217" i="156"/>
  <c r="V218" i="156"/>
  <c r="V219" i="156"/>
  <c r="V220" i="156"/>
  <c r="V221" i="156"/>
  <c r="V222" i="156"/>
  <c r="V223" i="156"/>
  <c r="V224" i="156"/>
  <c r="V225" i="156"/>
  <c r="V232" i="156"/>
  <c r="V233" i="156"/>
  <c r="V234" i="156"/>
  <c r="V235" i="156"/>
  <c r="V236" i="156"/>
  <c r="V237" i="156"/>
  <c r="V238" i="156"/>
  <c r="V239" i="156"/>
  <c r="V240" i="156"/>
  <c r="V241" i="156"/>
  <c r="V242" i="156"/>
  <c r="V243" i="156"/>
  <c r="V244" i="156"/>
  <c r="V245" i="156"/>
  <c r="V246" i="156"/>
  <c r="V247" i="156"/>
  <c r="V248" i="156"/>
  <c r="V249" i="156"/>
  <c r="V250" i="156"/>
  <c r="V251" i="156"/>
  <c r="V252" i="156"/>
  <c r="V253" i="156"/>
  <c r="V254" i="156"/>
  <c r="V255" i="156"/>
  <c r="V256" i="156"/>
  <c r="V257" i="156"/>
  <c r="V258" i="156"/>
  <c r="V259" i="156"/>
  <c r="V260" i="156"/>
  <c r="V261" i="156"/>
  <c r="V262" i="156"/>
  <c r="V263" i="156"/>
  <c r="V264" i="156"/>
  <c r="V265" i="156"/>
  <c r="V266" i="156"/>
  <c r="V267" i="156"/>
  <c r="V268" i="156"/>
  <c r="V269" i="156"/>
  <c r="V270" i="156"/>
  <c r="V271" i="156"/>
  <c r="V272" i="156"/>
  <c r="V273" i="156"/>
  <c r="V274" i="156"/>
  <c r="V275" i="156"/>
  <c r="V276" i="156"/>
  <c r="V277" i="156"/>
  <c r="V278" i="156"/>
  <c r="V279" i="156"/>
  <c r="V280" i="156"/>
  <c r="V281" i="156"/>
  <c r="V282" i="156"/>
  <c r="V283" i="156"/>
  <c r="V284" i="156"/>
  <c r="V285" i="156"/>
  <c r="V286" i="156"/>
  <c r="V287" i="156"/>
  <c r="V288" i="156"/>
  <c r="V289" i="156"/>
  <c r="V290" i="156"/>
  <c r="V291" i="156"/>
  <c r="V292" i="156"/>
  <c r="V293" i="156"/>
  <c r="V294" i="156"/>
  <c r="V295" i="156"/>
  <c r="V296" i="156"/>
  <c r="V297" i="156"/>
  <c r="V298" i="156"/>
  <c r="V299" i="156"/>
  <c r="V300" i="156"/>
  <c r="V301" i="156"/>
  <c r="V302" i="156"/>
  <c r="V303" i="156"/>
  <c r="V304" i="156"/>
  <c r="V305" i="156"/>
  <c r="V306" i="156"/>
  <c r="V307" i="156"/>
  <c r="V308" i="156"/>
  <c r="V309" i="156"/>
  <c r="V310" i="156"/>
  <c r="V311" i="156"/>
  <c r="V312" i="156"/>
  <c r="V313" i="156"/>
  <c r="V314" i="156"/>
  <c r="V315" i="156"/>
  <c r="V316" i="156"/>
  <c r="V317" i="156"/>
  <c r="V318" i="156"/>
  <c r="V319" i="156"/>
  <c r="V320" i="156"/>
  <c r="V321" i="156"/>
  <c r="V322" i="156"/>
  <c r="V323" i="156"/>
  <c r="V324" i="156"/>
  <c r="V325" i="156"/>
  <c r="V326" i="156"/>
  <c r="V327" i="156"/>
  <c r="V328" i="156"/>
  <c r="V329" i="156"/>
  <c r="V330" i="156"/>
  <c r="V331" i="156"/>
  <c r="V332" i="156"/>
  <c r="V333" i="156"/>
  <c r="V334" i="156"/>
  <c r="V335" i="156"/>
  <c r="V336" i="156"/>
  <c r="V337" i="156"/>
  <c r="V338" i="156"/>
  <c r="V339" i="156"/>
  <c r="V340" i="156"/>
  <c r="V341" i="156"/>
  <c r="V342" i="156"/>
  <c r="V343" i="156"/>
  <c r="V344" i="156"/>
  <c r="V345" i="156"/>
  <c r="V382" i="156"/>
  <c r="V383" i="156"/>
  <c r="V384" i="156"/>
  <c r="V385" i="156"/>
  <c r="V386" i="156"/>
  <c r="V387" i="156"/>
  <c r="V388" i="156"/>
  <c r="V389" i="156"/>
  <c r="V390" i="156"/>
  <c r="V391" i="156"/>
  <c r="V392" i="156"/>
  <c r="V393" i="156"/>
  <c r="V394" i="156"/>
  <c r="V395" i="156"/>
  <c r="V396" i="156"/>
  <c r="V397" i="156"/>
  <c r="V398" i="156"/>
  <c r="V399" i="156"/>
  <c r="V400" i="156"/>
  <c r="V401" i="156"/>
  <c r="V402" i="156"/>
  <c r="V403" i="156"/>
  <c r="V404" i="156"/>
  <c r="V405" i="156"/>
  <c r="V406" i="156"/>
  <c r="V407" i="156"/>
  <c r="V408" i="156"/>
  <c r="V410" i="156"/>
  <c r="V411" i="156"/>
  <c r="V412" i="156"/>
  <c r="V413" i="156"/>
  <c r="V414" i="156"/>
  <c r="V415" i="156"/>
  <c r="V416" i="156"/>
  <c r="V417" i="156"/>
  <c r="V418" i="156"/>
  <c r="V419" i="156"/>
  <c r="V420" i="156"/>
  <c r="V421" i="156"/>
  <c r="V422" i="156"/>
  <c r="V423" i="156"/>
  <c r="V424" i="156"/>
  <c r="V425" i="156"/>
  <c r="V426" i="156"/>
  <c r="V427" i="156"/>
  <c r="V428" i="156"/>
  <c r="V429" i="156"/>
  <c r="V430" i="156"/>
  <c r="V431" i="156"/>
  <c r="V432" i="156"/>
  <c r="V434" i="156"/>
  <c r="V435" i="156"/>
  <c r="V436" i="156"/>
  <c r="V437" i="156"/>
  <c r="V438" i="156"/>
  <c r="V439" i="156"/>
  <c r="V440" i="156"/>
  <c r="V441" i="156"/>
  <c r="V442" i="156"/>
  <c r="V443" i="156"/>
  <c r="V444" i="156"/>
  <c r="V445" i="156"/>
  <c r="V446" i="156"/>
  <c r="V447" i="156"/>
  <c r="V448" i="156"/>
  <c r="V449" i="156"/>
  <c r="V450" i="156"/>
  <c r="V451" i="156"/>
  <c r="V453" i="156"/>
  <c r="V454" i="156"/>
  <c r="V455" i="156"/>
  <c r="V456" i="156"/>
  <c r="V457" i="156"/>
  <c r="V458" i="156"/>
  <c r="V459" i="156"/>
  <c r="V460" i="156"/>
  <c r="V461" i="156"/>
  <c r="V462" i="156"/>
  <c r="V463" i="156"/>
  <c r="V464" i="156"/>
  <c r="V465" i="156"/>
  <c r="V466" i="156"/>
  <c r="V467" i="156"/>
  <c r="V468" i="156"/>
  <c r="V469" i="156"/>
  <c r="V470" i="156"/>
  <c r="V472" i="156"/>
  <c r="V473" i="156"/>
  <c r="V475" i="156"/>
  <c r="V476" i="156"/>
  <c r="V477" i="156"/>
  <c r="V478" i="156"/>
  <c r="V479" i="156"/>
  <c r="V535" i="156"/>
  <c r="T7" i="156"/>
  <c r="T8" i="156"/>
  <c r="T9" i="156"/>
  <c r="T10" i="156"/>
  <c r="T11" i="156"/>
  <c r="T12" i="156"/>
  <c r="T13" i="156"/>
  <c r="T14" i="156"/>
  <c r="T15" i="156"/>
  <c r="T16" i="156"/>
  <c r="T17" i="156"/>
  <c r="T18" i="156"/>
  <c r="T19" i="156"/>
  <c r="T20" i="156"/>
  <c r="T120" i="156"/>
  <c r="T121" i="156"/>
  <c r="T122" i="156"/>
  <c r="T123" i="156"/>
  <c r="T124" i="156"/>
  <c r="T125" i="156"/>
  <c r="T126" i="156"/>
  <c r="T127" i="156"/>
  <c r="T128" i="156"/>
  <c r="T129" i="156"/>
  <c r="T130" i="156"/>
  <c r="T131" i="156"/>
  <c r="T132" i="156"/>
  <c r="T133" i="156"/>
  <c r="T134" i="156"/>
  <c r="T135" i="156"/>
  <c r="T136" i="156"/>
  <c r="T137" i="156"/>
  <c r="T138" i="156"/>
  <c r="T139" i="156"/>
  <c r="T140" i="156"/>
  <c r="T141" i="156"/>
  <c r="T142" i="156"/>
  <c r="T143" i="156"/>
  <c r="T144" i="156"/>
  <c r="T145" i="156"/>
  <c r="T146" i="156"/>
  <c r="T147" i="156"/>
  <c r="T148" i="156"/>
  <c r="T149" i="156"/>
  <c r="T151" i="156"/>
  <c r="T152" i="156"/>
  <c r="T153" i="156"/>
  <c r="T154" i="156"/>
  <c r="T155" i="156"/>
  <c r="T156" i="156"/>
  <c r="T157" i="156"/>
  <c r="T158" i="156"/>
  <c r="T159" i="156"/>
  <c r="T160" i="156"/>
  <c r="T161" i="156"/>
  <c r="T162" i="156"/>
  <c r="T163" i="156"/>
  <c r="T164" i="156"/>
  <c r="T165" i="156"/>
  <c r="T166" i="156"/>
  <c r="T167" i="156"/>
  <c r="T168" i="156"/>
  <c r="T169" i="156"/>
  <c r="T170" i="156"/>
  <c r="T171" i="156"/>
  <c r="T186" i="156"/>
  <c r="T187" i="156"/>
  <c r="T188" i="156"/>
  <c r="T189" i="156"/>
  <c r="T190" i="156"/>
  <c r="T191" i="156"/>
  <c r="T192" i="156"/>
  <c r="T193" i="156"/>
  <c r="T194" i="156"/>
  <c r="T195" i="156"/>
  <c r="T196" i="156"/>
  <c r="T197" i="156"/>
  <c r="T198" i="156"/>
  <c r="T199" i="156"/>
  <c r="T200" i="156"/>
  <c r="T201" i="156"/>
  <c r="T202" i="156"/>
  <c r="T203" i="156"/>
  <c r="T204" i="156"/>
  <c r="T205" i="156"/>
  <c r="T206" i="156"/>
  <c r="T207" i="156"/>
  <c r="T208" i="156"/>
  <c r="T209" i="156"/>
  <c r="T210" i="156"/>
  <c r="T211" i="156"/>
  <c r="T212" i="156"/>
  <c r="T213" i="156"/>
  <c r="T214" i="156"/>
  <c r="T215" i="156"/>
  <c r="T216" i="156"/>
  <c r="T217" i="156"/>
  <c r="T218" i="156"/>
  <c r="T219" i="156"/>
  <c r="T220" i="156"/>
  <c r="T221" i="156"/>
  <c r="T222" i="156"/>
  <c r="T223" i="156"/>
  <c r="T224" i="156"/>
  <c r="T225" i="156"/>
  <c r="T226" i="156"/>
  <c r="T227" i="156"/>
  <c r="T228" i="156"/>
  <c r="T229" i="156"/>
  <c r="T230" i="156"/>
  <c r="T231" i="156"/>
  <c r="T232" i="156"/>
  <c r="T233" i="156"/>
  <c r="T234" i="156"/>
  <c r="T235" i="156"/>
  <c r="T236" i="156"/>
  <c r="T237" i="156"/>
  <c r="T238" i="156"/>
  <c r="T239" i="156"/>
  <c r="T240" i="156"/>
  <c r="T241" i="156"/>
  <c r="T242" i="156"/>
  <c r="T243" i="156"/>
  <c r="T244" i="156"/>
  <c r="T245" i="156"/>
  <c r="T246" i="156"/>
  <c r="T247" i="156"/>
  <c r="T248" i="156"/>
  <c r="T249" i="156"/>
  <c r="T250" i="156"/>
  <c r="T251" i="156"/>
  <c r="T252" i="156"/>
  <c r="T253" i="156"/>
  <c r="T254" i="156"/>
  <c r="T255" i="156"/>
  <c r="T256" i="156"/>
  <c r="T257" i="156"/>
  <c r="T258" i="156"/>
  <c r="T259" i="156"/>
  <c r="T260" i="156"/>
  <c r="T261" i="156"/>
  <c r="T262" i="156"/>
  <c r="T263" i="156"/>
  <c r="T264" i="156"/>
  <c r="T265" i="156"/>
  <c r="T266" i="156"/>
  <c r="T267" i="156"/>
  <c r="T268" i="156"/>
  <c r="T269" i="156"/>
  <c r="T270" i="156"/>
  <c r="T271" i="156"/>
  <c r="T272" i="156"/>
  <c r="T273" i="156"/>
  <c r="T274" i="156"/>
  <c r="T275" i="156"/>
  <c r="T276" i="156"/>
  <c r="T277" i="156"/>
  <c r="T278" i="156"/>
  <c r="T279" i="156"/>
  <c r="T280" i="156"/>
  <c r="T281" i="156"/>
  <c r="T282" i="156"/>
  <c r="T283" i="156"/>
  <c r="T284" i="156"/>
  <c r="T285" i="156"/>
  <c r="T286" i="156"/>
  <c r="T287" i="156"/>
  <c r="T288" i="156"/>
  <c r="T289" i="156"/>
  <c r="T290" i="156"/>
  <c r="T291" i="156"/>
  <c r="T292" i="156"/>
  <c r="T293" i="156"/>
  <c r="T294" i="156"/>
  <c r="T295" i="156"/>
  <c r="T296" i="156"/>
  <c r="T297" i="156"/>
  <c r="T298" i="156"/>
  <c r="T299" i="156"/>
  <c r="T300" i="156"/>
  <c r="T301" i="156"/>
  <c r="T302" i="156"/>
  <c r="T303" i="156"/>
  <c r="T304" i="156"/>
  <c r="T305" i="156"/>
  <c r="T306" i="156"/>
  <c r="T307" i="156"/>
  <c r="T308" i="156"/>
  <c r="T309" i="156"/>
  <c r="T310" i="156"/>
  <c r="T311" i="156"/>
  <c r="T312" i="156"/>
  <c r="T313" i="156"/>
  <c r="T314" i="156"/>
  <c r="T315" i="156"/>
  <c r="T316" i="156"/>
  <c r="T317" i="156"/>
  <c r="T318" i="156"/>
  <c r="T319" i="156"/>
  <c r="T320" i="156"/>
  <c r="T321" i="156"/>
  <c r="T322" i="156"/>
  <c r="T323" i="156"/>
  <c r="T324" i="156"/>
  <c r="T325" i="156"/>
  <c r="T326" i="156"/>
  <c r="T327" i="156"/>
  <c r="T328" i="156"/>
  <c r="T329" i="156"/>
  <c r="T330" i="156"/>
  <c r="T331" i="156"/>
  <c r="T332" i="156"/>
  <c r="T333" i="156"/>
  <c r="T334" i="156"/>
  <c r="T335" i="156"/>
  <c r="T336" i="156"/>
  <c r="T337" i="156"/>
  <c r="T338" i="156"/>
  <c r="T339" i="156"/>
  <c r="T340" i="156"/>
  <c r="T341" i="156"/>
  <c r="T342" i="156"/>
  <c r="T343" i="156"/>
  <c r="T344" i="156"/>
  <c r="T345" i="156"/>
  <c r="T382" i="156"/>
  <c r="T383" i="156"/>
  <c r="T384" i="156"/>
  <c r="T385" i="156"/>
  <c r="T386" i="156"/>
  <c r="T387" i="156"/>
  <c r="T388" i="156"/>
  <c r="T389" i="156"/>
  <c r="T390" i="156"/>
  <c r="T391" i="156"/>
  <c r="T392" i="156"/>
  <c r="T393" i="156"/>
  <c r="T394" i="156"/>
  <c r="T395" i="156"/>
  <c r="T396" i="156"/>
  <c r="T397" i="156"/>
  <c r="T398" i="156"/>
  <c r="T399" i="156"/>
  <c r="T400" i="156"/>
  <c r="T401" i="156"/>
  <c r="T402" i="156"/>
  <c r="T403" i="156"/>
  <c r="T404" i="156"/>
  <c r="T405" i="156"/>
  <c r="T406" i="156"/>
  <c r="T407" i="156"/>
  <c r="T408" i="156"/>
  <c r="T409" i="156"/>
  <c r="T410" i="156"/>
  <c r="T411" i="156"/>
  <c r="T412" i="156"/>
  <c r="T413" i="156"/>
  <c r="T414" i="156"/>
  <c r="T415" i="156"/>
  <c r="T416" i="156"/>
  <c r="T417" i="156"/>
  <c r="T418" i="156"/>
  <c r="T419" i="156"/>
  <c r="T420" i="156"/>
  <c r="T421" i="156"/>
  <c r="T422" i="156"/>
  <c r="T423" i="156"/>
  <c r="T424" i="156"/>
  <c r="T425" i="156"/>
  <c r="T426" i="156"/>
  <c r="T427" i="156"/>
  <c r="T428" i="156"/>
  <c r="T429" i="156"/>
  <c r="T430" i="156"/>
  <c r="T431" i="156"/>
  <c r="T432" i="156"/>
  <c r="T433" i="156"/>
  <c r="T434" i="156"/>
  <c r="T435" i="156"/>
  <c r="T436" i="156"/>
  <c r="T437" i="156"/>
  <c r="T438" i="156"/>
  <c r="T439" i="156"/>
  <c r="T440" i="156"/>
  <c r="T441" i="156"/>
  <c r="T442" i="156"/>
  <c r="T443" i="156"/>
  <c r="T444" i="156"/>
  <c r="T445" i="156"/>
  <c r="T446" i="156"/>
  <c r="T447" i="156"/>
  <c r="T448" i="156"/>
  <c r="T449" i="156"/>
  <c r="T450" i="156"/>
  <c r="T451" i="156"/>
  <c r="T452" i="156"/>
  <c r="T453" i="156"/>
  <c r="T454" i="156"/>
  <c r="T455" i="156"/>
  <c r="T456" i="156"/>
  <c r="T457" i="156"/>
  <c r="T458" i="156"/>
  <c r="T459" i="156"/>
  <c r="T460" i="156"/>
  <c r="T461" i="156"/>
  <c r="T462" i="156"/>
  <c r="T463" i="156"/>
  <c r="T464" i="156"/>
  <c r="T465" i="156"/>
  <c r="T466" i="156"/>
  <c r="T467" i="156"/>
  <c r="T468" i="156"/>
  <c r="T469" i="156"/>
  <c r="T470" i="156"/>
  <c r="T471" i="156"/>
  <c r="T472" i="156"/>
  <c r="T473" i="156"/>
  <c r="T474" i="156"/>
  <c r="T475" i="156"/>
  <c r="T476" i="156"/>
  <c r="T477" i="156"/>
  <c r="T478" i="156"/>
  <c r="T479" i="156"/>
  <c r="T535" i="156"/>
  <c r="S7" i="156"/>
  <c r="S8" i="156"/>
  <c r="S9" i="156"/>
  <c r="S10" i="156"/>
  <c r="S11" i="156"/>
  <c r="S12" i="156"/>
  <c r="S13" i="156"/>
  <c r="S14" i="156"/>
  <c r="S15" i="156"/>
  <c r="S16" i="156"/>
  <c r="S17" i="156"/>
  <c r="S18" i="156"/>
  <c r="S19" i="156"/>
  <c r="S20" i="156"/>
  <c r="S120" i="156"/>
  <c r="S121" i="156"/>
  <c r="S122" i="156"/>
  <c r="S123" i="156"/>
  <c r="S124" i="156"/>
  <c r="S125" i="156"/>
  <c r="S126" i="156"/>
  <c r="S127" i="156"/>
  <c r="S128" i="156"/>
  <c r="S129" i="156"/>
  <c r="S130" i="156"/>
  <c r="S131" i="156"/>
  <c r="S132" i="156"/>
  <c r="S139" i="156"/>
  <c r="S140" i="156"/>
  <c r="S141" i="156"/>
  <c r="S142" i="156"/>
  <c r="S143" i="156"/>
  <c r="S144" i="156"/>
  <c r="S145" i="156"/>
  <c r="S146" i="156"/>
  <c r="S147" i="156"/>
  <c r="S148" i="156"/>
  <c r="S149" i="156"/>
  <c r="S152" i="156"/>
  <c r="S153" i="156"/>
  <c r="S154" i="156"/>
  <c r="S155" i="156"/>
  <c r="S158" i="156"/>
  <c r="S159" i="156"/>
  <c r="S160" i="156"/>
  <c r="S161" i="156"/>
  <c r="S162" i="156"/>
  <c r="S163" i="156"/>
  <c r="S164" i="156"/>
  <c r="S165" i="156"/>
  <c r="S166" i="156"/>
  <c r="S167" i="156"/>
  <c r="S168" i="156"/>
  <c r="S169" i="156"/>
  <c r="S170" i="156"/>
  <c r="S171" i="156"/>
  <c r="S186" i="156"/>
  <c r="S187" i="156"/>
  <c r="S188" i="156"/>
  <c r="S189" i="156"/>
  <c r="S190" i="156"/>
  <c r="S191" i="156"/>
  <c r="S192" i="156"/>
  <c r="S193" i="156"/>
  <c r="S194" i="156"/>
  <c r="S195" i="156"/>
  <c r="S196" i="156"/>
  <c r="S197" i="156"/>
  <c r="S198" i="156"/>
  <c r="S199" i="156"/>
  <c r="S200" i="156"/>
  <c r="S201" i="156"/>
  <c r="S202" i="156"/>
  <c r="S203" i="156"/>
  <c r="S204" i="156"/>
  <c r="S205" i="156"/>
  <c r="S206" i="156"/>
  <c r="S211" i="156"/>
  <c r="S212" i="156"/>
  <c r="S213" i="156"/>
  <c r="S214" i="156"/>
  <c r="S215" i="156"/>
  <c r="S216" i="156"/>
  <c r="S217" i="156"/>
  <c r="S218" i="156"/>
  <c r="S237" i="156"/>
  <c r="S238" i="156"/>
  <c r="S239" i="156"/>
  <c r="S240" i="156"/>
  <c r="S241" i="156"/>
  <c r="S242" i="156"/>
  <c r="S243" i="156"/>
  <c r="S244" i="156"/>
  <c r="S245" i="156"/>
  <c r="S254" i="156"/>
  <c r="S255" i="156"/>
  <c r="S256" i="156"/>
  <c r="S257" i="156"/>
  <c r="S258" i="156"/>
  <c r="S259" i="156"/>
  <c r="S260" i="156"/>
  <c r="S261" i="156"/>
  <c r="S262" i="156"/>
  <c r="S263" i="156"/>
  <c r="S264" i="156"/>
  <c r="S265" i="156"/>
  <c r="S266" i="156"/>
  <c r="S267" i="156"/>
  <c r="S268" i="156"/>
  <c r="S269" i="156"/>
  <c r="S270" i="156"/>
  <c r="S271" i="156"/>
  <c r="S272" i="156"/>
  <c r="S273" i="156"/>
  <c r="S274" i="156"/>
  <c r="S275" i="156"/>
  <c r="S276" i="156"/>
  <c r="S277" i="156"/>
  <c r="S278" i="156"/>
  <c r="S279" i="156"/>
  <c r="S280" i="156"/>
  <c r="S281" i="156"/>
  <c r="S282" i="156"/>
  <c r="S283" i="156"/>
  <c r="S284" i="156"/>
  <c r="S285" i="156"/>
  <c r="S286" i="156"/>
  <c r="S287" i="156"/>
  <c r="S288" i="156"/>
  <c r="S289" i="156"/>
  <c r="S290" i="156"/>
  <c r="S291" i="156"/>
  <c r="S292" i="156"/>
  <c r="S293" i="156"/>
  <c r="S294" i="156"/>
  <c r="S295" i="156"/>
  <c r="S296" i="156"/>
  <c r="S297" i="156"/>
  <c r="S298" i="156"/>
  <c r="S299" i="156"/>
  <c r="S300" i="156"/>
  <c r="S301" i="156"/>
  <c r="S302" i="156"/>
  <c r="S303" i="156"/>
  <c r="S304" i="156"/>
  <c r="S305" i="156"/>
  <c r="S306" i="156"/>
  <c r="S307" i="156"/>
  <c r="S308" i="156"/>
  <c r="S309" i="156"/>
  <c r="S310" i="156"/>
  <c r="S311" i="156"/>
  <c r="S312" i="156"/>
  <c r="S313" i="156"/>
  <c r="S314" i="156"/>
  <c r="S315" i="156"/>
  <c r="S316" i="156"/>
  <c r="S317" i="156"/>
  <c r="S318" i="156"/>
  <c r="S319" i="156"/>
  <c r="S320" i="156"/>
  <c r="S321" i="156"/>
  <c r="S322" i="156"/>
  <c r="S323" i="156"/>
  <c r="S324" i="156"/>
  <c r="S325" i="156"/>
  <c r="S326" i="156"/>
  <c r="S327" i="156"/>
  <c r="S328" i="156"/>
  <c r="S329" i="156"/>
  <c r="S330" i="156"/>
  <c r="S331" i="156"/>
  <c r="S332" i="156"/>
  <c r="S333" i="156"/>
  <c r="S334" i="156"/>
  <c r="S335" i="156"/>
  <c r="S336" i="156"/>
  <c r="S337" i="156"/>
  <c r="S338" i="156"/>
  <c r="S339" i="156"/>
  <c r="S340" i="156"/>
  <c r="S341" i="156"/>
  <c r="S342" i="156"/>
  <c r="S343" i="156"/>
  <c r="S344" i="156"/>
  <c r="S345" i="156"/>
  <c r="S382" i="156"/>
  <c r="S383" i="156"/>
  <c r="S384" i="156"/>
  <c r="S385" i="156"/>
  <c r="S386" i="156"/>
  <c r="S387" i="156"/>
  <c r="S388" i="156"/>
  <c r="S389" i="156"/>
  <c r="S390" i="156"/>
  <c r="S391" i="156"/>
  <c r="S392" i="156"/>
  <c r="S393" i="156"/>
  <c r="S394" i="156"/>
  <c r="S395" i="156"/>
  <c r="S396" i="156"/>
  <c r="S397" i="156"/>
  <c r="S398" i="156"/>
  <c r="S399" i="156"/>
  <c r="S400" i="156"/>
  <c r="S401" i="156"/>
  <c r="S402" i="156"/>
  <c r="S403" i="156"/>
  <c r="S404" i="156"/>
  <c r="S405" i="156"/>
  <c r="S406" i="156"/>
  <c r="S407" i="156"/>
  <c r="S408" i="156"/>
  <c r="S409" i="156"/>
  <c r="S410" i="156"/>
  <c r="S411" i="156"/>
  <c r="S412" i="156"/>
  <c r="S413" i="156"/>
  <c r="S414" i="156"/>
  <c r="S415" i="156"/>
  <c r="S416" i="156"/>
  <c r="S417" i="156"/>
  <c r="S418" i="156"/>
  <c r="S419" i="156"/>
  <c r="S420" i="156"/>
  <c r="S421" i="156"/>
  <c r="S422" i="156"/>
  <c r="S423" i="156"/>
  <c r="S424" i="156"/>
  <c r="S425" i="156"/>
  <c r="S426" i="156"/>
  <c r="S427" i="156"/>
  <c r="S428" i="156"/>
  <c r="S429" i="156"/>
  <c r="S430" i="156"/>
  <c r="S431" i="156"/>
  <c r="S432" i="156"/>
  <c r="S433" i="156"/>
  <c r="S454" i="156"/>
  <c r="S455" i="156"/>
  <c r="S456" i="156"/>
  <c r="S457" i="156"/>
  <c r="S458" i="156"/>
  <c r="S459" i="156"/>
  <c r="S460" i="156"/>
  <c r="S475" i="156"/>
  <c r="S476" i="156"/>
  <c r="S477" i="156"/>
  <c r="S478" i="156"/>
  <c r="S479" i="156"/>
  <c r="S535" i="156"/>
  <c r="Q7" i="156"/>
  <c r="Q8" i="156"/>
  <c r="Q9" i="156"/>
  <c r="Q10" i="156"/>
  <c r="Q11" i="156"/>
  <c r="Q12" i="156"/>
  <c r="Q13" i="156"/>
  <c r="Q14" i="156"/>
  <c r="Q15" i="156"/>
  <c r="Q16" i="156"/>
  <c r="Q17" i="156"/>
  <c r="Q18" i="156"/>
  <c r="Q19" i="156"/>
  <c r="Q20" i="156"/>
  <c r="Q120" i="156"/>
  <c r="Q121" i="156"/>
  <c r="Q122" i="156"/>
  <c r="Q123" i="156"/>
  <c r="Q124" i="156"/>
  <c r="Q125" i="156"/>
  <c r="Q126" i="156"/>
  <c r="Q127" i="156"/>
  <c r="Q128" i="156"/>
  <c r="Q129" i="156"/>
  <c r="Q130" i="156"/>
  <c r="Q131" i="156"/>
  <c r="Q132" i="156"/>
  <c r="Q133" i="156"/>
  <c r="Q134" i="156"/>
  <c r="Q135" i="156"/>
  <c r="Q136" i="156"/>
  <c r="Q137" i="156"/>
  <c r="Q138" i="156"/>
  <c r="Q139" i="156"/>
  <c r="Q140" i="156"/>
  <c r="Q141" i="156"/>
  <c r="Q142" i="156"/>
  <c r="Q143" i="156"/>
  <c r="Q144" i="156"/>
  <c r="Q145" i="156"/>
  <c r="Q146" i="156"/>
  <c r="Q147" i="156"/>
  <c r="Q148" i="156"/>
  <c r="Q149" i="156"/>
  <c r="Q151" i="156"/>
  <c r="Q152" i="156"/>
  <c r="Q153" i="156"/>
  <c r="Q154" i="156"/>
  <c r="Q155" i="156"/>
  <c r="Q156" i="156"/>
  <c r="Q157" i="156"/>
  <c r="Q158" i="156"/>
  <c r="Q159" i="156"/>
  <c r="Q160" i="156"/>
  <c r="Q161" i="156"/>
  <c r="Q162" i="156"/>
  <c r="Q163" i="156"/>
  <c r="Q164" i="156"/>
  <c r="Q165" i="156"/>
  <c r="Q166" i="156"/>
  <c r="Q167" i="156"/>
  <c r="Q168" i="156"/>
  <c r="Q169" i="156"/>
  <c r="Q170" i="156"/>
  <c r="Q171" i="156"/>
  <c r="Q186" i="156"/>
  <c r="Q187" i="156"/>
  <c r="Q188" i="156"/>
  <c r="Q189" i="156"/>
  <c r="Q190" i="156"/>
  <c r="Q191" i="156"/>
  <c r="Q192" i="156"/>
  <c r="Q193" i="156"/>
  <c r="Q194" i="156"/>
  <c r="Q195" i="156"/>
  <c r="Q196" i="156"/>
  <c r="Q197" i="156"/>
  <c r="Q198" i="156"/>
  <c r="Q199" i="156"/>
  <c r="Q200" i="156"/>
  <c r="Q201" i="156"/>
  <c r="Q202" i="156"/>
  <c r="Q203" i="156"/>
  <c r="Q204" i="156"/>
  <c r="Q205" i="156"/>
  <c r="Q206" i="156"/>
  <c r="Q207" i="156"/>
  <c r="Q208" i="156"/>
  <c r="Q209" i="156"/>
  <c r="Q210" i="156"/>
  <c r="Q211" i="156"/>
  <c r="Q212" i="156"/>
  <c r="Q213" i="156"/>
  <c r="Q214" i="156"/>
  <c r="Q215" i="156"/>
  <c r="Q216" i="156"/>
  <c r="Q217" i="156"/>
  <c r="Q218" i="156"/>
  <c r="Q219" i="156"/>
  <c r="Q220" i="156"/>
  <c r="Q221" i="156"/>
  <c r="Q222" i="156"/>
  <c r="Q223" i="156"/>
  <c r="Q224" i="156"/>
  <c r="Q225" i="156"/>
  <c r="Q226" i="156"/>
  <c r="Q227" i="156"/>
  <c r="Q228" i="156"/>
  <c r="Q229" i="156"/>
  <c r="Q230" i="156"/>
  <c r="Q231" i="156"/>
  <c r="Q232" i="156"/>
  <c r="Q233" i="156"/>
  <c r="Q234" i="156"/>
  <c r="Q235" i="156"/>
  <c r="Q236" i="156"/>
  <c r="Q237" i="156"/>
  <c r="Q238" i="156"/>
  <c r="Q239" i="156"/>
  <c r="Q240" i="156"/>
  <c r="Q241" i="156"/>
  <c r="Q242" i="156"/>
  <c r="Q243" i="156"/>
  <c r="Q244" i="156"/>
  <c r="Q245" i="156"/>
  <c r="Q246" i="156"/>
  <c r="Q247" i="156"/>
  <c r="Q248" i="156"/>
  <c r="Q249" i="156"/>
  <c r="Q250" i="156"/>
  <c r="Q251" i="156"/>
  <c r="Q252" i="156"/>
  <c r="Q253" i="156"/>
  <c r="Q254" i="156"/>
  <c r="Q255" i="156"/>
  <c r="Q256" i="156"/>
  <c r="Q257" i="156"/>
  <c r="Q258" i="156"/>
  <c r="Q259" i="156"/>
  <c r="Q260" i="156"/>
  <c r="Q261" i="156"/>
  <c r="Q262" i="156"/>
  <c r="Q263" i="156"/>
  <c r="Q264" i="156"/>
  <c r="Q265" i="156"/>
  <c r="Q266" i="156"/>
  <c r="Q267" i="156"/>
  <c r="Q268" i="156"/>
  <c r="Q269" i="156"/>
  <c r="Q270" i="156"/>
  <c r="Q271" i="156"/>
  <c r="Q272" i="156"/>
  <c r="Q273" i="156"/>
  <c r="Q274" i="156"/>
  <c r="Q275" i="156"/>
  <c r="Q276" i="156"/>
  <c r="Q277" i="156"/>
  <c r="Q278" i="156"/>
  <c r="Q279" i="156"/>
  <c r="Q280" i="156"/>
  <c r="Q281" i="156"/>
  <c r="Q282" i="156"/>
  <c r="Q283" i="156"/>
  <c r="Q284" i="156"/>
  <c r="Q285" i="156"/>
  <c r="Q286" i="156"/>
  <c r="Q287" i="156"/>
  <c r="Q288" i="156"/>
  <c r="Q289" i="156"/>
  <c r="Q290" i="156"/>
  <c r="Q291" i="156"/>
  <c r="Q292" i="156"/>
  <c r="Q293" i="156"/>
  <c r="Q294" i="156"/>
  <c r="Q295" i="156"/>
  <c r="Q296" i="156"/>
  <c r="Q297" i="156"/>
  <c r="Q298" i="156"/>
  <c r="Q299" i="156"/>
  <c r="Q300" i="156"/>
  <c r="Q301" i="156"/>
  <c r="Q302" i="156"/>
  <c r="Q303" i="156"/>
  <c r="Q304" i="156"/>
  <c r="Q305" i="156"/>
  <c r="Q306" i="156"/>
  <c r="Q307" i="156"/>
  <c r="Q308" i="156"/>
  <c r="Q309" i="156"/>
  <c r="Q310" i="156"/>
  <c r="Q311" i="156"/>
  <c r="Q312" i="156"/>
  <c r="Q313" i="156"/>
  <c r="Q314" i="156"/>
  <c r="Q315" i="156"/>
  <c r="Q316" i="156"/>
  <c r="Q317" i="156"/>
  <c r="Q318" i="156"/>
  <c r="Q319" i="156"/>
  <c r="Q320" i="156"/>
  <c r="Q321" i="156"/>
  <c r="Q322" i="156"/>
  <c r="Q323" i="156"/>
  <c r="Q324" i="156"/>
  <c r="Q325" i="156"/>
  <c r="Q326" i="156"/>
  <c r="Q327" i="156"/>
  <c r="Q328" i="156"/>
  <c r="Q329" i="156"/>
  <c r="Q330" i="156"/>
  <c r="Q331" i="156"/>
  <c r="Q332" i="156"/>
  <c r="Q333" i="156"/>
  <c r="Q334" i="156"/>
  <c r="Q335" i="156"/>
  <c r="Q336" i="156"/>
  <c r="Q337" i="156"/>
  <c r="Q338" i="156"/>
  <c r="Q339" i="156"/>
  <c r="Q340" i="156"/>
  <c r="Q341" i="156"/>
  <c r="Q342" i="156"/>
  <c r="Q343" i="156"/>
  <c r="Q344" i="156"/>
  <c r="Q345" i="156"/>
  <c r="Q382" i="156"/>
  <c r="Q383" i="156"/>
  <c r="Q384" i="156"/>
  <c r="Q385" i="156"/>
  <c r="Q386" i="156"/>
  <c r="Q387" i="156"/>
  <c r="Q388" i="156"/>
  <c r="Q389" i="156"/>
  <c r="Q390" i="156"/>
  <c r="Q391" i="156"/>
  <c r="Q392" i="156"/>
  <c r="Q393" i="156"/>
  <c r="Q394" i="156"/>
  <c r="Q395" i="156"/>
  <c r="Q396" i="156"/>
  <c r="Q397" i="156"/>
  <c r="Q398" i="156"/>
  <c r="Q399" i="156"/>
  <c r="Q400" i="156"/>
  <c r="Q401" i="156"/>
  <c r="Q402" i="156"/>
  <c r="Q403" i="156"/>
  <c r="Q404" i="156"/>
  <c r="Q405" i="156"/>
  <c r="Q406" i="156"/>
  <c r="Q407" i="156"/>
  <c r="Q408" i="156"/>
  <c r="Q409" i="156"/>
  <c r="Q410" i="156"/>
  <c r="Q411" i="156"/>
  <c r="Q412" i="156"/>
  <c r="Q413" i="156"/>
  <c r="Q414" i="156"/>
  <c r="Q415" i="156"/>
  <c r="Q416" i="156"/>
  <c r="Q417" i="156"/>
  <c r="Q418" i="156"/>
  <c r="Q419" i="156"/>
  <c r="Q420" i="156"/>
  <c r="Q421" i="156"/>
  <c r="Q422" i="156"/>
  <c r="Q423" i="156"/>
  <c r="Q424" i="156"/>
  <c r="Q425" i="156"/>
  <c r="Q426" i="156"/>
  <c r="Q427" i="156"/>
  <c r="Q428" i="156"/>
  <c r="Q429" i="156"/>
  <c r="Q430" i="156"/>
  <c r="Q431" i="156"/>
  <c r="Q432" i="156"/>
  <c r="Q433" i="156"/>
  <c r="Q434" i="156"/>
  <c r="Q435" i="156"/>
  <c r="Q436" i="156"/>
  <c r="Q437" i="156"/>
  <c r="Q438" i="156"/>
  <c r="Q439" i="156"/>
  <c r="Q440" i="156"/>
  <c r="Q441" i="156"/>
  <c r="Q442" i="156"/>
  <c r="Q443" i="156"/>
  <c r="Q444" i="156"/>
  <c r="Q445" i="156"/>
  <c r="Q446" i="156"/>
  <c r="Q447" i="156"/>
  <c r="Q448" i="156"/>
  <c r="Q449" i="156"/>
  <c r="Q450" i="156"/>
  <c r="Q451" i="156"/>
  <c r="Q452" i="156"/>
  <c r="Q453" i="156"/>
  <c r="Q454" i="156"/>
  <c r="Q455" i="156"/>
  <c r="Q456" i="156"/>
  <c r="Q457" i="156"/>
  <c r="Q458" i="156"/>
  <c r="Q459" i="156"/>
  <c r="Q460" i="156"/>
  <c r="Q461" i="156"/>
  <c r="Q462" i="156"/>
  <c r="Q463" i="156"/>
  <c r="Q464" i="156"/>
  <c r="Q465" i="156"/>
  <c r="Q466" i="156"/>
  <c r="Q467" i="156"/>
  <c r="Q468" i="156"/>
  <c r="Q469" i="156"/>
  <c r="Q470" i="156"/>
  <c r="Q471" i="156"/>
  <c r="Q472" i="156"/>
  <c r="Q473" i="156"/>
  <c r="Q474" i="156"/>
  <c r="Q475" i="156"/>
  <c r="Q476" i="156"/>
  <c r="Q477" i="156"/>
  <c r="Q478" i="156"/>
  <c r="Q479" i="156"/>
  <c r="Q535" i="156"/>
  <c r="P7" i="156"/>
  <c r="P128" i="156"/>
  <c r="P129" i="156"/>
  <c r="P130" i="156"/>
  <c r="P131" i="156"/>
  <c r="P132" i="156"/>
  <c r="P133" i="156"/>
  <c r="P134" i="156"/>
  <c r="P135" i="156"/>
  <c r="P136" i="156"/>
  <c r="P137" i="156"/>
  <c r="P138" i="156"/>
  <c r="P143" i="156"/>
  <c r="P144" i="156"/>
  <c r="P145" i="156"/>
  <c r="P146" i="156"/>
  <c r="P147" i="156"/>
  <c r="P148" i="156"/>
  <c r="P149" i="156"/>
  <c r="P151" i="156"/>
  <c r="P153" i="156"/>
  <c r="P154" i="156"/>
  <c r="P155" i="156"/>
  <c r="P156" i="156"/>
  <c r="P157" i="156"/>
  <c r="P222" i="156"/>
  <c r="P223" i="156"/>
  <c r="P224" i="156"/>
  <c r="P225" i="156"/>
  <c r="P226" i="156"/>
  <c r="P227" i="156"/>
  <c r="P228" i="156"/>
  <c r="P229" i="156"/>
  <c r="P230" i="156"/>
  <c r="P231" i="156"/>
  <c r="P232" i="156"/>
  <c r="P233" i="156"/>
  <c r="P234" i="156"/>
  <c r="P235" i="156"/>
  <c r="P236" i="156"/>
  <c r="P244" i="156"/>
  <c r="P245" i="156"/>
  <c r="P246" i="156"/>
  <c r="P247" i="156"/>
  <c r="P248" i="156"/>
  <c r="P249" i="156"/>
  <c r="P250" i="156"/>
  <c r="P251" i="156"/>
  <c r="P252" i="156"/>
  <c r="P253" i="156"/>
  <c r="P256" i="156"/>
  <c r="P257" i="156"/>
  <c r="P258" i="156"/>
  <c r="P259" i="156"/>
  <c r="P260" i="156"/>
  <c r="P261" i="156"/>
  <c r="P262" i="156"/>
  <c r="P263" i="156"/>
  <c r="P264" i="156"/>
  <c r="P265" i="156"/>
  <c r="P266" i="156"/>
  <c r="P267" i="156"/>
  <c r="P268" i="156"/>
  <c r="P269" i="156"/>
  <c r="P270" i="156"/>
  <c r="P271" i="156"/>
  <c r="P272" i="156"/>
  <c r="P273" i="156"/>
  <c r="P274" i="156"/>
  <c r="P275" i="156"/>
  <c r="P276" i="156"/>
  <c r="P277" i="156"/>
  <c r="P278" i="156"/>
  <c r="P279" i="156"/>
  <c r="P280" i="156"/>
  <c r="P281" i="156"/>
  <c r="P282" i="156"/>
  <c r="P283" i="156"/>
  <c r="P284" i="156"/>
  <c r="P285" i="156"/>
  <c r="P286" i="156"/>
  <c r="P287" i="156"/>
  <c r="P288" i="156"/>
  <c r="P289" i="156"/>
  <c r="P290" i="156"/>
  <c r="P291" i="156"/>
  <c r="P292" i="156"/>
  <c r="P293" i="156"/>
  <c r="P294" i="156"/>
  <c r="P295" i="156"/>
  <c r="P296" i="156"/>
  <c r="P297" i="156"/>
  <c r="P298" i="156"/>
  <c r="P299" i="156"/>
  <c r="P300" i="156"/>
  <c r="P301" i="156"/>
  <c r="P302" i="156"/>
  <c r="P303" i="156"/>
  <c r="P304" i="156"/>
  <c r="P305" i="156"/>
  <c r="P306" i="156"/>
  <c r="P307" i="156"/>
  <c r="P308" i="156"/>
  <c r="P309" i="156"/>
  <c r="P310" i="156"/>
  <c r="P311" i="156"/>
  <c r="P312" i="156"/>
  <c r="P433" i="156"/>
  <c r="P434" i="156"/>
  <c r="P435" i="156"/>
  <c r="P436" i="156"/>
  <c r="P437" i="156"/>
  <c r="P440" i="156"/>
  <c r="P473" i="156"/>
  <c r="P474" i="156"/>
  <c r="K7" i="156"/>
  <c r="K8" i="156"/>
  <c r="K9" i="156"/>
  <c r="K10" i="156"/>
  <c r="K11" i="156"/>
  <c r="K12" i="156"/>
  <c r="K13" i="156"/>
  <c r="K14" i="156"/>
  <c r="K15" i="156"/>
  <c r="K16" i="156"/>
  <c r="K17" i="156"/>
  <c r="K18" i="156"/>
  <c r="K19" i="156"/>
  <c r="K20" i="156"/>
  <c r="K120" i="156"/>
  <c r="K121" i="156"/>
  <c r="K122" i="156"/>
  <c r="K123" i="156"/>
  <c r="K124" i="156"/>
  <c r="K125" i="156"/>
  <c r="K126" i="156"/>
  <c r="K127" i="156"/>
  <c r="K128" i="156"/>
  <c r="K129" i="156"/>
  <c r="K130" i="156"/>
  <c r="K131" i="156"/>
  <c r="K132" i="156"/>
  <c r="K133" i="156"/>
  <c r="K134" i="156"/>
  <c r="K135" i="156"/>
  <c r="K136" i="156"/>
  <c r="K137" i="156"/>
  <c r="K138" i="156"/>
  <c r="K139" i="156"/>
  <c r="K140" i="156"/>
  <c r="K141" i="156"/>
  <c r="K142" i="156"/>
  <c r="K143" i="156"/>
  <c r="K144" i="156"/>
  <c r="K145" i="156"/>
  <c r="K146" i="156"/>
  <c r="K147" i="156"/>
  <c r="K148" i="156"/>
  <c r="K149" i="156"/>
  <c r="K151" i="156"/>
  <c r="K152" i="156"/>
  <c r="K153" i="156"/>
  <c r="K154" i="156"/>
  <c r="K155" i="156"/>
  <c r="K156" i="156"/>
  <c r="K157" i="156"/>
  <c r="K158" i="156"/>
  <c r="K159" i="156"/>
  <c r="K160" i="156"/>
  <c r="K161" i="156"/>
  <c r="K162" i="156"/>
  <c r="K163" i="156"/>
  <c r="K164" i="156"/>
  <c r="K165" i="156"/>
  <c r="K166" i="156"/>
  <c r="K167" i="156"/>
  <c r="K168" i="156"/>
  <c r="K169" i="156"/>
  <c r="K170" i="156"/>
  <c r="K171" i="156"/>
  <c r="K186" i="156"/>
  <c r="K187" i="156"/>
  <c r="K188" i="156"/>
  <c r="K189" i="156"/>
  <c r="K190" i="156"/>
  <c r="K191" i="156"/>
  <c r="K192" i="156"/>
  <c r="K193" i="156"/>
  <c r="K194" i="156"/>
  <c r="K195" i="156"/>
  <c r="K196" i="156"/>
  <c r="K197" i="156"/>
  <c r="K198" i="156"/>
  <c r="K199" i="156"/>
  <c r="K200" i="156"/>
  <c r="K201" i="156"/>
  <c r="K202" i="156"/>
  <c r="K203" i="156"/>
  <c r="K204" i="156"/>
  <c r="K205" i="156"/>
  <c r="K206" i="156"/>
  <c r="K207" i="156"/>
  <c r="K208" i="156"/>
  <c r="K209" i="156"/>
  <c r="K210" i="156"/>
  <c r="K211" i="156"/>
  <c r="K212" i="156"/>
  <c r="K213" i="156"/>
  <c r="K214" i="156"/>
  <c r="K215" i="156"/>
  <c r="K216" i="156"/>
  <c r="K217" i="156"/>
  <c r="K218" i="156"/>
  <c r="K219" i="156"/>
  <c r="K220" i="156"/>
  <c r="K221" i="156"/>
  <c r="K222" i="156"/>
  <c r="K223" i="156"/>
  <c r="K224" i="156"/>
  <c r="K225" i="156"/>
  <c r="K226" i="156"/>
  <c r="K227" i="156"/>
  <c r="K228" i="156"/>
  <c r="K229" i="156"/>
  <c r="K230" i="156"/>
  <c r="K231" i="156"/>
  <c r="K232" i="156"/>
  <c r="K233" i="156"/>
  <c r="K234" i="156"/>
  <c r="K235" i="156"/>
  <c r="K236" i="156"/>
  <c r="K237" i="156"/>
  <c r="K238" i="156"/>
  <c r="K239" i="156"/>
  <c r="K240" i="156"/>
  <c r="K241" i="156"/>
  <c r="K242" i="156"/>
  <c r="K243" i="156"/>
  <c r="K244" i="156"/>
  <c r="K245" i="156"/>
  <c r="K246" i="156"/>
  <c r="K247" i="156"/>
  <c r="K248" i="156"/>
  <c r="K249" i="156"/>
  <c r="K250" i="156"/>
  <c r="K251" i="156"/>
  <c r="K252" i="156"/>
  <c r="K253" i="156"/>
  <c r="K254" i="156"/>
  <c r="K255" i="156"/>
  <c r="K256" i="156"/>
  <c r="K257" i="156"/>
  <c r="K258" i="156"/>
  <c r="K259" i="156"/>
  <c r="K260" i="156"/>
  <c r="K261" i="156"/>
  <c r="K262" i="156"/>
  <c r="K263" i="156"/>
  <c r="K264" i="156"/>
  <c r="K265" i="156"/>
  <c r="K266" i="156"/>
  <c r="K267" i="156"/>
  <c r="K268" i="156"/>
  <c r="K269" i="156"/>
  <c r="K270" i="156"/>
  <c r="K271" i="156"/>
  <c r="K272" i="156"/>
  <c r="K273" i="156"/>
  <c r="K274" i="156"/>
  <c r="K275" i="156"/>
  <c r="K276" i="156"/>
  <c r="K277" i="156"/>
  <c r="K278" i="156"/>
  <c r="K279" i="156"/>
  <c r="K280" i="156"/>
  <c r="K281" i="156"/>
  <c r="K282" i="156"/>
  <c r="K283" i="156"/>
  <c r="K284" i="156"/>
  <c r="K285" i="156"/>
  <c r="K286" i="156"/>
  <c r="K287" i="156"/>
  <c r="K288" i="156"/>
  <c r="K289" i="156"/>
  <c r="K290" i="156"/>
  <c r="K291" i="156"/>
  <c r="K292" i="156"/>
  <c r="K293" i="156"/>
  <c r="K294" i="156"/>
  <c r="K295" i="156"/>
  <c r="K296" i="156"/>
  <c r="K297" i="156"/>
  <c r="K298" i="156"/>
  <c r="K299" i="156"/>
  <c r="K300" i="156"/>
  <c r="K301" i="156"/>
  <c r="K302" i="156"/>
  <c r="K303" i="156"/>
  <c r="K304" i="156"/>
  <c r="K305" i="156"/>
  <c r="K306" i="156"/>
  <c r="K307" i="156"/>
  <c r="K308" i="156"/>
  <c r="K309" i="156"/>
  <c r="K310" i="156"/>
  <c r="K311" i="156"/>
  <c r="K312" i="156"/>
  <c r="K313" i="156"/>
  <c r="K314" i="156"/>
  <c r="K315" i="156"/>
  <c r="K316" i="156"/>
  <c r="K317" i="156"/>
  <c r="K318" i="156"/>
  <c r="K319" i="156"/>
  <c r="K320" i="156"/>
  <c r="K321" i="156"/>
  <c r="K322" i="156"/>
  <c r="K323" i="156"/>
  <c r="K324" i="156"/>
  <c r="K325" i="156"/>
  <c r="K326" i="156"/>
  <c r="K327" i="156"/>
  <c r="K328" i="156"/>
  <c r="K329" i="156"/>
  <c r="K330" i="156"/>
  <c r="K331" i="156"/>
  <c r="K332" i="156"/>
  <c r="K333" i="156"/>
  <c r="K334" i="156"/>
  <c r="K335" i="156"/>
  <c r="K336" i="156"/>
  <c r="K337" i="156"/>
  <c r="K338" i="156"/>
  <c r="K339" i="156"/>
  <c r="K340" i="156"/>
  <c r="K341" i="156"/>
  <c r="K342" i="156"/>
  <c r="K343" i="156"/>
  <c r="K344" i="156"/>
  <c r="K345" i="156"/>
  <c r="K382" i="156"/>
  <c r="K383" i="156"/>
  <c r="K384" i="156"/>
  <c r="K385" i="156"/>
  <c r="K386" i="156"/>
  <c r="K387" i="156"/>
  <c r="K388" i="156"/>
  <c r="K389" i="156"/>
  <c r="K390" i="156"/>
  <c r="K391" i="156"/>
  <c r="K392" i="156"/>
  <c r="K393" i="156"/>
  <c r="K394" i="156"/>
  <c r="K395" i="156"/>
  <c r="K396" i="156"/>
  <c r="K397" i="156"/>
  <c r="K398" i="156"/>
  <c r="K399" i="156"/>
  <c r="K400" i="156"/>
  <c r="K401" i="156"/>
  <c r="K402" i="156"/>
  <c r="K403" i="156"/>
  <c r="K404" i="156"/>
  <c r="K405" i="156"/>
  <c r="K406" i="156"/>
  <c r="K407" i="156"/>
  <c r="K408" i="156"/>
  <c r="K409" i="156"/>
  <c r="K410" i="156"/>
  <c r="K411" i="156"/>
  <c r="K412" i="156"/>
  <c r="K413" i="156"/>
  <c r="K414" i="156"/>
  <c r="K415" i="156"/>
  <c r="K416" i="156"/>
  <c r="K417" i="156"/>
  <c r="K418" i="156"/>
  <c r="K419" i="156"/>
  <c r="K420" i="156"/>
  <c r="K421" i="156"/>
  <c r="K422" i="156"/>
  <c r="K423" i="156"/>
  <c r="K424" i="156"/>
  <c r="K425" i="156"/>
  <c r="K426" i="156"/>
  <c r="K427" i="156"/>
  <c r="K428" i="156"/>
  <c r="K429" i="156"/>
  <c r="K430" i="156"/>
  <c r="K431" i="156"/>
  <c r="K432" i="156"/>
  <c r="K433" i="156"/>
  <c r="K434" i="156"/>
  <c r="K435" i="156"/>
  <c r="K436" i="156"/>
  <c r="K437" i="156"/>
  <c r="K438" i="156"/>
  <c r="K439" i="156"/>
  <c r="K440" i="156"/>
  <c r="K441" i="156"/>
  <c r="K442" i="156"/>
  <c r="K443" i="156"/>
  <c r="K444" i="156"/>
  <c r="K445" i="156"/>
  <c r="K446" i="156"/>
  <c r="K447" i="156"/>
  <c r="K448" i="156"/>
  <c r="K449" i="156"/>
  <c r="K450" i="156"/>
  <c r="K451" i="156"/>
  <c r="K452" i="156"/>
  <c r="K453" i="156"/>
  <c r="K454" i="156"/>
  <c r="K455" i="156"/>
  <c r="K456" i="156"/>
  <c r="K457" i="156"/>
  <c r="K458" i="156"/>
  <c r="K459" i="156"/>
  <c r="K460" i="156"/>
  <c r="K461" i="156"/>
  <c r="K462" i="156"/>
  <c r="K463" i="156"/>
  <c r="K464" i="156"/>
  <c r="K465" i="156"/>
  <c r="K466" i="156"/>
  <c r="K467" i="156"/>
  <c r="K468" i="156"/>
  <c r="K469" i="156"/>
  <c r="K470" i="156"/>
  <c r="K471" i="156"/>
  <c r="K472" i="156"/>
  <c r="K473" i="156"/>
  <c r="K474" i="156"/>
  <c r="K475" i="156"/>
  <c r="K476" i="156"/>
  <c r="K477" i="156"/>
  <c r="K478" i="156"/>
  <c r="K479" i="156"/>
  <c r="K535" i="156"/>
  <c r="K6" i="156"/>
  <c r="J7" i="156"/>
  <c r="J8" i="156"/>
  <c r="J9" i="156"/>
  <c r="J10" i="156"/>
  <c r="J11" i="156"/>
  <c r="J12" i="156"/>
  <c r="J13" i="156"/>
  <c r="J14" i="156"/>
  <c r="J15" i="156"/>
  <c r="J16" i="156"/>
  <c r="J17" i="156"/>
  <c r="J18" i="156"/>
  <c r="J19" i="156"/>
  <c r="J20" i="156"/>
  <c r="J120" i="156"/>
  <c r="J121" i="156"/>
  <c r="J122" i="156"/>
  <c r="J123" i="156"/>
  <c r="J124" i="156"/>
  <c r="J125" i="156"/>
  <c r="J126" i="156"/>
  <c r="J127" i="156"/>
  <c r="J128" i="156"/>
  <c r="J129" i="156"/>
  <c r="J130" i="156"/>
  <c r="J131" i="156"/>
  <c r="J132" i="156"/>
  <c r="J133" i="156"/>
  <c r="J134" i="156"/>
  <c r="J135" i="156"/>
  <c r="J136" i="156"/>
  <c r="J137" i="156"/>
  <c r="J138" i="156"/>
  <c r="J139" i="156"/>
  <c r="J140" i="156"/>
  <c r="J141" i="156"/>
  <c r="J142" i="156"/>
  <c r="J143" i="156"/>
  <c r="J144" i="156"/>
  <c r="J145" i="156"/>
  <c r="J146" i="156"/>
  <c r="J147" i="156"/>
  <c r="J148" i="156"/>
  <c r="J149" i="156"/>
  <c r="J151" i="156"/>
  <c r="J152" i="156"/>
  <c r="J153" i="156"/>
  <c r="J154" i="156"/>
  <c r="J155" i="156"/>
  <c r="J156" i="156"/>
  <c r="J157" i="156"/>
  <c r="J158" i="156"/>
  <c r="J159" i="156"/>
  <c r="J160" i="156"/>
  <c r="J161" i="156"/>
  <c r="J162" i="156"/>
  <c r="J163" i="156"/>
  <c r="J164" i="156"/>
  <c r="J165" i="156"/>
  <c r="J166" i="156"/>
  <c r="J167" i="156"/>
  <c r="J168" i="156"/>
  <c r="J169" i="156"/>
  <c r="J170" i="156"/>
  <c r="J171" i="156"/>
  <c r="J186" i="156"/>
  <c r="J187" i="156"/>
  <c r="J188" i="156"/>
  <c r="J189" i="156"/>
  <c r="J190" i="156"/>
  <c r="J191" i="156"/>
  <c r="J192" i="156"/>
  <c r="J193" i="156"/>
  <c r="J194" i="156"/>
  <c r="J195" i="156"/>
  <c r="J196" i="156"/>
  <c r="J197" i="156"/>
  <c r="J198" i="156"/>
  <c r="J199" i="156"/>
  <c r="J200" i="156"/>
  <c r="J201" i="156"/>
  <c r="J202" i="156"/>
  <c r="J203" i="156"/>
  <c r="J204" i="156"/>
  <c r="J205" i="156"/>
  <c r="J206" i="156"/>
  <c r="J207" i="156"/>
  <c r="J208" i="156"/>
  <c r="J209" i="156"/>
  <c r="J210" i="156"/>
  <c r="J211" i="156"/>
  <c r="J212" i="156"/>
  <c r="J213" i="156"/>
  <c r="J214" i="156"/>
  <c r="J215" i="156"/>
  <c r="J216" i="156"/>
  <c r="J217" i="156"/>
  <c r="J218" i="156"/>
  <c r="J219" i="156"/>
  <c r="J220" i="156"/>
  <c r="J221" i="156"/>
  <c r="J222" i="156"/>
  <c r="J223" i="156"/>
  <c r="J224" i="156"/>
  <c r="J225" i="156"/>
  <c r="J226" i="156"/>
  <c r="J227" i="156"/>
  <c r="J228" i="156"/>
  <c r="J229" i="156"/>
  <c r="J230" i="156"/>
  <c r="J231" i="156"/>
  <c r="J232" i="156"/>
  <c r="J233" i="156"/>
  <c r="J234" i="156"/>
  <c r="J235" i="156"/>
  <c r="J236" i="156"/>
  <c r="J237" i="156"/>
  <c r="J238" i="156"/>
  <c r="J239" i="156"/>
  <c r="J240" i="156"/>
  <c r="J241" i="156"/>
  <c r="J242" i="156"/>
  <c r="J243" i="156"/>
  <c r="J244" i="156"/>
  <c r="J245" i="156"/>
  <c r="J246" i="156"/>
  <c r="J247" i="156"/>
  <c r="J248" i="156"/>
  <c r="J249" i="156"/>
  <c r="J250" i="156"/>
  <c r="J251" i="156"/>
  <c r="J252" i="156"/>
  <c r="J253" i="156"/>
  <c r="J254" i="156"/>
  <c r="J255" i="156"/>
  <c r="J256" i="156"/>
  <c r="J257" i="156"/>
  <c r="J258" i="156"/>
  <c r="J259" i="156"/>
  <c r="J260" i="156"/>
  <c r="J261" i="156"/>
  <c r="J262" i="156"/>
  <c r="J263" i="156"/>
  <c r="J264" i="156"/>
  <c r="J265" i="156"/>
  <c r="J266" i="156"/>
  <c r="J267" i="156"/>
  <c r="J268" i="156"/>
  <c r="J269" i="156"/>
  <c r="J270" i="156"/>
  <c r="J271" i="156"/>
  <c r="J272" i="156"/>
  <c r="J273" i="156"/>
  <c r="J274" i="156"/>
  <c r="J275" i="156"/>
  <c r="J276" i="156"/>
  <c r="J277" i="156"/>
  <c r="J278" i="156"/>
  <c r="J279" i="156"/>
  <c r="J280" i="156"/>
  <c r="J281" i="156"/>
  <c r="J282" i="156"/>
  <c r="J283" i="156"/>
  <c r="J284" i="156"/>
  <c r="J285" i="156"/>
  <c r="J286" i="156"/>
  <c r="J287" i="156"/>
  <c r="J288" i="156"/>
  <c r="J289" i="156"/>
  <c r="J290" i="156"/>
  <c r="J291" i="156"/>
  <c r="J292" i="156"/>
  <c r="J293" i="156"/>
  <c r="J294" i="156"/>
  <c r="J295" i="156"/>
  <c r="J296" i="156"/>
  <c r="J297" i="156"/>
  <c r="J298" i="156"/>
  <c r="J299" i="156"/>
  <c r="J300" i="156"/>
  <c r="J301" i="156"/>
  <c r="J302" i="156"/>
  <c r="J303" i="156"/>
  <c r="J304" i="156"/>
  <c r="J305" i="156"/>
  <c r="J306" i="156"/>
  <c r="J307" i="156"/>
  <c r="J308" i="156"/>
  <c r="J309" i="156"/>
  <c r="J310" i="156"/>
  <c r="J311" i="156"/>
  <c r="J312" i="156"/>
  <c r="J313" i="156"/>
  <c r="J314" i="156"/>
  <c r="J315" i="156"/>
  <c r="J316" i="156"/>
  <c r="J317" i="156"/>
  <c r="J318" i="156"/>
  <c r="J319" i="156"/>
  <c r="J320" i="156"/>
  <c r="J321" i="156"/>
  <c r="J322" i="156"/>
  <c r="J323" i="156"/>
  <c r="J324" i="156"/>
  <c r="J325" i="156"/>
  <c r="J326" i="156"/>
  <c r="J327" i="156"/>
  <c r="J328" i="156"/>
  <c r="J329" i="156"/>
  <c r="J330" i="156"/>
  <c r="J331" i="156"/>
  <c r="J332" i="156"/>
  <c r="J333" i="156"/>
  <c r="J334" i="156"/>
  <c r="J335" i="156"/>
  <c r="J336" i="156"/>
  <c r="J337" i="156"/>
  <c r="J338" i="156"/>
  <c r="J339" i="156"/>
  <c r="J340" i="156"/>
  <c r="J341" i="156"/>
  <c r="J342" i="156"/>
  <c r="J343" i="156"/>
  <c r="J344" i="156"/>
  <c r="J345" i="156"/>
  <c r="J382" i="156"/>
  <c r="J383" i="156"/>
  <c r="J384" i="156"/>
  <c r="J385" i="156"/>
  <c r="J386" i="156"/>
  <c r="J387" i="156"/>
  <c r="J388" i="156"/>
  <c r="J389" i="156"/>
  <c r="J390" i="156"/>
  <c r="J391" i="156"/>
  <c r="J392" i="156"/>
  <c r="J393" i="156"/>
  <c r="J394" i="156"/>
  <c r="J395" i="156"/>
  <c r="J396" i="156"/>
  <c r="J397" i="156"/>
  <c r="J398" i="156"/>
  <c r="J399" i="156"/>
  <c r="J400" i="156"/>
  <c r="J401" i="156"/>
  <c r="J402" i="156"/>
  <c r="J403" i="156"/>
  <c r="J404" i="156"/>
  <c r="J405" i="156"/>
  <c r="J406" i="156"/>
  <c r="J407" i="156"/>
  <c r="J408" i="156"/>
  <c r="J409" i="156"/>
  <c r="J410" i="156"/>
  <c r="J411" i="156"/>
  <c r="J412" i="156"/>
  <c r="J413" i="156"/>
  <c r="J414" i="156"/>
  <c r="J415" i="156"/>
  <c r="J416" i="156"/>
  <c r="J417" i="156"/>
  <c r="J418" i="156"/>
  <c r="J419" i="156"/>
  <c r="J420" i="156"/>
  <c r="J421" i="156"/>
  <c r="J422" i="156"/>
  <c r="J423" i="156"/>
  <c r="J424" i="156"/>
  <c r="J425" i="156"/>
  <c r="J426" i="156"/>
  <c r="J427" i="156"/>
  <c r="J428" i="156"/>
  <c r="J429" i="156"/>
  <c r="J430" i="156"/>
  <c r="J431" i="156"/>
  <c r="J432" i="156"/>
  <c r="J433" i="156"/>
  <c r="J434" i="156"/>
  <c r="J435" i="156"/>
  <c r="J436" i="156"/>
  <c r="J437" i="156"/>
  <c r="J438" i="156"/>
  <c r="J439" i="156"/>
  <c r="J440" i="156"/>
  <c r="J441" i="156"/>
  <c r="J442" i="156"/>
  <c r="J443" i="156"/>
  <c r="J444" i="156"/>
  <c r="J445" i="156"/>
  <c r="J446" i="156"/>
  <c r="J447" i="156"/>
  <c r="J448" i="156"/>
  <c r="J449" i="156"/>
  <c r="J450" i="156"/>
  <c r="J451" i="156"/>
  <c r="J452" i="156"/>
  <c r="J453" i="156"/>
  <c r="J454" i="156"/>
  <c r="J455" i="156"/>
  <c r="J456" i="156"/>
  <c r="J457" i="156"/>
  <c r="J458" i="156"/>
  <c r="J459" i="156"/>
  <c r="J460" i="156"/>
  <c r="J461" i="156"/>
  <c r="J462" i="156"/>
  <c r="J463" i="156"/>
  <c r="J464" i="156"/>
  <c r="J465" i="156"/>
  <c r="J466" i="156"/>
  <c r="J467" i="156"/>
  <c r="J468" i="156"/>
  <c r="J469" i="156"/>
  <c r="J470" i="156"/>
  <c r="J471" i="156"/>
  <c r="J472" i="156"/>
  <c r="J473" i="156"/>
  <c r="J474" i="156"/>
  <c r="J475" i="156"/>
  <c r="J476" i="156"/>
  <c r="J477" i="156"/>
  <c r="J478" i="156"/>
  <c r="J479" i="156"/>
  <c r="J535" i="156"/>
  <c r="H216" i="156"/>
  <c r="H217" i="156"/>
  <c r="H342" i="156"/>
  <c r="H344" i="156"/>
  <c r="H345" i="156"/>
  <c r="H382" i="156"/>
  <c r="H383" i="156"/>
  <c r="H384" i="156"/>
  <c r="H385" i="156"/>
  <c r="H386" i="156"/>
  <c r="H387" i="156"/>
  <c r="H388" i="156"/>
  <c r="H389" i="156"/>
  <c r="H390" i="156"/>
  <c r="H391" i="156"/>
  <c r="H392" i="156"/>
  <c r="H393" i="156"/>
  <c r="H394" i="156"/>
  <c r="H395" i="156"/>
  <c r="H396" i="156"/>
  <c r="H397" i="156"/>
  <c r="H398" i="156"/>
  <c r="H399" i="156"/>
  <c r="H400" i="156"/>
  <c r="H401" i="156"/>
  <c r="H402" i="156"/>
  <c r="H403" i="156"/>
  <c r="H404" i="156"/>
  <c r="H405" i="156"/>
  <c r="H406" i="156"/>
  <c r="H407" i="156"/>
  <c r="H408" i="156"/>
  <c r="H409" i="156"/>
  <c r="H410" i="156"/>
  <c r="H411" i="156"/>
  <c r="H412" i="156"/>
  <c r="H413" i="156"/>
  <c r="H414" i="156"/>
  <c r="H415" i="156"/>
  <c r="H416" i="156"/>
  <c r="H417" i="156"/>
  <c r="H418" i="156"/>
  <c r="H419" i="156"/>
  <c r="H420" i="156"/>
  <c r="H421" i="156"/>
  <c r="H422" i="156"/>
  <c r="H423" i="156"/>
  <c r="H424" i="156"/>
  <c r="H425" i="156"/>
  <c r="H426" i="156"/>
  <c r="H427" i="156"/>
  <c r="H428" i="156"/>
  <c r="H429" i="156"/>
  <c r="H430" i="156"/>
  <c r="H431" i="156"/>
  <c r="H432" i="156"/>
  <c r="H433" i="156"/>
  <c r="H434" i="156"/>
  <c r="H435" i="156"/>
  <c r="H436" i="156"/>
  <c r="H437" i="156"/>
  <c r="H438" i="156"/>
  <c r="H439" i="156"/>
  <c r="H440" i="156"/>
  <c r="H441" i="156"/>
  <c r="H442" i="156"/>
  <c r="H443" i="156"/>
  <c r="H444" i="156"/>
  <c r="H445" i="156"/>
  <c r="H446" i="156"/>
  <c r="H447" i="156"/>
  <c r="H448" i="156"/>
  <c r="H449" i="156"/>
  <c r="H450" i="156"/>
  <c r="H451" i="156"/>
  <c r="H452" i="156"/>
  <c r="H453" i="156"/>
  <c r="H454" i="156"/>
  <c r="H455" i="156"/>
  <c r="H456" i="156"/>
  <c r="H457" i="156"/>
  <c r="H458" i="156"/>
  <c r="H459" i="156"/>
  <c r="H460" i="156"/>
  <c r="H461" i="156"/>
  <c r="H462" i="156"/>
  <c r="H463" i="156"/>
  <c r="H464" i="156"/>
  <c r="H465" i="156"/>
  <c r="H466" i="156"/>
  <c r="H467" i="156"/>
  <c r="H468" i="156"/>
  <c r="H469" i="156"/>
  <c r="H470" i="156"/>
  <c r="H471" i="156"/>
  <c r="H472" i="156"/>
  <c r="H473" i="156"/>
  <c r="H474" i="156"/>
  <c r="H475" i="156"/>
  <c r="H476" i="156"/>
  <c r="H477" i="156"/>
  <c r="H478" i="156"/>
  <c r="H479" i="156"/>
  <c r="H535" i="156"/>
  <c r="G333" i="156"/>
  <c r="G335" i="156"/>
  <c r="G344" i="156"/>
  <c r="G345" i="156"/>
  <c r="G438" i="156"/>
  <c r="G439" i="156"/>
  <c r="G440" i="156"/>
  <c r="G441" i="156"/>
  <c r="G442" i="156"/>
  <c r="G443" i="156"/>
  <c r="G444" i="156"/>
  <c r="G445" i="156"/>
  <c r="G446" i="156"/>
  <c r="G447" i="156"/>
  <c r="G452" i="156"/>
  <c r="G453" i="156"/>
  <c r="G454" i="156"/>
  <c r="G455" i="156"/>
  <c r="G456" i="156"/>
  <c r="G457" i="156"/>
  <c r="G458" i="156"/>
  <c r="G459" i="156"/>
  <c r="G460" i="156"/>
  <c r="G461" i="156"/>
  <c r="G462" i="156"/>
  <c r="G463" i="156"/>
  <c r="G464" i="156"/>
  <c r="G465" i="156"/>
  <c r="G466" i="156"/>
  <c r="G471" i="156"/>
  <c r="G472" i="156"/>
  <c r="G473" i="156"/>
  <c r="G474" i="156"/>
  <c r="G475" i="156"/>
  <c r="G476" i="156"/>
  <c r="G477" i="156"/>
  <c r="G535" i="156"/>
  <c r="E7" i="156"/>
  <c r="E8" i="156"/>
  <c r="E9" i="156"/>
  <c r="E10" i="156"/>
  <c r="E11" i="156"/>
  <c r="E12" i="156"/>
  <c r="E13" i="156"/>
  <c r="E14" i="156"/>
  <c r="E15" i="156"/>
  <c r="E16" i="156"/>
  <c r="E17" i="156"/>
  <c r="E18" i="156"/>
  <c r="E19" i="156"/>
  <c r="E20" i="156"/>
  <c r="E120" i="156"/>
  <c r="E121" i="156"/>
  <c r="E122" i="156"/>
  <c r="E123" i="156"/>
  <c r="E124" i="156"/>
  <c r="E125" i="156"/>
  <c r="E126" i="156"/>
  <c r="E127" i="156"/>
  <c r="E128" i="156"/>
  <c r="E129" i="156"/>
  <c r="E130" i="156"/>
  <c r="E131" i="156"/>
  <c r="E132" i="156"/>
  <c r="E133" i="156"/>
  <c r="E134" i="156"/>
  <c r="E135" i="156"/>
  <c r="E136" i="156"/>
  <c r="E137" i="156"/>
  <c r="E138" i="156"/>
  <c r="E139" i="156"/>
  <c r="E140" i="156"/>
  <c r="E141" i="156"/>
  <c r="E142" i="156"/>
  <c r="E143" i="156"/>
  <c r="E144" i="156"/>
  <c r="E145" i="156"/>
  <c r="E146" i="156"/>
  <c r="E147" i="156"/>
  <c r="E148" i="156"/>
  <c r="E149" i="156"/>
  <c r="E154" i="156"/>
  <c r="E155" i="156"/>
  <c r="E156" i="156"/>
  <c r="E157" i="156"/>
  <c r="E158" i="156"/>
  <c r="E159" i="156"/>
  <c r="E160" i="156"/>
  <c r="E161" i="156"/>
  <c r="E162" i="156"/>
  <c r="E163" i="156"/>
  <c r="E164" i="156"/>
  <c r="E165" i="156"/>
  <c r="E166" i="156"/>
  <c r="E167" i="156"/>
  <c r="E168" i="156"/>
  <c r="E169" i="156"/>
  <c r="E170" i="156"/>
  <c r="E171" i="156"/>
  <c r="E186" i="156"/>
  <c r="E187" i="156"/>
  <c r="E188" i="156"/>
  <c r="E189" i="156"/>
  <c r="E190" i="156"/>
  <c r="E191" i="156"/>
  <c r="E192" i="156"/>
  <c r="E193" i="156"/>
  <c r="E194" i="156"/>
  <c r="E195" i="156"/>
  <c r="E196" i="156"/>
  <c r="E197" i="156"/>
  <c r="E198" i="156"/>
  <c r="E199" i="156"/>
  <c r="E200" i="156"/>
  <c r="E201" i="156"/>
  <c r="E202" i="156"/>
  <c r="E203" i="156"/>
  <c r="E204" i="156"/>
  <c r="E205" i="156"/>
  <c r="E206" i="156"/>
  <c r="E207" i="156"/>
  <c r="E208" i="156"/>
  <c r="E209" i="156"/>
  <c r="E210" i="156"/>
  <c r="E211" i="156"/>
  <c r="E212" i="156"/>
  <c r="E213" i="156"/>
  <c r="E214" i="156"/>
  <c r="E215" i="156"/>
  <c r="E216" i="156"/>
  <c r="E217" i="156"/>
  <c r="E218" i="156"/>
  <c r="E219" i="156"/>
  <c r="E220" i="156"/>
  <c r="E221" i="156"/>
  <c r="E222" i="156"/>
  <c r="E223" i="156"/>
  <c r="E224" i="156"/>
  <c r="E225" i="156"/>
  <c r="E226" i="156"/>
  <c r="E227" i="156"/>
  <c r="E228" i="156"/>
  <c r="E229" i="156"/>
  <c r="E230" i="156"/>
  <c r="E231" i="156"/>
  <c r="E232" i="156"/>
  <c r="E233" i="156"/>
  <c r="E234" i="156"/>
  <c r="E235" i="156"/>
  <c r="E236" i="156"/>
  <c r="E237" i="156"/>
  <c r="E238" i="156"/>
  <c r="E239" i="156"/>
  <c r="E240" i="156"/>
  <c r="E241" i="156"/>
  <c r="E242" i="156"/>
  <c r="E243" i="156"/>
  <c r="E244" i="156"/>
  <c r="E245" i="156"/>
  <c r="E246" i="156"/>
  <c r="E247" i="156"/>
  <c r="E248" i="156"/>
  <c r="E249" i="156"/>
  <c r="E250" i="156"/>
  <c r="E251" i="156"/>
  <c r="E252" i="156"/>
  <c r="E253" i="156"/>
  <c r="E254" i="156"/>
  <c r="E255" i="156"/>
  <c r="E256" i="156"/>
  <c r="E257" i="156"/>
  <c r="E258" i="156"/>
  <c r="E259" i="156"/>
  <c r="E260" i="156"/>
  <c r="E261" i="156"/>
  <c r="E262" i="156"/>
  <c r="E263" i="156"/>
  <c r="E264" i="156"/>
  <c r="E265" i="156"/>
  <c r="E266" i="156"/>
  <c r="E267" i="156"/>
  <c r="E269" i="156"/>
  <c r="E270" i="156"/>
  <c r="E271" i="156"/>
  <c r="E272" i="156"/>
  <c r="E273" i="156"/>
  <c r="E274" i="156"/>
  <c r="E275" i="156"/>
  <c r="E276" i="156"/>
  <c r="E277" i="156"/>
  <c r="E278" i="156"/>
  <c r="E279" i="156"/>
  <c r="E280" i="156"/>
  <c r="E281" i="156"/>
  <c r="E282" i="156"/>
  <c r="E283" i="156"/>
  <c r="E284" i="156"/>
  <c r="E285" i="156"/>
  <c r="E286" i="156"/>
  <c r="E287" i="156"/>
  <c r="E288" i="156"/>
  <c r="E289" i="156"/>
  <c r="E290" i="156"/>
  <c r="E291" i="156"/>
  <c r="E292" i="156"/>
  <c r="E293" i="156"/>
  <c r="E294" i="156"/>
  <c r="E295" i="156"/>
  <c r="E296" i="156"/>
  <c r="E297" i="156"/>
  <c r="E298" i="156"/>
  <c r="E299" i="156"/>
  <c r="E300" i="156"/>
  <c r="E301" i="156"/>
  <c r="E302" i="156"/>
  <c r="E303" i="156"/>
  <c r="E304" i="156"/>
  <c r="E305" i="156"/>
  <c r="E306" i="156"/>
  <c r="E307" i="156"/>
  <c r="E308" i="156"/>
  <c r="E309" i="156"/>
  <c r="E310" i="156"/>
  <c r="E311" i="156"/>
  <c r="E312" i="156"/>
  <c r="E313" i="156"/>
  <c r="E314" i="156"/>
  <c r="E315" i="156"/>
  <c r="E316" i="156"/>
  <c r="E317" i="156"/>
  <c r="E318" i="156"/>
  <c r="E319" i="156"/>
  <c r="E320" i="156"/>
  <c r="E321" i="156"/>
  <c r="E322" i="156"/>
  <c r="E323" i="156"/>
  <c r="E324" i="156"/>
  <c r="E325" i="156"/>
  <c r="E326" i="156"/>
  <c r="E327" i="156"/>
  <c r="E328" i="156"/>
  <c r="E329" i="156"/>
  <c r="E330" i="156"/>
  <c r="E331" i="156"/>
  <c r="E344" i="156"/>
  <c r="E345" i="156"/>
  <c r="E382" i="156"/>
  <c r="E383" i="156"/>
  <c r="E384" i="156"/>
  <c r="E385" i="156"/>
  <c r="E386" i="156"/>
  <c r="E387" i="156"/>
  <c r="E388" i="156"/>
  <c r="E389" i="156"/>
  <c r="E390" i="156"/>
  <c r="E391" i="156"/>
  <c r="E392" i="156"/>
  <c r="E393" i="156"/>
  <c r="E394" i="156"/>
  <c r="E395" i="156"/>
  <c r="E396" i="156"/>
  <c r="E397" i="156"/>
  <c r="E398" i="156"/>
  <c r="E399" i="156"/>
  <c r="E400" i="156"/>
  <c r="E401" i="156"/>
  <c r="E402" i="156"/>
  <c r="E403" i="156"/>
  <c r="E404" i="156"/>
  <c r="E405" i="156"/>
  <c r="E406" i="156"/>
  <c r="E407" i="156"/>
  <c r="E408" i="156"/>
  <c r="E409" i="156"/>
  <c r="E410" i="156"/>
  <c r="E411" i="156"/>
  <c r="E412" i="156"/>
  <c r="E413" i="156"/>
  <c r="E414" i="156"/>
  <c r="E415" i="156"/>
  <c r="E416" i="156"/>
  <c r="E417" i="156"/>
  <c r="E418" i="156"/>
  <c r="E419" i="156"/>
  <c r="E420" i="156"/>
  <c r="E421" i="156"/>
  <c r="E422" i="156"/>
  <c r="E423" i="156"/>
  <c r="E424" i="156"/>
  <c r="E425" i="156"/>
  <c r="E426" i="156"/>
  <c r="E427" i="156"/>
  <c r="E428" i="156"/>
  <c r="E429" i="156"/>
  <c r="E430" i="156"/>
  <c r="E431" i="156"/>
  <c r="E432" i="156"/>
  <c r="E433" i="156"/>
  <c r="E434" i="156"/>
  <c r="E435" i="156"/>
  <c r="E436" i="156"/>
  <c r="E437" i="156"/>
  <c r="E438" i="156"/>
  <c r="E439" i="156"/>
  <c r="E440" i="156"/>
  <c r="E441" i="156"/>
  <c r="E442" i="156"/>
  <c r="E443" i="156"/>
  <c r="E444" i="156"/>
  <c r="E445" i="156"/>
  <c r="E446" i="156"/>
  <c r="E447" i="156"/>
  <c r="E448" i="156"/>
  <c r="E449" i="156"/>
  <c r="E450" i="156"/>
  <c r="E451" i="156"/>
  <c r="E452" i="156"/>
  <c r="E453" i="156"/>
  <c r="E454" i="156"/>
  <c r="E455" i="156"/>
  <c r="E456" i="156"/>
  <c r="E457" i="156"/>
  <c r="E458" i="156"/>
  <c r="E459" i="156"/>
  <c r="E460" i="156"/>
  <c r="E461" i="156"/>
  <c r="E462" i="156"/>
  <c r="E463" i="156"/>
  <c r="E464" i="156"/>
  <c r="E465" i="156"/>
  <c r="E466" i="156"/>
  <c r="E467" i="156"/>
  <c r="E468" i="156"/>
  <c r="E469" i="156"/>
  <c r="E470" i="156"/>
  <c r="E471" i="156"/>
  <c r="E472" i="156"/>
  <c r="E473" i="156"/>
  <c r="E474" i="156"/>
  <c r="E475" i="156"/>
  <c r="E476" i="156"/>
  <c r="E477" i="156"/>
  <c r="E478" i="156"/>
  <c r="E479" i="156"/>
  <c r="E535" i="156"/>
  <c r="E333" i="156"/>
  <c r="E334" i="156"/>
  <c r="E335" i="156"/>
  <c r="E336" i="156"/>
  <c r="E338" i="156"/>
  <c r="E342" i="156"/>
  <c r="E343" i="156"/>
  <c r="G11" i="156"/>
  <c r="G12" i="156"/>
  <c r="G13" i="156"/>
  <c r="G14" i="156"/>
  <c r="G15" i="156"/>
  <c r="G16" i="156"/>
  <c r="G17" i="156"/>
  <c r="G18" i="156"/>
  <c r="P401" i="156"/>
  <c r="P402" i="156"/>
  <c r="P403" i="156"/>
  <c r="P404" i="156"/>
  <c r="P405" i="156"/>
  <c r="P406" i="156"/>
  <c r="P407" i="156"/>
  <c r="P408" i="156"/>
  <c r="P409" i="156"/>
  <c r="P410" i="156"/>
  <c r="P411" i="156"/>
  <c r="P412" i="156"/>
  <c r="P413" i="156"/>
  <c r="P414" i="156"/>
  <c r="P415" i="156"/>
  <c r="P416" i="156"/>
  <c r="P417" i="156"/>
  <c r="P418" i="156"/>
  <c r="P419" i="156"/>
  <c r="P420" i="156"/>
  <c r="P421" i="156"/>
  <c r="P422" i="156"/>
  <c r="P423" i="156"/>
  <c r="P424" i="156"/>
  <c r="P425" i="156"/>
  <c r="P426" i="156"/>
  <c r="P427" i="156"/>
  <c r="P428" i="156"/>
  <c r="P429" i="156"/>
  <c r="P430" i="156"/>
  <c r="P431" i="156"/>
  <c r="P432" i="156"/>
  <c r="V433" i="156"/>
  <c r="S434" i="156"/>
  <c r="S435" i="156"/>
  <c r="S436" i="156"/>
  <c r="S437" i="156"/>
  <c r="S438" i="156"/>
  <c r="S439" i="156"/>
  <c r="S440" i="156"/>
  <c r="S441" i="156"/>
  <c r="S442" i="156"/>
  <c r="S443" i="156"/>
  <c r="S444" i="156"/>
  <c r="S445" i="156"/>
  <c r="S446" i="156"/>
  <c r="S447" i="156"/>
  <c r="S448" i="156"/>
  <c r="S449" i="156"/>
  <c r="S450" i="156"/>
  <c r="S451" i="156"/>
  <c r="S452" i="156"/>
  <c r="S461" i="156"/>
  <c r="S463" i="156"/>
  <c r="S464" i="156"/>
  <c r="S465" i="156"/>
  <c r="S466" i="156"/>
  <c r="S467" i="156"/>
  <c r="S468" i="156"/>
  <c r="S469" i="156"/>
  <c r="S470" i="156"/>
  <c r="S471" i="156"/>
  <c r="S472" i="156"/>
  <c r="S473" i="156"/>
  <c r="S474" i="156"/>
  <c r="G165" i="156"/>
  <c r="G166" i="156"/>
  <c r="G167" i="156"/>
  <c r="G168" i="156"/>
  <c r="G169" i="156"/>
  <c r="G170" i="156"/>
  <c r="G171" i="156"/>
  <c r="G186" i="156"/>
  <c r="G187" i="156"/>
  <c r="G188" i="156"/>
  <c r="G189" i="156"/>
  <c r="G190" i="156"/>
  <c r="G191" i="156"/>
  <c r="G192" i="156"/>
  <c r="G193" i="156"/>
  <c r="G194" i="156"/>
  <c r="G195" i="156"/>
  <c r="G196" i="156"/>
  <c r="G197" i="156"/>
  <c r="G198" i="156"/>
  <c r="G199" i="156"/>
  <c r="G200" i="156"/>
  <c r="G201" i="156"/>
  <c r="G202" i="156"/>
  <c r="G203" i="156"/>
  <c r="P478" i="156"/>
  <c r="P479" i="156"/>
  <c r="P535" i="156"/>
  <c r="G204" i="156"/>
  <c r="G205" i="156"/>
  <c r="G206" i="156"/>
  <c r="G207" i="156"/>
  <c r="G208" i="156"/>
  <c r="G209" i="156"/>
  <c r="G210" i="156"/>
  <c r="G211" i="156"/>
  <c r="G212" i="156"/>
  <c r="G213" i="156"/>
  <c r="G214" i="156"/>
  <c r="G215" i="156"/>
  <c r="G340" i="156"/>
  <c r="G337" i="156"/>
  <c r="G219" i="156"/>
  <c r="G220" i="156"/>
  <c r="G221" i="156"/>
  <c r="G222" i="156"/>
  <c r="G223" i="156"/>
  <c r="G224" i="156"/>
  <c r="G225" i="156"/>
  <c r="G226" i="156"/>
  <c r="G227" i="156"/>
  <c r="G228" i="156"/>
  <c r="G229" i="156"/>
  <c r="G230" i="156"/>
  <c r="G231" i="156"/>
  <c r="G232" i="156"/>
  <c r="G233" i="156"/>
  <c r="G234" i="156"/>
  <c r="G235" i="156"/>
  <c r="G237" i="156"/>
  <c r="G238" i="156"/>
  <c r="G239" i="156"/>
  <c r="G240" i="156"/>
  <c r="G241" i="156"/>
  <c r="G242" i="156"/>
  <c r="G243" i="156"/>
  <c r="G246" i="156"/>
  <c r="G247" i="156"/>
  <c r="G248" i="156"/>
  <c r="G249" i="156"/>
  <c r="G250" i="156"/>
  <c r="G251" i="156"/>
  <c r="G254" i="156"/>
  <c r="G255" i="156"/>
  <c r="G323" i="156"/>
  <c r="G324" i="156"/>
  <c r="G325" i="156"/>
  <c r="G326" i="156"/>
  <c r="G327" i="156"/>
  <c r="G328" i="156"/>
  <c r="G329" i="156"/>
  <c r="G330" i="156"/>
  <c r="J5" i="156"/>
  <c r="J6" i="156"/>
  <c r="S5" i="156"/>
  <c r="S6" i="156"/>
  <c r="S4" i="156"/>
  <c r="P5" i="156"/>
  <c r="P6" i="156"/>
  <c r="P4" i="156"/>
  <c r="J4" i="156"/>
  <c r="E5" i="156"/>
  <c r="E6" i="156"/>
  <c r="E4" i="156"/>
  <c r="R536" i="156"/>
  <c r="K5" i="156"/>
  <c r="D151" i="156" l="1"/>
  <c r="G151" i="156"/>
  <c r="D152" i="156"/>
  <c r="G152" i="156"/>
  <c r="D164" i="156"/>
  <c r="G164" i="156"/>
  <c r="D114" i="156"/>
  <c r="F114" i="156" s="1"/>
  <c r="G114" i="156"/>
  <c r="D115" i="156"/>
  <c r="F115" i="156" s="1"/>
  <c r="G115" i="156"/>
  <c r="D116" i="156"/>
  <c r="F116" i="156" s="1"/>
  <c r="G116" i="156"/>
  <c r="D117" i="156"/>
  <c r="F117" i="156" s="1"/>
  <c r="G117" i="156"/>
  <c r="D118" i="156"/>
  <c r="F118" i="156" s="1"/>
  <c r="G118" i="156"/>
  <c r="D119" i="156"/>
  <c r="F119" i="156" s="1"/>
  <c r="G119" i="156"/>
  <c r="P172" i="156"/>
  <c r="D172" i="156"/>
  <c r="F172" i="156" s="1"/>
  <c r="P173" i="156"/>
  <c r="D173" i="156"/>
  <c r="F173" i="156" s="1"/>
  <c r="P174" i="156"/>
  <c r="D174" i="156"/>
  <c r="F174" i="156" s="1"/>
  <c r="P175" i="156"/>
  <c r="D175" i="156"/>
  <c r="F175" i="156" s="1"/>
  <c r="P176" i="156"/>
  <c r="D176" i="156"/>
  <c r="F176" i="156" s="1"/>
  <c r="D177" i="156"/>
  <c r="P177" i="156"/>
  <c r="R177" i="156" s="1"/>
  <c r="D178" i="156"/>
  <c r="P178" i="156"/>
  <c r="R178" i="156" s="1"/>
  <c r="D179" i="156"/>
  <c r="P179" i="156"/>
  <c r="R179" i="156" s="1"/>
  <c r="D180" i="156"/>
  <c r="P180" i="156"/>
  <c r="R180" i="156" s="1"/>
  <c r="D181" i="156"/>
  <c r="P181" i="156"/>
  <c r="D182" i="156"/>
  <c r="P182" i="156"/>
  <c r="R182" i="156" s="1"/>
  <c r="D183" i="156"/>
  <c r="F183" i="156" s="1"/>
  <c r="AF183" i="156" s="1"/>
  <c r="P183" i="156"/>
  <c r="R183" i="156" s="1"/>
  <c r="D184" i="156"/>
  <c r="F184" i="156" s="1"/>
  <c r="AF184" i="156" s="1"/>
  <c r="P184" i="156"/>
  <c r="R184" i="156" s="1"/>
  <c r="D185" i="156"/>
  <c r="F185" i="156" s="1"/>
  <c r="P185" i="156"/>
  <c r="R185" i="156" s="1"/>
  <c r="AD173" i="156"/>
  <c r="AE173" i="156"/>
  <c r="AF173" i="156" s="1"/>
  <c r="AD175" i="156"/>
  <c r="AE175" i="156"/>
  <c r="AF175" i="156" s="1"/>
  <c r="R175" i="156"/>
  <c r="R174" i="156"/>
  <c r="R173" i="156"/>
  <c r="R176" i="156"/>
  <c r="U172" i="156"/>
  <c r="X173" i="156"/>
  <c r="U173" i="156"/>
  <c r="U175" i="156"/>
  <c r="X176" i="156"/>
  <c r="AA173" i="156"/>
  <c r="AA175" i="156"/>
  <c r="AA176" i="156"/>
  <c r="R172" i="156"/>
  <c r="AE172" i="156"/>
  <c r="AF172" i="156" s="1"/>
  <c r="U174" i="156"/>
  <c r="AE174" i="156"/>
  <c r="AF174" i="156" s="1"/>
  <c r="AE176" i="156"/>
  <c r="AF176" i="156" s="1"/>
  <c r="U176" i="156"/>
  <c r="F177" i="156"/>
  <c r="AF177" i="156" s="1"/>
  <c r="X177" i="156"/>
  <c r="AA177" i="156"/>
  <c r="AD177" i="156"/>
  <c r="F178" i="156"/>
  <c r="F179" i="156"/>
  <c r="AA179" i="156"/>
  <c r="F180" i="156"/>
  <c r="M180" i="156"/>
  <c r="F181" i="156"/>
  <c r="R181" i="156"/>
  <c r="F182" i="156"/>
  <c r="AA182" i="156"/>
  <c r="F480" i="156"/>
  <c r="F482" i="156"/>
  <c r="F483" i="156"/>
  <c r="F484" i="156"/>
  <c r="F485" i="156"/>
  <c r="F486" i="156"/>
  <c r="F487" i="156"/>
  <c r="F488" i="156"/>
  <c r="F494" i="156"/>
  <c r="F495" i="156"/>
  <c r="F497" i="156"/>
  <c r="F498" i="156"/>
  <c r="F501" i="156"/>
  <c r="F503" i="156"/>
  <c r="F504" i="156"/>
  <c r="F507" i="156"/>
  <c r="F508" i="156"/>
  <c r="F509" i="156"/>
  <c r="F510" i="156"/>
  <c r="M177" i="156"/>
  <c r="O177" i="156" s="1"/>
  <c r="L177" i="156"/>
  <c r="L178" i="156"/>
  <c r="M178" i="156"/>
  <c r="O178" i="156" s="1"/>
  <c r="AD178" i="156"/>
  <c r="AE178" i="156"/>
  <c r="AF178" i="156" s="1"/>
  <c r="N179" i="156"/>
  <c r="I179" i="156"/>
  <c r="L179" i="156"/>
  <c r="M179" i="156"/>
  <c r="AD179" i="156"/>
  <c r="AE179" i="156"/>
  <c r="AF179" i="156" s="1"/>
  <c r="N180" i="156"/>
  <c r="O180" i="156" s="1"/>
  <c r="L180" i="156"/>
  <c r="AE180" i="156"/>
  <c r="AF180" i="156" s="1"/>
  <c r="AD180" i="156"/>
  <c r="N181" i="156"/>
  <c r="O181" i="156" s="1"/>
  <c r="L181" i="156"/>
  <c r="AD181" i="156"/>
  <c r="AE181" i="156"/>
  <c r="AF181" i="156" s="1"/>
  <c r="N182" i="156"/>
  <c r="I182" i="156"/>
  <c r="L182" i="156"/>
  <c r="M182" i="156"/>
  <c r="AD182" i="156"/>
  <c r="AE182" i="156"/>
  <c r="AF182" i="156" s="1"/>
  <c r="N183" i="156"/>
  <c r="O183" i="156" s="1"/>
  <c r="L183" i="156"/>
  <c r="AD183" i="156"/>
  <c r="AE183" i="156"/>
  <c r="L184" i="156"/>
  <c r="N184" i="156"/>
  <c r="O184" i="156" s="1"/>
  <c r="AD184" i="156"/>
  <c r="AE184" i="156"/>
  <c r="L185" i="156"/>
  <c r="N185" i="156"/>
  <c r="O185" i="156" s="1"/>
  <c r="AD185" i="156"/>
  <c r="AE185" i="156"/>
  <c r="G150" i="156"/>
  <c r="D150" i="156"/>
  <c r="F150" i="156" s="1"/>
  <c r="F524" i="156"/>
  <c r="X150" i="156"/>
  <c r="U150" i="156"/>
  <c r="R150" i="156"/>
  <c r="AA150" i="156"/>
  <c r="AE150" i="156"/>
  <c r="AD150" i="156"/>
  <c r="L150" i="156"/>
  <c r="N150" i="156"/>
  <c r="G107" i="156"/>
  <c r="D107" i="156"/>
  <c r="F107" i="156" s="1"/>
  <c r="G108" i="156"/>
  <c r="D108" i="156"/>
  <c r="F108" i="156" s="1"/>
  <c r="G109" i="156"/>
  <c r="D109" i="156"/>
  <c r="F109" i="156" s="1"/>
  <c r="G110" i="156"/>
  <c r="D110" i="156"/>
  <c r="F110" i="156" s="1"/>
  <c r="G111" i="156"/>
  <c r="D111" i="156"/>
  <c r="F111" i="156" s="1"/>
  <c r="G112" i="156"/>
  <c r="D112" i="156"/>
  <c r="F112" i="156" s="1"/>
  <c r="G113" i="156"/>
  <c r="D113" i="156"/>
  <c r="F113" i="156" s="1"/>
  <c r="F499" i="156"/>
  <c r="F500" i="156"/>
  <c r="F522" i="156"/>
  <c r="G106" i="156"/>
  <c r="D106" i="156"/>
  <c r="F106" i="156" s="1"/>
  <c r="F492" i="156"/>
  <c r="G104" i="156"/>
  <c r="D104" i="156"/>
  <c r="F104" i="156" s="1"/>
  <c r="G105" i="156"/>
  <c r="D105" i="156"/>
  <c r="F105" i="156" s="1"/>
  <c r="S100" i="156"/>
  <c r="U100" i="156" s="1"/>
  <c r="D100" i="156"/>
  <c r="F100" i="156" s="1"/>
  <c r="S101" i="156"/>
  <c r="U101" i="156" s="1"/>
  <c r="D101" i="156"/>
  <c r="F101" i="156" s="1"/>
  <c r="S102" i="156"/>
  <c r="U102" i="156" s="1"/>
  <c r="D102" i="156"/>
  <c r="F102" i="156" s="1"/>
  <c r="P103" i="156"/>
  <c r="R103" i="156" s="1"/>
  <c r="D103" i="156"/>
  <c r="F103" i="156" s="1"/>
  <c r="S84" i="156"/>
  <c r="U84" i="156" s="1"/>
  <c r="D84" i="156"/>
  <c r="F84" i="156" s="1"/>
  <c r="P85" i="156"/>
  <c r="R85" i="156" s="1"/>
  <c r="D85" i="156"/>
  <c r="F85" i="156" s="1"/>
  <c r="P86" i="156"/>
  <c r="R86" i="156" s="1"/>
  <c r="D86" i="156"/>
  <c r="F86" i="156" s="1"/>
  <c r="P87" i="156"/>
  <c r="R87" i="156" s="1"/>
  <c r="D87" i="156"/>
  <c r="F87" i="156" s="1"/>
  <c r="P88" i="156"/>
  <c r="R88" i="156" s="1"/>
  <c r="D88" i="156"/>
  <c r="F88" i="156" s="1"/>
  <c r="P89" i="156"/>
  <c r="R89" i="156" s="1"/>
  <c r="D89" i="156"/>
  <c r="F89" i="156" s="1"/>
  <c r="P90" i="156"/>
  <c r="R90" i="156" s="1"/>
  <c r="D90" i="156"/>
  <c r="F90" i="156" s="1"/>
  <c r="P91" i="156"/>
  <c r="R91" i="156" s="1"/>
  <c r="D91" i="156"/>
  <c r="F91" i="156" s="1"/>
  <c r="P92" i="156"/>
  <c r="R92" i="156" s="1"/>
  <c r="D92" i="156"/>
  <c r="F92" i="156" s="1"/>
  <c r="P93" i="156"/>
  <c r="R93" i="156" s="1"/>
  <c r="D93" i="156"/>
  <c r="F93" i="156" s="1"/>
  <c r="G94" i="156"/>
  <c r="D94" i="156"/>
  <c r="F94" i="156" s="1"/>
  <c r="AB95" i="156"/>
  <c r="AD95" i="156" s="1"/>
  <c r="D95" i="156"/>
  <c r="F95" i="156" s="1"/>
  <c r="Y96" i="156"/>
  <c r="AA96" i="156" s="1"/>
  <c r="D96" i="156"/>
  <c r="F96" i="156" s="1"/>
  <c r="Y97" i="156"/>
  <c r="AA97" i="156" s="1"/>
  <c r="D97" i="156"/>
  <c r="F97" i="156" s="1"/>
  <c r="S98" i="156"/>
  <c r="U98" i="156" s="1"/>
  <c r="D98" i="156"/>
  <c r="F98" i="156" s="1"/>
  <c r="S99" i="156"/>
  <c r="U99" i="156" s="1"/>
  <c r="D99" i="156"/>
  <c r="F99" i="156" s="1"/>
  <c r="F523" i="156"/>
  <c r="F530" i="156"/>
  <c r="F528" i="156"/>
  <c r="F529" i="156"/>
  <c r="F531" i="156"/>
  <c r="F532" i="156"/>
  <c r="F533" i="156"/>
  <c r="F526" i="156"/>
  <c r="F513" i="156"/>
  <c r="F505" i="156"/>
  <c r="F515" i="156"/>
  <c r="F516" i="156"/>
  <c r="F490" i="156"/>
  <c r="T487" i="99"/>
  <c r="F491" i="156"/>
  <c r="F493" i="156"/>
  <c r="F502" i="156"/>
  <c r="F512" i="156"/>
  <c r="F519" i="156"/>
  <c r="F506" i="156"/>
  <c r="F518" i="156"/>
  <c r="F534" i="156"/>
  <c r="S21" i="156"/>
  <c r="U21" i="156" s="1"/>
  <c r="D21" i="156"/>
  <c r="F21" i="156" s="1"/>
  <c r="P22" i="156"/>
  <c r="R22" i="156" s="1"/>
  <c r="D22" i="156"/>
  <c r="F22" i="156" s="1"/>
  <c r="P23" i="156"/>
  <c r="R23" i="156" s="1"/>
  <c r="D23" i="156"/>
  <c r="F23" i="156" s="1"/>
  <c r="G24" i="156"/>
  <c r="D24" i="156"/>
  <c r="F24" i="156" s="1"/>
  <c r="D25" i="156"/>
  <c r="F25" i="156" s="1"/>
  <c r="P25" i="156"/>
  <c r="R25" i="156" s="1"/>
  <c r="D26" i="156"/>
  <c r="F26" i="156" s="1"/>
  <c r="G26" i="156"/>
  <c r="G27" i="156"/>
  <c r="D27" i="156"/>
  <c r="F27" i="156" s="1"/>
  <c r="G28" i="156"/>
  <c r="D28" i="156"/>
  <c r="F28" i="156" s="1"/>
  <c r="P29" i="156"/>
  <c r="R29" i="156" s="1"/>
  <c r="D29" i="156"/>
  <c r="F29" i="156" s="1"/>
  <c r="P30" i="156"/>
  <c r="R30" i="156" s="1"/>
  <c r="D30" i="156"/>
  <c r="F30" i="156" s="1"/>
  <c r="D31" i="156"/>
  <c r="F31" i="156" s="1"/>
  <c r="P31" i="156"/>
  <c r="R31" i="156" s="1"/>
  <c r="P32" i="156"/>
  <c r="R32" i="156" s="1"/>
  <c r="D32" i="156"/>
  <c r="F32" i="156" s="1"/>
  <c r="P33" i="156"/>
  <c r="R33" i="156" s="1"/>
  <c r="D33" i="156"/>
  <c r="F33" i="156" s="1"/>
  <c r="P34" i="156"/>
  <c r="R34" i="156" s="1"/>
  <c r="D34" i="156"/>
  <c r="F34" i="156" s="1"/>
  <c r="P35" i="156"/>
  <c r="R35" i="156" s="1"/>
  <c r="D35" i="156"/>
  <c r="F35" i="156" s="1"/>
  <c r="P36" i="156"/>
  <c r="R36" i="156" s="1"/>
  <c r="D36" i="156"/>
  <c r="F36" i="156" s="1"/>
  <c r="P37" i="156"/>
  <c r="R37" i="156" s="1"/>
  <c r="D37" i="156"/>
  <c r="F37" i="156" s="1"/>
  <c r="P38" i="156"/>
  <c r="R38" i="156" s="1"/>
  <c r="D38" i="156"/>
  <c r="F38" i="156" s="1"/>
  <c r="D39" i="156"/>
  <c r="F39" i="156" s="1"/>
  <c r="P39" i="156"/>
  <c r="R39" i="156" s="1"/>
  <c r="D40" i="156"/>
  <c r="F40" i="156" s="1"/>
  <c r="P40" i="156"/>
  <c r="R40" i="156" s="1"/>
  <c r="D41" i="156"/>
  <c r="F41" i="156" s="1"/>
  <c r="P41" i="156"/>
  <c r="R41" i="156" s="1"/>
  <c r="P42" i="156"/>
  <c r="R42" i="156" s="1"/>
  <c r="D42" i="156"/>
  <c r="F42" i="156" s="1"/>
  <c r="D43" i="156"/>
  <c r="F43" i="156" s="1"/>
  <c r="P43" i="156"/>
  <c r="R43" i="156" s="1"/>
  <c r="D44" i="156"/>
  <c r="F44" i="156" s="1"/>
  <c r="P44" i="156"/>
  <c r="R44" i="156" s="1"/>
  <c r="P45" i="156"/>
  <c r="R45" i="156" s="1"/>
  <c r="D45" i="156"/>
  <c r="F45" i="156" s="1"/>
  <c r="D46" i="156"/>
  <c r="F46" i="156" s="1"/>
  <c r="P46" i="156"/>
  <c r="R46" i="156" s="1"/>
  <c r="P47" i="156"/>
  <c r="R47" i="156" s="1"/>
  <c r="D47" i="156"/>
  <c r="F47" i="156" s="1"/>
  <c r="P48" i="156"/>
  <c r="R48" i="156" s="1"/>
  <c r="D48" i="156"/>
  <c r="F48" i="156" s="1"/>
  <c r="P49" i="156"/>
  <c r="R49" i="156" s="1"/>
  <c r="D49" i="156"/>
  <c r="F49" i="156" s="1"/>
  <c r="P50" i="156"/>
  <c r="R50" i="156" s="1"/>
  <c r="D50" i="156"/>
  <c r="F50" i="156" s="1"/>
  <c r="P51" i="156"/>
  <c r="R51" i="156" s="1"/>
  <c r="D51" i="156"/>
  <c r="F51" i="156" s="1"/>
  <c r="P52" i="156"/>
  <c r="R52" i="156" s="1"/>
  <c r="D52" i="156"/>
  <c r="F52" i="156" s="1"/>
  <c r="P53" i="156"/>
  <c r="R53" i="156" s="1"/>
  <c r="D53" i="156"/>
  <c r="F53" i="156" s="1"/>
  <c r="P54" i="156"/>
  <c r="R54" i="156" s="1"/>
  <c r="D54" i="156"/>
  <c r="F54" i="156" s="1"/>
  <c r="P55" i="156"/>
  <c r="R55" i="156" s="1"/>
  <c r="D55" i="156"/>
  <c r="F55" i="156" s="1"/>
  <c r="P56" i="156"/>
  <c r="R56" i="156" s="1"/>
  <c r="D56" i="156"/>
  <c r="F56" i="156" s="1"/>
  <c r="P57" i="156"/>
  <c r="R57" i="156" s="1"/>
  <c r="D57" i="156"/>
  <c r="F57" i="156" s="1"/>
  <c r="P58" i="156"/>
  <c r="R58" i="156" s="1"/>
  <c r="D58" i="156"/>
  <c r="F58" i="156" s="1"/>
  <c r="D59" i="156"/>
  <c r="F59" i="156" s="1"/>
  <c r="P59" i="156"/>
  <c r="R59" i="156" s="1"/>
  <c r="P60" i="156"/>
  <c r="R60" i="156" s="1"/>
  <c r="D60" i="156"/>
  <c r="F60" i="156" s="1"/>
  <c r="D61" i="156"/>
  <c r="F61" i="156" s="1"/>
  <c r="P61" i="156"/>
  <c r="R61" i="156" s="1"/>
  <c r="P62" i="156"/>
  <c r="R62" i="156" s="1"/>
  <c r="D62" i="156"/>
  <c r="F62" i="156" s="1"/>
  <c r="D63" i="156"/>
  <c r="F63" i="156" s="1"/>
  <c r="G63" i="156"/>
  <c r="D64" i="156"/>
  <c r="F64" i="156" s="1"/>
  <c r="G64" i="156"/>
  <c r="D65" i="156"/>
  <c r="F65" i="156" s="1"/>
  <c r="G65" i="156"/>
  <c r="D66" i="156"/>
  <c r="F66" i="156" s="1"/>
  <c r="G66" i="156"/>
  <c r="D67" i="156"/>
  <c r="F67" i="156" s="1"/>
  <c r="G67" i="156"/>
  <c r="G68" i="156"/>
  <c r="D68" i="156"/>
  <c r="F68" i="156" s="1"/>
  <c r="D69" i="156"/>
  <c r="F69" i="156" s="1"/>
  <c r="G69" i="156"/>
  <c r="D70" i="156"/>
  <c r="F70" i="156" s="1"/>
  <c r="G70" i="156"/>
  <c r="D71" i="156"/>
  <c r="F71" i="156" s="1"/>
  <c r="AB71" i="156"/>
  <c r="AD71" i="156" s="1"/>
  <c r="Y72" i="156"/>
  <c r="AA72" i="156" s="1"/>
  <c r="D72" i="156"/>
  <c r="F72" i="156" s="1"/>
  <c r="Y73" i="156"/>
  <c r="AA73" i="156" s="1"/>
  <c r="D73" i="156"/>
  <c r="F73" i="156" s="1"/>
  <c r="V74" i="156"/>
  <c r="X74" i="156" s="1"/>
  <c r="D74" i="156"/>
  <c r="F74" i="156" s="1"/>
  <c r="V75" i="156"/>
  <c r="X75" i="156" s="1"/>
  <c r="D75" i="156"/>
  <c r="F75" i="156" s="1"/>
  <c r="V76" i="156"/>
  <c r="X76" i="156" s="1"/>
  <c r="D76" i="156"/>
  <c r="F76" i="156" s="1"/>
  <c r="V77" i="156"/>
  <c r="X77" i="156" s="1"/>
  <c r="D77" i="156"/>
  <c r="F77" i="156" s="1"/>
  <c r="V78" i="156"/>
  <c r="X78" i="156" s="1"/>
  <c r="D78" i="156"/>
  <c r="F78" i="156" s="1"/>
  <c r="S79" i="156"/>
  <c r="U79" i="156" s="1"/>
  <c r="D79" i="156"/>
  <c r="F79" i="156" s="1"/>
  <c r="S80" i="156"/>
  <c r="U80" i="156" s="1"/>
  <c r="D80" i="156"/>
  <c r="F80" i="156" s="1"/>
  <c r="S81" i="156"/>
  <c r="U81" i="156" s="1"/>
  <c r="D81" i="156"/>
  <c r="F81" i="156" s="1"/>
  <c r="S82" i="156"/>
  <c r="U82" i="156" s="1"/>
  <c r="D82" i="156"/>
  <c r="F82" i="156" s="1"/>
  <c r="S83" i="156"/>
  <c r="U83" i="156" s="1"/>
  <c r="D83" i="156"/>
  <c r="F83" i="156" s="1"/>
  <c r="G336" i="156"/>
  <c r="D67" i="157"/>
  <c r="D68" i="157" s="1"/>
  <c r="F489" i="156"/>
  <c r="F481" i="156"/>
  <c r="F525" i="156"/>
  <c r="F496" i="156"/>
  <c r="AA534" i="156"/>
  <c r="X534" i="156"/>
  <c r="U534" i="156"/>
  <c r="R534" i="156"/>
  <c r="M534" i="156"/>
  <c r="I534" i="156"/>
  <c r="I531" i="156"/>
  <c r="AE534" i="156"/>
  <c r="AD534" i="156"/>
  <c r="N534" i="156"/>
  <c r="O534" i="156" s="1"/>
  <c r="L534" i="156"/>
  <c r="AA523" i="156"/>
  <c r="AA529" i="156"/>
  <c r="X525" i="156"/>
  <c r="X530" i="156"/>
  <c r="U527" i="156"/>
  <c r="U530" i="156"/>
  <c r="R526" i="156"/>
  <c r="M524" i="156"/>
  <c r="M533" i="156"/>
  <c r="I524" i="156"/>
  <c r="I529" i="156"/>
  <c r="AA531" i="156"/>
  <c r="X523" i="156"/>
  <c r="X526" i="156"/>
  <c r="X528" i="156"/>
  <c r="U522" i="156"/>
  <c r="U526" i="156"/>
  <c r="R527" i="156"/>
  <c r="M523" i="156"/>
  <c r="M530" i="156"/>
  <c r="I533" i="156"/>
  <c r="U528" i="156"/>
  <c r="R522" i="156"/>
  <c r="R524" i="156"/>
  <c r="R529" i="156"/>
  <c r="R533" i="156"/>
  <c r="M528" i="156"/>
  <c r="I525" i="156"/>
  <c r="AA532" i="156"/>
  <c r="U529" i="156"/>
  <c r="M522" i="156"/>
  <c r="AA524" i="156"/>
  <c r="M525" i="156"/>
  <c r="X524" i="156"/>
  <c r="X529" i="156"/>
  <c r="AA530" i="156"/>
  <c r="U532" i="156"/>
  <c r="M532" i="156"/>
  <c r="F527" i="156"/>
  <c r="AA522" i="156"/>
  <c r="AA526" i="156"/>
  <c r="X527" i="156"/>
  <c r="X533" i="156"/>
  <c r="U523" i="156"/>
  <c r="R531" i="156"/>
  <c r="M527" i="156"/>
  <c r="I523" i="156"/>
  <c r="I532" i="156"/>
  <c r="AA527" i="156"/>
  <c r="X522" i="156"/>
  <c r="U533" i="156"/>
  <c r="R523" i="156"/>
  <c r="R528" i="156"/>
  <c r="R532" i="156"/>
  <c r="M531" i="156"/>
  <c r="I530" i="156"/>
  <c r="AA525" i="156"/>
  <c r="AA528" i="156"/>
  <c r="X531" i="156"/>
  <c r="U524" i="156"/>
  <c r="U531" i="156"/>
  <c r="R525" i="156"/>
  <c r="R530" i="156"/>
  <c r="M529" i="156"/>
  <c r="I522" i="156"/>
  <c r="I527" i="156"/>
  <c r="AA533" i="156"/>
  <c r="X532" i="156"/>
  <c r="U525" i="156"/>
  <c r="M526" i="156"/>
  <c r="I526" i="156"/>
  <c r="I528" i="156"/>
  <c r="AE522" i="156"/>
  <c r="AD522" i="156"/>
  <c r="AE523" i="156"/>
  <c r="AD523" i="156"/>
  <c r="AE524" i="156"/>
  <c r="AD524" i="156"/>
  <c r="AE525" i="156"/>
  <c r="AD525" i="156"/>
  <c r="AE526" i="156"/>
  <c r="AD526" i="156"/>
  <c r="AE527" i="156"/>
  <c r="AD527" i="156"/>
  <c r="AE528" i="156"/>
  <c r="AD528" i="156"/>
  <c r="AD529" i="156"/>
  <c r="AE529" i="156"/>
  <c r="AE530" i="156"/>
  <c r="AD530" i="156"/>
  <c r="AE531" i="156"/>
  <c r="AD531" i="156"/>
  <c r="AE532" i="156"/>
  <c r="AD532" i="156"/>
  <c r="AE533" i="156"/>
  <c r="AD533" i="156"/>
  <c r="L522" i="156"/>
  <c r="N522" i="156"/>
  <c r="L523" i="156"/>
  <c r="N523" i="156"/>
  <c r="N524" i="156"/>
  <c r="L524" i="156"/>
  <c r="N525" i="156"/>
  <c r="L525" i="156"/>
  <c r="N526" i="156"/>
  <c r="O526" i="156" s="1"/>
  <c r="L526" i="156"/>
  <c r="N527" i="156"/>
  <c r="L527" i="156"/>
  <c r="L528" i="156"/>
  <c r="N528" i="156"/>
  <c r="L529" i="156"/>
  <c r="N529" i="156"/>
  <c r="O529" i="156" s="1"/>
  <c r="L530" i="156"/>
  <c r="N530" i="156"/>
  <c r="L531" i="156"/>
  <c r="N531" i="156"/>
  <c r="N532" i="156"/>
  <c r="L532" i="156"/>
  <c r="L533" i="156"/>
  <c r="N533" i="156"/>
  <c r="R495" i="156"/>
  <c r="R480" i="156"/>
  <c r="R488" i="156"/>
  <c r="R486" i="156"/>
  <c r="R497" i="156"/>
  <c r="R484" i="156"/>
  <c r="R481" i="156"/>
  <c r="R489" i="156"/>
  <c r="R491" i="156"/>
  <c r="R496" i="156"/>
  <c r="R483" i="156"/>
  <c r="R490" i="156"/>
  <c r="R498" i="156"/>
  <c r="R487" i="156"/>
  <c r="R482" i="156"/>
  <c r="R492" i="156"/>
  <c r="R485" i="156"/>
  <c r="R493" i="156"/>
  <c r="R494" i="156"/>
  <c r="AA482" i="156"/>
  <c r="AA484" i="156"/>
  <c r="AA488" i="156"/>
  <c r="AA490" i="156"/>
  <c r="AA493" i="156"/>
  <c r="AA496" i="156"/>
  <c r="AA498" i="156"/>
  <c r="AA502" i="156"/>
  <c r="AA505" i="156"/>
  <c r="AA508" i="156"/>
  <c r="AA511" i="156"/>
  <c r="AA514" i="156"/>
  <c r="AA516" i="156"/>
  <c r="AA520" i="156"/>
  <c r="X483" i="156"/>
  <c r="X486" i="156"/>
  <c r="X489" i="156"/>
  <c r="X491" i="156"/>
  <c r="X495" i="156"/>
  <c r="X497" i="156"/>
  <c r="X501" i="156"/>
  <c r="X502" i="156"/>
  <c r="X506" i="156"/>
  <c r="X508" i="156"/>
  <c r="X512" i="156"/>
  <c r="X515" i="156"/>
  <c r="X519" i="156"/>
  <c r="X520" i="156"/>
  <c r="U482" i="156"/>
  <c r="U485" i="156"/>
  <c r="U488" i="156"/>
  <c r="U490" i="156"/>
  <c r="U493" i="156"/>
  <c r="U496" i="156"/>
  <c r="U499" i="156"/>
  <c r="U502" i="156"/>
  <c r="U505" i="156"/>
  <c r="U507" i="156"/>
  <c r="U510" i="156"/>
  <c r="U513" i="156"/>
  <c r="U516" i="156"/>
  <c r="U519" i="156"/>
  <c r="R501" i="156"/>
  <c r="R504" i="156"/>
  <c r="R507" i="156"/>
  <c r="R510" i="156"/>
  <c r="R513" i="156"/>
  <c r="R516" i="156"/>
  <c r="R519" i="156"/>
  <c r="M482" i="156"/>
  <c r="M485" i="156"/>
  <c r="M488" i="156"/>
  <c r="M491" i="156"/>
  <c r="M494" i="156"/>
  <c r="M497" i="156"/>
  <c r="M500" i="156"/>
  <c r="M503" i="156"/>
  <c r="M506" i="156"/>
  <c r="M509" i="156"/>
  <c r="M512" i="156"/>
  <c r="M515" i="156"/>
  <c r="M518" i="156"/>
  <c r="M521" i="156"/>
  <c r="I480" i="156"/>
  <c r="I484" i="156"/>
  <c r="I486" i="156"/>
  <c r="I490" i="156"/>
  <c r="I492" i="156"/>
  <c r="I496" i="156"/>
  <c r="I499" i="156"/>
  <c r="I502" i="156"/>
  <c r="I505" i="156"/>
  <c r="I508" i="156"/>
  <c r="I512" i="156"/>
  <c r="I514" i="156"/>
  <c r="I518" i="156"/>
  <c r="I520" i="156"/>
  <c r="F520" i="156"/>
  <c r="R500" i="156"/>
  <c r="R502" i="156"/>
  <c r="R506" i="156"/>
  <c r="R509" i="156"/>
  <c r="R512" i="156"/>
  <c r="R515" i="156"/>
  <c r="R518" i="156"/>
  <c r="R520" i="156"/>
  <c r="M481" i="156"/>
  <c r="M484" i="156"/>
  <c r="M487" i="156"/>
  <c r="M490" i="156"/>
  <c r="M493" i="156"/>
  <c r="M496" i="156"/>
  <c r="M499" i="156"/>
  <c r="M502" i="156"/>
  <c r="M505" i="156"/>
  <c r="M508" i="156"/>
  <c r="M511" i="156"/>
  <c r="M514" i="156"/>
  <c r="M517" i="156"/>
  <c r="M520" i="156"/>
  <c r="I481" i="156"/>
  <c r="I485" i="156"/>
  <c r="I487" i="156"/>
  <c r="I491" i="156"/>
  <c r="I494" i="156"/>
  <c r="I497" i="156"/>
  <c r="I500" i="156"/>
  <c r="I503" i="156"/>
  <c r="I507" i="156"/>
  <c r="I509" i="156"/>
  <c r="I513" i="156"/>
  <c r="I515" i="156"/>
  <c r="I519" i="156"/>
  <c r="AA481" i="156"/>
  <c r="AA483" i="156"/>
  <c r="AA486" i="156"/>
  <c r="AA489" i="156"/>
  <c r="AA491" i="156"/>
  <c r="AA495" i="156"/>
  <c r="AA497" i="156"/>
  <c r="AA500" i="156"/>
  <c r="AA503" i="156"/>
  <c r="AA506" i="156"/>
  <c r="AA509" i="156"/>
  <c r="AA512" i="156"/>
  <c r="AA515" i="156"/>
  <c r="AA517" i="156"/>
  <c r="AA521" i="156"/>
  <c r="X480" i="156"/>
  <c r="X482" i="156"/>
  <c r="X484" i="156"/>
  <c r="X488" i="156"/>
  <c r="X490" i="156"/>
  <c r="X494" i="156"/>
  <c r="X496" i="156"/>
  <c r="X500" i="156"/>
  <c r="X503" i="156"/>
  <c r="X507" i="156"/>
  <c r="X509" i="156"/>
  <c r="X513" i="156"/>
  <c r="X514" i="156"/>
  <c r="X518" i="156"/>
  <c r="U481" i="156"/>
  <c r="U483" i="156"/>
  <c r="U486" i="156"/>
  <c r="U489" i="156"/>
  <c r="U492" i="156"/>
  <c r="U495" i="156"/>
  <c r="U498" i="156"/>
  <c r="U501" i="156"/>
  <c r="U504" i="156"/>
  <c r="U508" i="156"/>
  <c r="U511" i="156"/>
  <c r="U514" i="156"/>
  <c r="U517" i="156"/>
  <c r="U520" i="156"/>
  <c r="AA487" i="156"/>
  <c r="AA494" i="156"/>
  <c r="AA501" i="156"/>
  <c r="AA507" i="156"/>
  <c r="AA513" i="156"/>
  <c r="AA519" i="156"/>
  <c r="X487" i="156"/>
  <c r="X493" i="156"/>
  <c r="X499" i="156"/>
  <c r="X505" i="156"/>
  <c r="X511" i="156"/>
  <c r="X517" i="156"/>
  <c r="U487" i="156"/>
  <c r="U494" i="156"/>
  <c r="U500" i="156"/>
  <c r="U506" i="156"/>
  <c r="U512" i="156"/>
  <c r="U518" i="156"/>
  <c r="AA480" i="156"/>
  <c r="AA485" i="156"/>
  <c r="AA492" i="156"/>
  <c r="AA499" i="156"/>
  <c r="AA504" i="156"/>
  <c r="AA510" i="156"/>
  <c r="AA518" i="156"/>
  <c r="X481" i="156"/>
  <c r="X485" i="156"/>
  <c r="X492" i="156"/>
  <c r="X498" i="156"/>
  <c r="X504" i="156"/>
  <c r="X510" i="156"/>
  <c r="X516" i="156"/>
  <c r="X521" i="156"/>
  <c r="U480" i="156"/>
  <c r="U484" i="156"/>
  <c r="U491" i="156"/>
  <c r="U497" i="156"/>
  <c r="U503" i="156"/>
  <c r="U509" i="156"/>
  <c r="U515" i="156"/>
  <c r="U521" i="156"/>
  <c r="R503" i="156"/>
  <c r="R508" i="156"/>
  <c r="R514" i="156"/>
  <c r="R521" i="156"/>
  <c r="M483" i="156"/>
  <c r="M489" i="156"/>
  <c r="M495" i="156"/>
  <c r="M501" i="156"/>
  <c r="M507" i="156"/>
  <c r="M513" i="156"/>
  <c r="M519" i="156"/>
  <c r="I483" i="156"/>
  <c r="I489" i="156"/>
  <c r="I495" i="156"/>
  <c r="I501" i="156"/>
  <c r="I506" i="156"/>
  <c r="I511" i="156"/>
  <c r="I517" i="156"/>
  <c r="F521" i="156"/>
  <c r="R499" i="156"/>
  <c r="R505" i="156"/>
  <c r="R511" i="156"/>
  <c r="R517" i="156"/>
  <c r="M480" i="156"/>
  <c r="M486" i="156"/>
  <c r="M492" i="156"/>
  <c r="M498" i="156"/>
  <c r="M504" i="156"/>
  <c r="M510" i="156"/>
  <c r="M516" i="156"/>
  <c r="I482" i="156"/>
  <c r="I488" i="156"/>
  <c r="I493" i="156"/>
  <c r="I498" i="156"/>
  <c r="I504" i="156"/>
  <c r="I510" i="156"/>
  <c r="I516" i="156"/>
  <c r="I521" i="156"/>
  <c r="AE480" i="156"/>
  <c r="AD480" i="156"/>
  <c r="AE481" i="156"/>
  <c r="AD481" i="156"/>
  <c r="AE482" i="156"/>
  <c r="AD482" i="156"/>
  <c r="AE483" i="156"/>
  <c r="AD483" i="156"/>
  <c r="AE484" i="156"/>
  <c r="AD484" i="156"/>
  <c r="AE485" i="156"/>
  <c r="AD485" i="156"/>
  <c r="AE486" i="156"/>
  <c r="AD486" i="156"/>
  <c r="AE487" i="156"/>
  <c r="AD487" i="156"/>
  <c r="AE488" i="156"/>
  <c r="AD488" i="156"/>
  <c r="AE489" i="156"/>
  <c r="AD489" i="156"/>
  <c r="AE490" i="156"/>
  <c r="AD490" i="156"/>
  <c r="AE491" i="156"/>
  <c r="AD491" i="156"/>
  <c r="AE492" i="156"/>
  <c r="AD492" i="156"/>
  <c r="AD493" i="156"/>
  <c r="AE493" i="156"/>
  <c r="AE494" i="156"/>
  <c r="AD494" i="156"/>
  <c r="AE495" i="156"/>
  <c r="AD495" i="156"/>
  <c r="AE496" i="156"/>
  <c r="AD496" i="156"/>
  <c r="AE497" i="156"/>
  <c r="AD497" i="156"/>
  <c r="AE498" i="156"/>
  <c r="AD498" i="156"/>
  <c r="AE499" i="156"/>
  <c r="AD499" i="156"/>
  <c r="AE500" i="156"/>
  <c r="AD500" i="156"/>
  <c r="AE501" i="156"/>
  <c r="AD501" i="156"/>
  <c r="AE502" i="156"/>
  <c r="AD502" i="156"/>
  <c r="AE503" i="156"/>
  <c r="AD503" i="156"/>
  <c r="AE504" i="156"/>
  <c r="AD504" i="156"/>
  <c r="AE505" i="156"/>
  <c r="AD505" i="156"/>
  <c r="AE506" i="156"/>
  <c r="AD506" i="156"/>
  <c r="AE507" i="156"/>
  <c r="AD507" i="156"/>
  <c r="AE508" i="156"/>
  <c r="AD508" i="156"/>
  <c r="AE509" i="156"/>
  <c r="AD509" i="156"/>
  <c r="AE510" i="156"/>
  <c r="AD510" i="156"/>
  <c r="AE511" i="156"/>
  <c r="AF511" i="156" s="1"/>
  <c r="AD511" i="156"/>
  <c r="AE512" i="156"/>
  <c r="AD512" i="156"/>
  <c r="AE513" i="156"/>
  <c r="AD513" i="156"/>
  <c r="AE514" i="156"/>
  <c r="AF514" i="156" s="1"/>
  <c r="AD514" i="156"/>
  <c r="AE515" i="156"/>
  <c r="AD515" i="156"/>
  <c r="AE516" i="156"/>
  <c r="AD516" i="156"/>
  <c r="AE517" i="156"/>
  <c r="AF517" i="156" s="1"/>
  <c r="AD517" i="156"/>
  <c r="AE518" i="156"/>
  <c r="AD518" i="156"/>
  <c r="AE519" i="156"/>
  <c r="AD519" i="156"/>
  <c r="AE520" i="156"/>
  <c r="AD520" i="156"/>
  <c r="AE521" i="156"/>
  <c r="AD521" i="156"/>
  <c r="L480" i="156"/>
  <c r="N480" i="156"/>
  <c r="N481" i="156"/>
  <c r="L481" i="156"/>
  <c r="L482" i="156"/>
  <c r="N482" i="156"/>
  <c r="N483" i="156"/>
  <c r="L483" i="156"/>
  <c r="N484" i="156"/>
  <c r="L484" i="156"/>
  <c r="L485" i="156"/>
  <c r="N485" i="156"/>
  <c r="L486" i="156"/>
  <c r="N486" i="156"/>
  <c r="L487" i="156"/>
  <c r="N487" i="156"/>
  <c r="N488" i="156"/>
  <c r="L488" i="156"/>
  <c r="N489" i="156"/>
  <c r="L489" i="156"/>
  <c r="N490" i="156"/>
  <c r="L490" i="156"/>
  <c r="N491" i="156"/>
  <c r="L491" i="156"/>
  <c r="N492" i="156"/>
  <c r="L492" i="156"/>
  <c r="N493" i="156"/>
  <c r="L493" i="156"/>
  <c r="N494" i="156"/>
  <c r="L494" i="156"/>
  <c r="L495" i="156"/>
  <c r="N495" i="156"/>
  <c r="N496" i="156"/>
  <c r="L496" i="156"/>
  <c r="N497" i="156"/>
  <c r="L497" i="156"/>
  <c r="L498" i="156"/>
  <c r="N498" i="156"/>
  <c r="L499" i="156"/>
  <c r="N499" i="156"/>
  <c r="L500" i="156"/>
  <c r="N500" i="156"/>
  <c r="N501" i="156"/>
  <c r="L501" i="156"/>
  <c r="N502" i="156"/>
  <c r="L502" i="156"/>
  <c r="L503" i="156"/>
  <c r="N503" i="156"/>
  <c r="N504" i="156"/>
  <c r="L504" i="156"/>
  <c r="L505" i="156"/>
  <c r="N505" i="156"/>
  <c r="L506" i="156"/>
  <c r="N506" i="156"/>
  <c r="L507" i="156"/>
  <c r="N507" i="156"/>
  <c r="N508" i="156"/>
  <c r="L508" i="156"/>
  <c r="L509" i="156"/>
  <c r="N509" i="156"/>
  <c r="L510" i="156"/>
  <c r="N510" i="156"/>
  <c r="N511" i="156"/>
  <c r="L511" i="156"/>
  <c r="L512" i="156"/>
  <c r="N512" i="156"/>
  <c r="N513" i="156"/>
  <c r="L513" i="156"/>
  <c r="N514" i="156"/>
  <c r="L514" i="156"/>
  <c r="L515" i="156"/>
  <c r="N515" i="156"/>
  <c r="L516" i="156"/>
  <c r="N516" i="156"/>
  <c r="N517" i="156"/>
  <c r="L517" i="156"/>
  <c r="N518" i="156"/>
  <c r="L518" i="156"/>
  <c r="N519" i="156"/>
  <c r="L519" i="156"/>
  <c r="L520" i="156"/>
  <c r="N520" i="156"/>
  <c r="L521" i="156"/>
  <c r="N521" i="156"/>
  <c r="R21" i="156"/>
  <c r="R24" i="156"/>
  <c r="R26" i="156"/>
  <c r="R27" i="156"/>
  <c r="R28" i="156"/>
  <c r="M21" i="156"/>
  <c r="M22" i="156"/>
  <c r="M23" i="156"/>
  <c r="M25" i="156"/>
  <c r="M29" i="156"/>
  <c r="M30" i="156"/>
  <c r="M31" i="156"/>
  <c r="M32" i="156"/>
  <c r="M33" i="156"/>
  <c r="M34" i="156"/>
  <c r="M35" i="156"/>
  <c r="M36" i="156"/>
  <c r="M37" i="156"/>
  <c r="M38" i="156"/>
  <c r="M39" i="156"/>
  <c r="M40" i="156"/>
  <c r="M41" i="156"/>
  <c r="M42" i="156"/>
  <c r="M43" i="156"/>
  <c r="M44" i="156"/>
  <c r="M45" i="156"/>
  <c r="M46" i="156"/>
  <c r="M47" i="156"/>
  <c r="M48" i="156"/>
  <c r="M49" i="156"/>
  <c r="M50" i="156"/>
  <c r="M51" i="156"/>
  <c r="M52" i="156"/>
  <c r="M53" i="156"/>
  <c r="M54" i="156"/>
  <c r="M55" i="156"/>
  <c r="M56" i="156"/>
  <c r="M57" i="156"/>
  <c r="M58" i="156"/>
  <c r="M59" i="156"/>
  <c r="M60" i="156"/>
  <c r="M61" i="156"/>
  <c r="M62" i="156"/>
  <c r="R63" i="156"/>
  <c r="R64" i="156"/>
  <c r="R65" i="156"/>
  <c r="R66" i="156"/>
  <c r="R67" i="156"/>
  <c r="R68" i="156"/>
  <c r="R69" i="156"/>
  <c r="R70" i="156"/>
  <c r="R71" i="156"/>
  <c r="R72" i="156"/>
  <c r="R73" i="156"/>
  <c r="R74" i="156"/>
  <c r="R75" i="156"/>
  <c r="R76" i="156"/>
  <c r="R77" i="156"/>
  <c r="R78" i="156"/>
  <c r="I23" i="156"/>
  <c r="I33" i="156"/>
  <c r="I36" i="156"/>
  <c r="I38" i="156"/>
  <c r="I39" i="156"/>
  <c r="I42" i="156"/>
  <c r="I44" i="156"/>
  <c r="I46" i="156"/>
  <c r="I48" i="156"/>
  <c r="I50" i="156"/>
  <c r="I52" i="156"/>
  <c r="I54" i="156"/>
  <c r="I55" i="156"/>
  <c r="I57" i="156"/>
  <c r="I60" i="156"/>
  <c r="I62" i="156"/>
  <c r="I72" i="156"/>
  <c r="I73" i="156"/>
  <c r="R79" i="156"/>
  <c r="R80" i="156"/>
  <c r="R81" i="156"/>
  <c r="R82" i="156"/>
  <c r="R83" i="156"/>
  <c r="R84" i="156"/>
  <c r="R94" i="156"/>
  <c r="R95" i="156"/>
  <c r="R96" i="156"/>
  <c r="R97" i="156"/>
  <c r="R98" i="156"/>
  <c r="R99" i="156"/>
  <c r="R100" i="156"/>
  <c r="R101" i="156"/>
  <c r="R102" i="156"/>
  <c r="R104" i="156"/>
  <c r="R105" i="156"/>
  <c r="R106" i="156"/>
  <c r="R107" i="156"/>
  <c r="R108" i="156"/>
  <c r="R109" i="156"/>
  <c r="R110" i="156"/>
  <c r="R111" i="156"/>
  <c r="R112" i="156"/>
  <c r="R113" i="156"/>
  <c r="R114" i="156"/>
  <c r="R115" i="156"/>
  <c r="R116" i="156"/>
  <c r="R117" i="156"/>
  <c r="R118" i="156"/>
  <c r="R119" i="156"/>
  <c r="I21" i="156"/>
  <c r="I22" i="156"/>
  <c r="I25" i="156"/>
  <c r="I29" i="156"/>
  <c r="I30" i="156"/>
  <c r="I31" i="156"/>
  <c r="I32" i="156"/>
  <c r="I34" i="156"/>
  <c r="I35" i="156"/>
  <c r="I37" i="156"/>
  <c r="I40" i="156"/>
  <c r="I41" i="156"/>
  <c r="I43" i="156"/>
  <c r="I45" i="156"/>
  <c r="I47" i="156"/>
  <c r="I49" i="156"/>
  <c r="I51" i="156"/>
  <c r="I53" i="156"/>
  <c r="I56" i="156"/>
  <c r="I58" i="156"/>
  <c r="I59" i="156"/>
  <c r="I61" i="156"/>
  <c r="I71" i="156"/>
  <c r="I74" i="156"/>
  <c r="AA21" i="156"/>
  <c r="AA22" i="156"/>
  <c r="AA23" i="156"/>
  <c r="AA24" i="156"/>
  <c r="AA25" i="156"/>
  <c r="AA26" i="156"/>
  <c r="AA27" i="156"/>
  <c r="AA28" i="156"/>
  <c r="AA29" i="156"/>
  <c r="AA30" i="156"/>
  <c r="AA31" i="156"/>
  <c r="AA32" i="156"/>
  <c r="AA33" i="156"/>
  <c r="AA34" i="156"/>
  <c r="AA35" i="156"/>
  <c r="AA36" i="156"/>
  <c r="AA37" i="156"/>
  <c r="AA38" i="156"/>
  <c r="AA39" i="156"/>
  <c r="AA40" i="156"/>
  <c r="AA41" i="156"/>
  <c r="AA42" i="156"/>
  <c r="AA43" i="156"/>
  <c r="AA44" i="156"/>
  <c r="AA45" i="156"/>
  <c r="AA46" i="156"/>
  <c r="AA47" i="156"/>
  <c r="AA48" i="156"/>
  <c r="AA49" i="156"/>
  <c r="AA50" i="156"/>
  <c r="AA51" i="156"/>
  <c r="AA52" i="156"/>
  <c r="AA53" i="156"/>
  <c r="AA54" i="156"/>
  <c r="AA55" i="156"/>
  <c r="AA56" i="156"/>
  <c r="AA57" i="156"/>
  <c r="AA58" i="156"/>
  <c r="AA59" i="156"/>
  <c r="AA60" i="156"/>
  <c r="AA61" i="156"/>
  <c r="AA62" i="156"/>
  <c r="AA63" i="156"/>
  <c r="AA64" i="156"/>
  <c r="AA65" i="156"/>
  <c r="AA66" i="156"/>
  <c r="AA67" i="156"/>
  <c r="AA68" i="156"/>
  <c r="AA69" i="156"/>
  <c r="AA70" i="156"/>
  <c r="AA71" i="156"/>
  <c r="AA74" i="156"/>
  <c r="AA75" i="156"/>
  <c r="AA76" i="156"/>
  <c r="AA77" i="156"/>
  <c r="AA78" i="156"/>
  <c r="AA79" i="156"/>
  <c r="AA80" i="156"/>
  <c r="AA81" i="156"/>
  <c r="AA82" i="156"/>
  <c r="AA83" i="156"/>
  <c r="AA84" i="156"/>
  <c r="AA85" i="156"/>
  <c r="AA86" i="156"/>
  <c r="AA87" i="156"/>
  <c r="AA88" i="156"/>
  <c r="AA89" i="156"/>
  <c r="AA90" i="156"/>
  <c r="AA91" i="156"/>
  <c r="AA92" i="156"/>
  <c r="AA93" i="156"/>
  <c r="AA94" i="156"/>
  <c r="AA95" i="156"/>
  <c r="AA98" i="156"/>
  <c r="AA99" i="156"/>
  <c r="AA100" i="156"/>
  <c r="AA101" i="156"/>
  <c r="AA102" i="156"/>
  <c r="AA103" i="156"/>
  <c r="AA104" i="156"/>
  <c r="AA105" i="156"/>
  <c r="AA106" i="156"/>
  <c r="AA107" i="156"/>
  <c r="AA108" i="156"/>
  <c r="AA109" i="156"/>
  <c r="AA110" i="156"/>
  <c r="AA111" i="156"/>
  <c r="AA112" i="156"/>
  <c r="AA113" i="156"/>
  <c r="AA114" i="156"/>
  <c r="AA115" i="156"/>
  <c r="AA116" i="156"/>
  <c r="AA117" i="156"/>
  <c r="AA118" i="156"/>
  <c r="AA119" i="156"/>
  <c r="X23" i="156"/>
  <c r="X27" i="156"/>
  <c r="X31" i="156"/>
  <c r="X35" i="156"/>
  <c r="X39" i="156"/>
  <c r="X43" i="156"/>
  <c r="X47" i="156"/>
  <c r="X51" i="156"/>
  <c r="X55" i="156"/>
  <c r="X59" i="156"/>
  <c r="X63" i="156"/>
  <c r="X67" i="156"/>
  <c r="X70" i="156"/>
  <c r="X82" i="156"/>
  <c r="X86" i="156"/>
  <c r="X90" i="156"/>
  <c r="X94" i="156"/>
  <c r="X98" i="156"/>
  <c r="X101" i="156"/>
  <c r="X105" i="156"/>
  <c r="X109" i="156"/>
  <c r="X113" i="156"/>
  <c r="X117" i="156"/>
  <c r="U23" i="156"/>
  <c r="U26" i="156"/>
  <c r="U29" i="156"/>
  <c r="U32" i="156"/>
  <c r="U35" i="156"/>
  <c r="U38" i="156"/>
  <c r="U41" i="156"/>
  <c r="U44" i="156"/>
  <c r="U47" i="156"/>
  <c r="U49" i="156"/>
  <c r="U53" i="156"/>
  <c r="U56" i="156"/>
  <c r="U58" i="156"/>
  <c r="U61" i="156"/>
  <c r="U64" i="156"/>
  <c r="U67" i="156"/>
  <c r="U70" i="156"/>
  <c r="U73" i="156"/>
  <c r="U76" i="156"/>
  <c r="U85" i="156"/>
  <c r="U88" i="156"/>
  <c r="U91" i="156"/>
  <c r="U94" i="156"/>
  <c r="L78" i="156"/>
  <c r="L82" i="156"/>
  <c r="L86" i="156"/>
  <c r="L90" i="156"/>
  <c r="L93" i="156"/>
  <c r="L97" i="156"/>
  <c r="L102" i="156"/>
  <c r="L105" i="156"/>
  <c r="L109" i="156"/>
  <c r="L113" i="156"/>
  <c r="L117" i="156"/>
  <c r="U95" i="156"/>
  <c r="U96" i="156"/>
  <c r="U97" i="156"/>
  <c r="U103" i="156"/>
  <c r="U104" i="156"/>
  <c r="U105" i="156"/>
  <c r="U106" i="156"/>
  <c r="U107" i="156"/>
  <c r="U108" i="156"/>
  <c r="U109" i="156"/>
  <c r="U110" i="156"/>
  <c r="U111" i="156"/>
  <c r="U112" i="156"/>
  <c r="U113" i="156"/>
  <c r="U114" i="156"/>
  <c r="U115" i="156"/>
  <c r="U116" i="156"/>
  <c r="U117" i="156"/>
  <c r="U118" i="156"/>
  <c r="U119" i="156"/>
  <c r="L76" i="156"/>
  <c r="L80" i="156"/>
  <c r="L84" i="156"/>
  <c r="L88" i="156"/>
  <c r="L92" i="156"/>
  <c r="L96" i="156"/>
  <c r="L100" i="156"/>
  <c r="L104" i="156"/>
  <c r="L108" i="156"/>
  <c r="L112" i="156"/>
  <c r="L116" i="156"/>
  <c r="M71" i="156"/>
  <c r="M72" i="156"/>
  <c r="M73" i="156"/>
  <c r="M74" i="156"/>
  <c r="M75" i="156"/>
  <c r="M76" i="156"/>
  <c r="M77" i="156"/>
  <c r="M78" i="156"/>
  <c r="M79" i="156"/>
  <c r="M80" i="156"/>
  <c r="M81" i="156"/>
  <c r="M82" i="156"/>
  <c r="M83" i="156"/>
  <c r="M84" i="156"/>
  <c r="M85" i="156"/>
  <c r="M86" i="156"/>
  <c r="M87" i="156"/>
  <c r="M88" i="156"/>
  <c r="M89" i="156"/>
  <c r="M90" i="156"/>
  <c r="M91" i="156"/>
  <c r="M92" i="156"/>
  <c r="M93" i="156"/>
  <c r="M95" i="156"/>
  <c r="M96" i="156"/>
  <c r="M97" i="156"/>
  <c r="M98" i="156"/>
  <c r="M99" i="156"/>
  <c r="M100" i="156"/>
  <c r="M101" i="156"/>
  <c r="M102" i="156"/>
  <c r="M103" i="156"/>
  <c r="U24" i="156"/>
  <c r="U28" i="156"/>
  <c r="U31" i="156"/>
  <c r="U34" i="156"/>
  <c r="U37" i="156"/>
  <c r="U39" i="156"/>
  <c r="U42" i="156"/>
  <c r="U45" i="156"/>
  <c r="U48" i="156"/>
  <c r="U51" i="156"/>
  <c r="U54" i="156"/>
  <c r="U57" i="156"/>
  <c r="U60" i="156"/>
  <c r="U63" i="156"/>
  <c r="U66" i="156"/>
  <c r="U69" i="156"/>
  <c r="U72" i="156"/>
  <c r="U75" i="156"/>
  <c r="U78" i="156"/>
  <c r="U87" i="156"/>
  <c r="U90" i="156"/>
  <c r="U93" i="156"/>
  <c r="L75" i="156"/>
  <c r="L79" i="156"/>
  <c r="L83" i="156"/>
  <c r="L87" i="156"/>
  <c r="L91" i="156"/>
  <c r="L95" i="156"/>
  <c r="L99" i="156"/>
  <c r="L103" i="156"/>
  <c r="L107" i="156"/>
  <c r="L111" i="156"/>
  <c r="L115" i="156"/>
  <c r="L118" i="156"/>
  <c r="X21" i="156"/>
  <c r="X26" i="156"/>
  <c r="X30" i="156"/>
  <c r="X34" i="156"/>
  <c r="X38" i="156"/>
  <c r="X42" i="156"/>
  <c r="X46" i="156"/>
  <c r="X50" i="156"/>
  <c r="X54" i="156"/>
  <c r="X58" i="156"/>
  <c r="X62" i="156"/>
  <c r="X66" i="156"/>
  <c r="X71" i="156"/>
  <c r="X79" i="156"/>
  <c r="X83" i="156"/>
  <c r="X87" i="156"/>
  <c r="X91" i="156"/>
  <c r="X95" i="156"/>
  <c r="X99" i="156"/>
  <c r="X103" i="156"/>
  <c r="X107" i="156"/>
  <c r="X111" i="156"/>
  <c r="X116" i="156"/>
  <c r="X119" i="156"/>
  <c r="U22" i="156"/>
  <c r="U25" i="156"/>
  <c r="U27" i="156"/>
  <c r="U30" i="156"/>
  <c r="U33" i="156"/>
  <c r="U36" i="156"/>
  <c r="U40" i="156"/>
  <c r="U43" i="156"/>
  <c r="U46" i="156"/>
  <c r="U50" i="156"/>
  <c r="U52" i="156"/>
  <c r="U55" i="156"/>
  <c r="U59" i="156"/>
  <c r="U62" i="156"/>
  <c r="U65" i="156"/>
  <c r="U68" i="156"/>
  <c r="U71" i="156"/>
  <c r="U74" i="156"/>
  <c r="U77" i="156"/>
  <c r="U86" i="156"/>
  <c r="U89" i="156"/>
  <c r="U92" i="156"/>
  <c r="L77" i="156"/>
  <c r="L81" i="156"/>
  <c r="L85" i="156"/>
  <c r="L89" i="156"/>
  <c r="L94" i="156"/>
  <c r="L98" i="156"/>
  <c r="L101" i="156"/>
  <c r="L106" i="156"/>
  <c r="L110" i="156"/>
  <c r="L114" i="156"/>
  <c r="L119" i="156"/>
  <c r="X24" i="156"/>
  <c r="X28" i="156"/>
  <c r="X32" i="156"/>
  <c r="X36" i="156"/>
  <c r="X40" i="156"/>
  <c r="X44" i="156"/>
  <c r="X48" i="156"/>
  <c r="X52" i="156"/>
  <c r="X56" i="156"/>
  <c r="X61" i="156"/>
  <c r="X65" i="156"/>
  <c r="X69" i="156"/>
  <c r="X73" i="156"/>
  <c r="X81" i="156"/>
  <c r="X85" i="156"/>
  <c r="X89" i="156"/>
  <c r="X93" i="156"/>
  <c r="X97" i="156"/>
  <c r="X102" i="156"/>
  <c r="X106" i="156"/>
  <c r="X110" i="156"/>
  <c r="X114" i="156"/>
  <c r="X22" i="156"/>
  <c r="X25" i="156"/>
  <c r="X29" i="156"/>
  <c r="X33" i="156"/>
  <c r="X37" i="156"/>
  <c r="X41" i="156"/>
  <c r="X45" i="156"/>
  <c r="X49" i="156"/>
  <c r="X53" i="156"/>
  <c r="X57" i="156"/>
  <c r="X60" i="156"/>
  <c r="X64" i="156"/>
  <c r="X68" i="156"/>
  <c r="X72" i="156"/>
  <c r="X80" i="156"/>
  <c r="X84" i="156"/>
  <c r="X88" i="156"/>
  <c r="X92" i="156"/>
  <c r="X96" i="156"/>
  <c r="X100" i="156"/>
  <c r="X104" i="156"/>
  <c r="X108" i="156"/>
  <c r="X112" i="156"/>
  <c r="X115" i="156"/>
  <c r="X118" i="156"/>
  <c r="N27" i="156"/>
  <c r="L27" i="156"/>
  <c r="N28" i="156"/>
  <c r="L28" i="156"/>
  <c r="N29" i="156"/>
  <c r="L29" i="156"/>
  <c r="N30" i="156"/>
  <c r="L30" i="156"/>
  <c r="N31" i="156"/>
  <c r="L31" i="156"/>
  <c r="N32" i="156"/>
  <c r="L32" i="156"/>
  <c r="N33" i="156"/>
  <c r="L33" i="156"/>
  <c r="N34" i="156"/>
  <c r="L34" i="156"/>
  <c r="N35" i="156"/>
  <c r="L35" i="156"/>
  <c r="N36" i="156"/>
  <c r="L36" i="156"/>
  <c r="N37" i="156"/>
  <c r="L37" i="156"/>
  <c r="N38" i="156"/>
  <c r="L38" i="156"/>
  <c r="L39" i="156"/>
  <c r="N39" i="156"/>
  <c r="N40" i="156"/>
  <c r="L40" i="156"/>
  <c r="N41" i="156"/>
  <c r="L41" i="156"/>
  <c r="N42" i="156"/>
  <c r="L42" i="156"/>
  <c r="N43" i="156"/>
  <c r="L43" i="156"/>
  <c r="N44" i="156"/>
  <c r="L44" i="156"/>
  <c r="L45" i="156"/>
  <c r="N45" i="156"/>
  <c r="N46" i="156"/>
  <c r="L46" i="156"/>
  <c r="N47" i="156"/>
  <c r="L47" i="156"/>
  <c r="N48" i="156"/>
  <c r="L48" i="156"/>
  <c r="N49" i="156"/>
  <c r="L49" i="156"/>
  <c r="N50" i="156"/>
  <c r="L50" i="156"/>
  <c r="N51" i="156"/>
  <c r="L51" i="156"/>
  <c r="N52" i="156"/>
  <c r="L52" i="156"/>
  <c r="N53" i="156"/>
  <c r="L53" i="156"/>
  <c r="N54" i="156"/>
  <c r="L54" i="156"/>
  <c r="N55" i="156"/>
  <c r="L55" i="156"/>
  <c r="N56" i="156"/>
  <c r="L56" i="156"/>
  <c r="N57" i="156"/>
  <c r="L57" i="156"/>
  <c r="N58" i="156"/>
  <c r="L58" i="156"/>
  <c r="N59" i="156"/>
  <c r="L59" i="156"/>
  <c r="N60" i="156"/>
  <c r="L60" i="156"/>
  <c r="N61" i="156"/>
  <c r="L61" i="156"/>
  <c r="N62" i="156"/>
  <c r="L62" i="156"/>
  <c r="L63" i="156"/>
  <c r="N63" i="156"/>
  <c r="N64" i="156"/>
  <c r="L64" i="156"/>
  <c r="N65" i="156"/>
  <c r="L65" i="156"/>
  <c r="N66" i="156"/>
  <c r="L66" i="156"/>
  <c r="N67" i="156"/>
  <c r="L67" i="156"/>
  <c r="N68" i="156"/>
  <c r="L68" i="156"/>
  <c r="N69" i="156"/>
  <c r="L69" i="156"/>
  <c r="L70" i="156"/>
  <c r="N70" i="156"/>
  <c r="L71" i="156"/>
  <c r="N71" i="156"/>
  <c r="N72" i="156"/>
  <c r="L72" i="156"/>
  <c r="N73" i="156"/>
  <c r="L73" i="156"/>
  <c r="N74" i="156"/>
  <c r="L74" i="156"/>
  <c r="AE21" i="156"/>
  <c r="AD21" i="156"/>
  <c r="AE22" i="156"/>
  <c r="AD22" i="156"/>
  <c r="AE23" i="156"/>
  <c r="AD23" i="156"/>
  <c r="AE24" i="156"/>
  <c r="AD24" i="156"/>
  <c r="AE25" i="156"/>
  <c r="AD25" i="156"/>
  <c r="AE26" i="156"/>
  <c r="AD26" i="156"/>
  <c r="AE27" i="156"/>
  <c r="AD27" i="156"/>
  <c r="AE28" i="156"/>
  <c r="AD28" i="156"/>
  <c r="AE29" i="156"/>
  <c r="AD29" i="156"/>
  <c r="AE30" i="156"/>
  <c r="AD30" i="156"/>
  <c r="AE31" i="156"/>
  <c r="AD31" i="156"/>
  <c r="AE32" i="156"/>
  <c r="AD32" i="156"/>
  <c r="AE33" i="156"/>
  <c r="AD33" i="156"/>
  <c r="AE34" i="156"/>
  <c r="AD34" i="156"/>
  <c r="AE35" i="156"/>
  <c r="AD35" i="156"/>
  <c r="AD36" i="156"/>
  <c r="AE36" i="156"/>
  <c r="AE37" i="156"/>
  <c r="AD37" i="156"/>
  <c r="AE38" i="156"/>
  <c r="AD38" i="156"/>
  <c r="AE39" i="156"/>
  <c r="AD39" i="156"/>
  <c r="AE40" i="156"/>
  <c r="AD40" i="156"/>
  <c r="AE41" i="156"/>
  <c r="AD41" i="156"/>
  <c r="AE42" i="156"/>
  <c r="AD42" i="156"/>
  <c r="AE43" i="156"/>
  <c r="AD43" i="156"/>
  <c r="AE44" i="156"/>
  <c r="AD44" i="156"/>
  <c r="AE45" i="156"/>
  <c r="AD45" i="156"/>
  <c r="AE46" i="156"/>
  <c r="AD46" i="156"/>
  <c r="AE47" i="156"/>
  <c r="AD47" i="156"/>
  <c r="AE48" i="156"/>
  <c r="AD48" i="156"/>
  <c r="AE49" i="156"/>
  <c r="AD49" i="156"/>
  <c r="AE50" i="156"/>
  <c r="AD50" i="156"/>
  <c r="AE51" i="156"/>
  <c r="AD51" i="156"/>
  <c r="AE52" i="156"/>
  <c r="AD52" i="156"/>
  <c r="AE53" i="156"/>
  <c r="AD53" i="156"/>
  <c r="AE54" i="156"/>
  <c r="AD54" i="156"/>
  <c r="AE55" i="156"/>
  <c r="AD55" i="156"/>
  <c r="AE56" i="156"/>
  <c r="AD56" i="156"/>
  <c r="AE57" i="156"/>
  <c r="AD57" i="156"/>
  <c r="AE58" i="156"/>
  <c r="AD58" i="156"/>
  <c r="AE59" i="156"/>
  <c r="AD59" i="156"/>
  <c r="AE60" i="156"/>
  <c r="AD60" i="156"/>
  <c r="AE61" i="156"/>
  <c r="AD61" i="156"/>
  <c r="AE62" i="156"/>
  <c r="AD62" i="156"/>
  <c r="AE63" i="156"/>
  <c r="AD63" i="156"/>
  <c r="AD64" i="156"/>
  <c r="AE64" i="156"/>
  <c r="AE65" i="156"/>
  <c r="AD65" i="156"/>
  <c r="AD66" i="156"/>
  <c r="AE66" i="156"/>
  <c r="AD67" i="156"/>
  <c r="AE67" i="156"/>
  <c r="AD68" i="156"/>
  <c r="AE68" i="156"/>
  <c r="AD69" i="156"/>
  <c r="AE69" i="156"/>
  <c r="AD70" i="156"/>
  <c r="AE70" i="156"/>
  <c r="AE71" i="156"/>
  <c r="AE72" i="156"/>
  <c r="AD72" i="156"/>
  <c r="AE73" i="156"/>
  <c r="AD73" i="156"/>
  <c r="AE74" i="156"/>
  <c r="AD74" i="156"/>
  <c r="AE75" i="156"/>
  <c r="AD75" i="156"/>
  <c r="AD76" i="156"/>
  <c r="AE76" i="156"/>
  <c r="AE77" i="156"/>
  <c r="AD77" i="156"/>
  <c r="AE78" i="156"/>
  <c r="AD78" i="156"/>
  <c r="AE79" i="156"/>
  <c r="AD79" i="156"/>
  <c r="AD80" i="156"/>
  <c r="AE80" i="156"/>
  <c r="AD81" i="156"/>
  <c r="AE81" i="156"/>
  <c r="AE82" i="156"/>
  <c r="AD82" i="156"/>
  <c r="AD83" i="156"/>
  <c r="AE83" i="156"/>
  <c r="AD84" i="156"/>
  <c r="AE84" i="156"/>
  <c r="AD85" i="156"/>
  <c r="AE85" i="156"/>
  <c r="AD86" i="156"/>
  <c r="AE86" i="156"/>
  <c r="AD87" i="156"/>
  <c r="AE87" i="156"/>
  <c r="AE88" i="156"/>
  <c r="AD88" i="156"/>
  <c r="AE89" i="156"/>
  <c r="AD89" i="156"/>
  <c r="AE90" i="156"/>
  <c r="AD90" i="156"/>
  <c r="AE91" i="156"/>
  <c r="AD91" i="156"/>
  <c r="AD92" i="156"/>
  <c r="AE92" i="156"/>
  <c r="AD93" i="156"/>
  <c r="AE93" i="156"/>
  <c r="AD94" i="156"/>
  <c r="AE94" i="156"/>
  <c r="AE95" i="156"/>
  <c r="AE96" i="156"/>
  <c r="AD96" i="156"/>
  <c r="AD97" i="156"/>
  <c r="AE97" i="156"/>
  <c r="AD98" i="156"/>
  <c r="AE98" i="156"/>
  <c r="AD99" i="156"/>
  <c r="AE99" i="156"/>
  <c r="AD100" i="156"/>
  <c r="AE100" i="156"/>
  <c r="AD101" i="156"/>
  <c r="AE101" i="156"/>
  <c r="AE102" i="156"/>
  <c r="AD102" i="156"/>
  <c r="AD103" i="156"/>
  <c r="AE103" i="156"/>
  <c r="AD104" i="156"/>
  <c r="AE104" i="156"/>
  <c r="AE105" i="156"/>
  <c r="AD105" i="156"/>
  <c r="AE106" i="156"/>
  <c r="AD106" i="156"/>
  <c r="AE107" i="156"/>
  <c r="AD107" i="156"/>
  <c r="AE108" i="156"/>
  <c r="AD108" i="156"/>
  <c r="AE109" i="156"/>
  <c r="AD109" i="156"/>
  <c r="AE110" i="156"/>
  <c r="AD110" i="156"/>
  <c r="AE111" i="156"/>
  <c r="AD111" i="156"/>
  <c r="AE112" i="156"/>
  <c r="AD112" i="156"/>
  <c r="AE113" i="156"/>
  <c r="AD113" i="156"/>
  <c r="AE114" i="156"/>
  <c r="AD114" i="156"/>
  <c r="AE115" i="156"/>
  <c r="AD115" i="156"/>
  <c r="AE116" i="156"/>
  <c r="AD116" i="156"/>
  <c r="AE117" i="156"/>
  <c r="AD117" i="156"/>
  <c r="AE118" i="156"/>
  <c r="AD118" i="156"/>
  <c r="AE119" i="156"/>
  <c r="AD119" i="156"/>
  <c r="N21" i="156"/>
  <c r="L21" i="156"/>
  <c r="L22" i="156"/>
  <c r="N22" i="156"/>
  <c r="L23" i="156"/>
  <c r="N23" i="156"/>
  <c r="L24" i="156"/>
  <c r="N24" i="156"/>
  <c r="L25" i="156"/>
  <c r="N25" i="156"/>
  <c r="N26" i="156"/>
  <c r="L26" i="156"/>
  <c r="N75" i="156"/>
  <c r="I75" i="156"/>
  <c r="N76" i="156"/>
  <c r="I76" i="156"/>
  <c r="I77" i="156"/>
  <c r="N77" i="156"/>
  <c r="I78" i="156"/>
  <c r="N78" i="156"/>
  <c r="I79" i="156"/>
  <c r="N79" i="156"/>
  <c r="I80" i="156"/>
  <c r="N80" i="156"/>
  <c r="I81" i="156"/>
  <c r="N81" i="156"/>
  <c r="I82" i="156"/>
  <c r="N82" i="156"/>
  <c r="I83" i="156"/>
  <c r="N83" i="156"/>
  <c r="I84" i="156"/>
  <c r="N84" i="156"/>
  <c r="N85" i="156"/>
  <c r="I85" i="156"/>
  <c r="N86" i="156"/>
  <c r="I86" i="156"/>
  <c r="N87" i="156"/>
  <c r="I87" i="156"/>
  <c r="N88" i="156"/>
  <c r="I88" i="156"/>
  <c r="N89" i="156"/>
  <c r="I89" i="156"/>
  <c r="N90" i="156"/>
  <c r="I90" i="156"/>
  <c r="N91" i="156"/>
  <c r="I91" i="156"/>
  <c r="N92" i="156"/>
  <c r="I92" i="156"/>
  <c r="N93" i="156"/>
  <c r="I93" i="156"/>
  <c r="N94" i="156"/>
  <c r="I95" i="156"/>
  <c r="N95" i="156"/>
  <c r="N96" i="156"/>
  <c r="I96" i="156"/>
  <c r="N97" i="156"/>
  <c r="I97" i="156"/>
  <c r="N98" i="156"/>
  <c r="I98" i="156"/>
  <c r="N99" i="156"/>
  <c r="I99" i="156"/>
  <c r="N100" i="156"/>
  <c r="I100" i="156"/>
  <c r="I101" i="156"/>
  <c r="N101" i="156"/>
  <c r="I102" i="156"/>
  <c r="N102" i="156"/>
  <c r="I103" i="156"/>
  <c r="N103" i="156"/>
  <c r="N104" i="156"/>
  <c r="N105" i="156"/>
  <c r="N106" i="156"/>
  <c r="N107" i="156"/>
  <c r="N108" i="156"/>
  <c r="N109" i="156"/>
  <c r="N110" i="156"/>
  <c r="N111" i="156"/>
  <c r="N112" i="156"/>
  <c r="N113" i="156"/>
  <c r="N114" i="156"/>
  <c r="N115" i="156"/>
  <c r="N116" i="156"/>
  <c r="N117" i="156"/>
  <c r="N118" i="156"/>
  <c r="N119" i="156"/>
  <c r="H247" i="156"/>
  <c r="Q346" i="156"/>
  <c r="AE346" i="156" s="1"/>
  <c r="Q347" i="156"/>
  <c r="AE347" i="156" s="1"/>
  <c r="D472" i="156"/>
  <c r="F472" i="156" s="1"/>
  <c r="D473" i="156"/>
  <c r="F473" i="156" s="1"/>
  <c r="D474" i="156"/>
  <c r="F474" i="156" s="1"/>
  <c r="D475" i="156"/>
  <c r="F475" i="156" s="1"/>
  <c r="D476" i="156"/>
  <c r="F476" i="156" s="1"/>
  <c r="D477" i="156"/>
  <c r="F477" i="156" s="1"/>
  <c r="D478" i="156"/>
  <c r="F478" i="156" s="1"/>
  <c r="D479" i="156"/>
  <c r="F479" i="156" s="1"/>
  <c r="D535" i="156"/>
  <c r="F535" i="156" s="1"/>
  <c r="D346" i="156"/>
  <c r="F346" i="156" s="1"/>
  <c r="P346" i="156"/>
  <c r="D347" i="156"/>
  <c r="F347" i="156" s="1"/>
  <c r="P347" i="156"/>
  <c r="D348" i="156"/>
  <c r="F348" i="156" s="1"/>
  <c r="P348" i="156"/>
  <c r="R348" i="156" s="1"/>
  <c r="D349" i="156"/>
  <c r="F349" i="156" s="1"/>
  <c r="P349" i="156"/>
  <c r="R349" i="156" s="1"/>
  <c r="D350" i="156"/>
  <c r="F350" i="156" s="1"/>
  <c r="P350" i="156"/>
  <c r="R350" i="156" s="1"/>
  <c r="D351" i="156"/>
  <c r="F351" i="156" s="1"/>
  <c r="P351" i="156"/>
  <c r="R351" i="156" s="1"/>
  <c r="D352" i="156"/>
  <c r="F352" i="156" s="1"/>
  <c r="P352" i="156"/>
  <c r="R352" i="156" s="1"/>
  <c r="D353" i="156"/>
  <c r="F353" i="156" s="1"/>
  <c r="P353" i="156"/>
  <c r="R353" i="156" s="1"/>
  <c r="D354" i="156"/>
  <c r="F354" i="156" s="1"/>
  <c r="P354" i="156"/>
  <c r="R354" i="156" s="1"/>
  <c r="D355" i="156"/>
  <c r="F355" i="156" s="1"/>
  <c r="P355" i="156"/>
  <c r="R355" i="156" s="1"/>
  <c r="D356" i="156"/>
  <c r="F356" i="156" s="1"/>
  <c r="P356" i="156"/>
  <c r="R356" i="156" s="1"/>
  <c r="D357" i="156"/>
  <c r="F357" i="156" s="1"/>
  <c r="P357" i="156"/>
  <c r="R357" i="156" s="1"/>
  <c r="D358" i="156"/>
  <c r="F358" i="156" s="1"/>
  <c r="P358" i="156"/>
  <c r="R358" i="156" s="1"/>
  <c r="D359" i="156"/>
  <c r="F359" i="156" s="1"/>
  <c r="P359" i="156"/>
  <c r="R359" i="156" s="1"/>
  <c r="D360" i="156"/>
  <c r="F360" i="156" s="1"/>
  <c r="P360" i="156"/>
  <c r="R360" i="156" s="1"/>
  <c r="D361" i="156"/>
  <c r="F361" i="156" s="1"/>
  <c r="P361" i="156"/>
  <c r="R361" i="156" s="1"/>
  <c r="D362" i="156"/>
  <c r="F362" i="156" s="1"/>
  <c r="P362" i="156"/>
  <c r="R362" i="156" s="1"/>
  <c r="D363" i="156"/>
  <c r="F363" i="156" s="1"/>
  <c r="P363" i="156"/>
  <c r="R363" i="156" s="1"/>
  <c r="D364" i="156"/>
  <c r="F364" i="156" s="1"/>
  <c r="S364" i="156"/>
  <c r="U364" i="156" s="1"/>
  <c r="D365" i="156"/>
  <c r="F365" i="156" s="1"/>
  <c r="S365" i="156"/>
  <c r="U365" i="156" s="1"/>
  <c r="D366" i="156"/>
  <c r="F366" i="156" s="1"/>
  <c r="S366" i="156"/>
  <c r="U366" i="156" s="1"/>
  <c r="D367" i="156"/>
  <c r="F367" i="156" s="1"/>
  <c r="S367" i="156"/>
  <c r="U367" i="156" s="1"/>
  <c r="D368" i="156"/>
  <c r="F368" i="156" s="1"/>
  <c r="S368" i="156"/>
  <c r="U368" i="156" s="1"/>
  <c r="D369" i="156"/>
  <c r="F369" i="156" s="1"/>
  <c r="S369" i="156"/>
  <c r="U369" i="156" s="1"/>
  <c r="D370" i="156"/>
  <c r="F370" i="156" s="1"/>
  <c r="P370" i="156"/>
  <c r="R370" i="156" s="1"/>
  <c r="D371" i="156"/>
  <c r="F371" i="156" s="1"/>
  <c r="P371" i="156"/>
  <c r="R371" i="156" s="1"/>
  <c r="D372" i="156"/>
  <c r="F372" i="156" s="1"/>
  <c r="P372" i="156"/>
  <c r="R372" i="156" s="1"/>
  <c r="D373" i="156"/>
  <c r="F373" i="156" s="1"/>
  <c r="P373" i="156"/>
  <c r="R373" i="156" s="1"/>
  <c r="D375" i="156"/>
  <c r="F375" i="156" s="1"/>
  <c r="S375" i="156"/>
  <c r="U375" i="156" s="1"/>
  <c r="D376" i="156"/>
  <c r="F376" i="156" s="1"/>
  <c r="P376" i="156"/>
  <c r="R376" i="156" s="1"/>
  <c r="D377" i="156"/>
  <c r="F377" i="156" s="1"/>
  <c r="S377" i="156"/>
  <c r="U377" i="156" s="1"/>
  <c r="D378" i="156"/>
  <c r="F378" i="156" s="1"/>
  <c r="S378" i="156"/>
  <c r="U378" i="156" s="1"/>
  <c r="D379" i="156"/>
  <c r="F379" i="156" s="1"/>
  <c r="P379" i="156"/>
  <c r="R379" i="156" s="1"/>
  <c r="D380" i="156"/>
  <c r="F380" i="156" s="1"/>
  <c r="P380" i="156"/>
  <c r="R380" i="156" s="1"/>
  <c r="D381" i="156"/>
  <c r="F381" i="156" s="1"/>
  <c r="P381" i="156"/>
  <c r="R381" i="156" s="1"/>
  <c r="D410" i="156"/>
  <c r="F410" i="156" s="1"/>
  <c r="D411" i="156"/>
  <c r="F411" i="156" s="1"/>
  <c r="D412" i="156"/>
  <c r="F412" i="156" s="1"/>
  <c r="D413" i="156"/>
  <c r="F413" i="156" s="1"/>
  <c r="D414" i="156"/>
  <c r="F414" i="156" s="1"/>
  <c r="D415" i="156"/>
  <c r="F415" i="156" s="1"/>
  <c r="D416" i="156"/>
  <c r="F416" i="156" s="1"/>
  <c r="D417" i="156"/>
  <c r="F417" i="156" s="1"/>
  <c r="D418" i="156"/>
  <c r="F418" i="156" s="1"/>
  <c r="D419" i="156"/>
  <c r="F419" i="156" s="1"/>
  <c r="D420" i="156"/>
  <c r="F420" i="156" s="1"/>
  <c r="D421" i="156"/>
  <c r="F421" i="156" s="1"/>
  <c r="D422" i="156"/>
  <c r="F422" i="156" s="1"/>
  <c r="D423" i="156"/>
  <c r="F423" i="156" s="1"/>
  <c r="D424" i="156"/>
  <c r="F424" i="156" s="1"/>
  <c r="D425" i="156"/>
  <c r="F425" i="156" s="1"/>
  <c r="D426" i="156"/>
  <c r="F426" i="156" s="1"/>
  <c r="D427" i="156"/>
  <c r="F427" i="156" s="1"/>
  <c r="D428" i="156"/>
  <c r="F428" i="156" s="1"/>
  <c r="D429" i="156"/>
  <c r="F429" i="156" s="1"/>
  <c r="D430" i="156"/>
  <c r="F430" i="156" s="1"/>
  <c r="D431" i="156"/>
  <c r="F431" i="156" s="1"/>
  <c r="D432" i="156"/>
  <c r="F432" i="156" s="1"/>
  <c r="D433" i="156"/>
  <c r="F433" i="156" s="1"/>
  <c r="D434" i="156"/>
  <c r="F434" i="156" s="1"/>
  <c r="D435" i="156"/>
  <c r="F435" i="156" s="1"/>
  <c r="D436" i="156"/>
  <c r="F436" i="156" s="1"/>
  <c r="D437" i="156"/>
  <c r="F437" i="156" s="1"/>
  <c r="D438" i="156"/>
  <c r="F438" i="156" s="1"/>
  <c r="D439" i="156"/>
  <c r="F439" i="156" s="1"/>
  <c r="D440" i="156"/>
  <c r="F440" i="156" s="1"/>
  <c r="D441" i="156"/>
  <c r="F441" i="156" s="1"/>
  <c r="D442" i="156"/>
  <c r="F442" i="156" s="1"/>
  <c r="D443" i="156"/>
  <c r="F443" i="156" s="1"/>
  <c r="Y374" i="156"/>
  <c r="AA374" i="156" s="1"/>
  <c r="D374" i="156"/>
  <c r="F374" i="156" s="1"/>
  <c r="E340" i="156"/>
  <c r="M340" i="156" s="1"/>
  <c r="E337" i="156"/>
  <c r="M337" i="156" s="1"/>
  <c r="E339" i="156"/>
  <c r="E341" i="156"/>
  <c r="E332" i="156"/>
  <c r="M332" i="156" s="1"/>
  <c r="I346" i="156"/>
  <c r="I347" i="156"/>
  <c r="I348" i="156"/>
  <c r="I349" i="156"/>
  <c r="I350" i="156"/>
  <c r="I351" i="156"/>
  <c r="I352" i="156"/>
  <c r="I353" i="156"/>
  <c r="I354" i="156"/>
  <c r="I355" i="156"/>
  <c r="I356" i="156"/>
  <c r="I357" i="156"/>
  <c r="I358" i="156"/>
  <c r="I359" i="156"/>
  <c r="I360" i="156"/>
  <c r="I361" i="156"/>
  <c r="I362" i="156"/>
  <c r="I363" i="156"/>
  <c r="I364" i="156"/>
  <c r="I365" i="156"/>
  <c r="I366" i="156"/>
  <c r="I367" i="156"/>
  <c r="I368" i="156"/>
  <c r="I369" i="156"/>
  <c r="I370" i="156"/>
  <c r="I371" i="156"/>
  <c r="I372" i="156"/>
  <c r="I373" i="156"/>
  <c r="I374" i="156"/>
  <c r="I375" i="156"/>
  <c r="I376" i="156"/>
  <c r="I377" i="156"/>
  <c r="I378" i="156"/>
  <c r="I379" i="156"/>
  <c r="I380" i="156"/>
  <c r="I381" i="156"/>
  <c r="I332" i="156"/>
  <c r="I333" i="156"/>
  <c r="I334" i="156"/>
  <c r="I335" i="156"/>
  <c r="I337" i="156"/>
  <c r="I338" i="156"/>
  <c r="I340" i="156"/>
  <c r="I342" i="156"/>
  <c r="I343" i="156"/>
  <c r="I344" i="156"/>
  <c r="I345" i="156"/>
  <c r="I382" i="156"/>
  <c r="I383" i="156"/>
  <c r="I384" i="156"/>
  <c r="I385" i="156"/>
  <c r="I386" i="156"/>
  <c r="I387" i="156"/>
  <c r="I388" i="156"/>
  <c r="I389" i="156"/>
  <c r="I390" i="156"/>
  <c r="I391" i="156"/>
  <c r="I392" i="156"/>
  <c r="I393" i="156"/>
  <c r="I394" i="156"/>
  <c r="I395" i="156"/>
  <c r="I396" i="156"/>
  <c r="I397" i="156"/>
  <c r="I398" i="156"/>
  <c r="I399" i="156"/>
  <c r="I400" i="156"/>
  <c r="I407" i="156"/>
  <c r="I408" i="156"/>
  <c r="I409" i="156"/>
  <c r="I410" i="156"/>
  <c r="I411" i="156"/>
  <c r="I412" i="156"/>
  <c r="I413" i="156"/>
  <c r="I414" i="156"/>
  <c r="I415" i="156"/>
  <c r="I416" i="156"/>
  <c r="I417" i="156"/>
  <c r="I418" i="156"/>
  <c r="I419" i="156"/>
  <c r="I420" i="156"/>
  <c r="I421" i="156"/>
  <c r="I422" i="156"/>
  <c r="I423" i="156"/>
  <c r="I424" i="156"/>
  <c r="I425" i="156"/>
  <c r="I426" i="156"/>
  <c r="I427" i="156"/>
  <c r="I428" i="156"/>
  <c r="I429" i="156"/>
  <c r="I430" i="156"/>
  <c r="I431" i="156"/>
  <c r="I432" i="156"/>
  <c r="I433" i="156"/>
  <c r="I434" i="156"/>
  <c r="I435" i="156"/>
  <c r="I436" i="156"/>
  <c r="I437" i="156"/>
  <c r="I438" i="156"/>
  <c r="I439" i="156"/>
  <c r="I440" i="156"/>
  <c r="I441" i="156"/>
  <c r="I442" i="156"/>
  <c r="I443" i="156"/>
  <c r="I444" i="156"/>
  <c r="I445" i="156"/>
  <c r="I446" i="156"/>
  <c r="I447" i="156"/>
  <c r="I448" i="156"/>
  <c r="I449" i="156"/>
  <c r="I450" i="156"/>
  <c r="I451" i="156"/>
  <c r="I452" i="156"/>
  <c r="I453" i="156"/>
  <c r="I454" i="156"/>
  <c r="I455" i="156"/>
  <c r="I456" i="156"/>
  <c r="I457" i="156"/>
  <c r="I458" i="156"/>
  <c r="I459" i="156"/>
  <c r="I460" i="156"/>
  <c r="I461" i="156"/>
  <c r="I462" i="156"/>
  <c r="I463" i="156"/>
  <c r="I464" i="156"/>
  <c r="I465" i="156"/>
  <c r="I466" i="156"/>
  <c r="I471" i="156"/>
  <c r="I472" i="156"/>
  <c r="I473" i="156"/>
  <c r="I474" i="156"/>
  <c r="I475" i="156"/>
  <c r="I476" i="156"/>
  <c r="I477" i="156"/>
  <c r="I478" i="156"/>
  <c r="I479" i="156"/>
  <c r="I535" i="156"/>
  <c r="AD7" i="156"/>
  <c r="AD8" i="156"/>
  <c r="G158" i="156"/>
  <c r="G125" i="156"/>
  <c r="AA346" i="156"/>
  <c r="AA347" i="156"/>
  <c r="AA348" i="156"/>
  <c r="AA349" i="156"/>
  <c r="AA350" i="156"/>
  <c r="AA351" i="156"/>
  <c r="AA352" i="156"/>
  <c r="AA353" i="156"/>
  <c r="AA354" i="156"/>
  <c r="AA355" i="156"/>
  <c r="AA356" i="156"/>
  <c r="AA357" i="156"/>
  <c r="AA358" i="156"/>
  <c r="AA359" i="156"/>
  <c r="AA360" i="156"/>
  <c r="AA361" i="156"/>
  <c r="AA362" i="156"/>
  <c r="AA363" i="156"/>
  <c r="AA364" i="156"/>
  <c r="AA365" i="156"/>
  <c r="AA366" i="156"/>
  <c r="AA367" i="156"/>
  <c r="AA368" i="156"/>
  <c r="AA369" i="156"/>
  <c r="AA370" i="156"/>
  <c r="AA371" i="156"/>
  <c r="AA372" i="156"/>
  <c r="AA373" i="156"/>
  <c r="AA375" i="156"/>
  <c r="AA376" i="156"/>
  <c r="AA377" i="156"/>
  <c r="AA378" i="156"/>
  <c r="AA379" i="156"/>
  <c r="AA380" i="156"/>
  <c r="AA381" i="156"/>
  <c r="X346" i="156"/>
  <c r="X347" i="156"/>
  <c r="X348" i="156"/>
  <c r="X349" i="156"/>
  <c r="X350" i="156"/>
  <c r="X351" i="156"/>
  <c r="X352" i="156"/>
  <c r="X353" i="156"/>
  <c r="X354" i="156"/>
  <c r="X355" i="156"/>
  <c r="X356" i="156"/>
  <c r="X357" i="156"/>
  <c r="X358" i="156"/>
  <c r="X359" i="156"/>
  <c r="X360" i="156"/>
  <c r="X361" i="156"/>
  <c r="X362" i="156"/>
  <c r="X363" i="156"/>
  <c r="X364" i="156"/>
  <c r="X365" i="156"/>
  <c r="X366" i="156"/>
  <c r="X367" i="156"/>
  <c r="X368" i="156"/>
  <c r="X369" i="156"/>
  <c r="X370" i="156"/>
  <c r="X371" i="156"/>
  <c r="X372" i="156"/>
  <c r="X373" i="156"/>
  <c r="X374" i="156"/>
  <c r="X375" i="156"/>
  <c r="X376" i="156"/>
  <c r="X377" i="156"/>
  <c r="X378" i="156"/>
  <c r="X379" i="156"/>
  <c r="X380" i="156"/>
  <c r="X381" i="156"/>
  <c r="U346" i="156"/>
  <c r="U347" i="156"/>
  <c r="U348" i="156"/>
  <c r="U349" i="156"/>
  <c r="U350" i="156"/>
  <c r="U351" i="156"/>
  <c r="U352" i="156"/>
  <c r="U353" i="156"/>
  <c r="U354" i="156"/>
  <c r="U355" i="156"/>
  <c r="U356" i="156"/>
  <c r="U357" i="156"/>
  <c r="U358" i="156"/>
  <c r="U359" i="156"/>
  <c r="U360" i="156"/>
  <c r="U361" i="156"/>
  <c r="U362" i="156"/>
  <c r="U363" i="156"/>
  <c r="U370" i="156"/>
  <c r="U371" i="156"/>
  <c r="U372" i="156"/>
  <c r="U373" i="156"/>
  <c r="U374" i="156"/>
  <c r="U376" i="156"/>
  <c r="U379" i="156"/>
  <c r="U380" i="156"/>
  <c r="U381" i="156"/>
  <c r="R364" i="156"/>
  <c r="R365" i="156"/>
  <c r="R366" i="156"/>
  <c r="R367" i="156"/>
  <c r="R368" i="156"/>
  <c r="R369" i="156"/>
  <c r="R374" i="156"/>
  <c r="R375" i="156"/>
  <c r="R377" i="156"/>
  <c r="R378" i="156"/>
  <c r="M379" i="156"/>
  <c r="M346" i="156"/>
  <c r="M349" i="156"/>
  <c r="M354" i="156"/>
  <c r="M362" i="156"/>
  <c r="M350" i="156"/>
  <c r="M357" i="156"/>
  <c r="M365" i="156"/>
  <c r="M348" i="156"/>
  <c r="M356" i="156"/>
  <c r="M363" i="156"/>
  <c r="M361" i="156"/>
  <c r="M367" i="156"/>
  <c r="M369" i="156"/>
  <c r="M372" i="156"/>
  <c r="M375" i="156"/>
  <c r="M378" i="156"/>
  <c r="M351" i="156"/>
  <c r="M355" i="156"/>
  <c r="M358" i="156"/>
  <c r="M364" i="156"/>
  <c r="M370" i="156"/>
  <c r="M376" i="156"/>
  <c r="M381" i="156"/>
  <c r="M360" i="156"/>
  <c r="M373" i="156"/>
  <c r="M374" i="156"/>
  <c r="M380" i="156"/>
  <c r="M353" i="156"/>
  <c r="M359" i="156"/>
  <c r="M366" i="156"/>
  <c r="M347" i="156"/>
  <c r="M352" i="156"/>
  <c r="M368" i="156"/>
  <c r="M371" i="156"/>
  <c r="M377" i="156"/>
  <c r="AD346" i="156"/>
  <c r="AD347" i="156"/>
  <c r="AE348" i="156"/>
  <c r="AD348" i="156"/>
  <c r="AE349" i="156"/>
  <c r="AD349" i="156"/>
  <c r="AE350" i="156"/>
  <c r="AD350" i="156"/>
  <c r="AE351" i="156"/>
  <c r="AD351" i="156"/>
  <c r="AE352" i="156"/>
  <c r="AD352" i="156"/>
  <c r="AE353" i="156"/>
  <c r="AD353" i="156"/>
  <c r="AE354" i="156"/>
  <c r="AD354" i="156"/>
  <c r="AE355" i="156"/>
  <c r="AD355" i="156"/>
  <c r="AE356" i="156"/>
  <c r="AD356" i="156"/>
  <c r="AE357" i="156"/>
  <c r="AD357" i="156"/>
  <c r="AE358" i="156"/>
  <c r="AD358" i="156"/>
  <c r="AE359" i="156"/>
  <c r="AD359" i="156"/>
  <c r="AD360" i="156"/>
  <c r="AE360" i="156"/>
  <c r="AD361" i="156"/>
  <c r="AE361" i="156"/>
  <c r="AD362" i="156"/>
  <c r="AE362" i="156"/>
  <c r="AD363" i="156"/>
  <c r="AE363" i="156"/>
  <c r="AD364" i="156"/>
  <c r="AE364" i="156"/>
  <c r="AD365" i="156"/>
  <c r="AE365" i="156"/>
  <c r="AD366" i="156"/>
  <c r="AE366" i="156"/>
  <c r="AE367" i="156"/>
  <c r="AD367" i="156"/>
  <c r="AD368" i="156"/>
  <c r="AE368" i="156"/>
  <c r="AE369" i="156"/>
  <c r="AD369" i="156"/>
  <c r="AE370" i="156"/>
  <c r="AD370" i="156"/>
  <c r="AE371" i="156"/>
  <c r="AD371" i="156"/>
  <c r="AE372" i="156"/>
  <c r="AD372" i="156"/>
  <c r="AE373" i="156"/>
  <c r="AD373" i="156"/>
  <c r="AE374" i="156"/>
  <c r="AD374" i="156"/>
  <c r="AE375" i="156"/>
  <c r="AD375" i="156"/>
  <c r="AE376" i="156"/>
  <c r="AD376" i="156"/>
  <c r="AE377" i="156"/>
  <c r="AD377" i="156"/>
  <c r="AE378" i="156"/>
  <c r="AD378" i="156"/>
  <c r="AE379" i="156"/>
  <c r="AD379" i="156"/>
  <c r="AD380" i="156"/>
  <c r="AE380" i="156"/>
  <c r="AE381" i="156"/>
  <c r="AD381" i="156"/>
  <c r="N346" i="156"/>
  <c r="L346" i="156"/>
  <c r="N347" i="156"/>
  <c r="L347" i="156"/>
  <c r="N348" i="156"/>
  <c r="L348" i="156"/>
  <c r="N349" i="156"/>
  <c r="L349" i="156"/>
  <c r="N350" i="156"/>
  <c r="L350" i="156"/>
  <c r="N351" i="156"/>
  <c r="L351" i="156"/>
  <c r="N352" i="156"/>
  <c r="L352" i="156"/>
  <c r="N353" i="156"/>
  <c r="L353" i="156"/>
  <c r="N354" i="156"/>
  <c r="L354" i="156"/>
  <c r="L355" i="156"/>
  <c r="N355" i="156"/>
  <c r="L356" i="156"/>
  <c r="N356" i="156"/>
  <c r="L357" i="156"/>
  <c r="N357" i="156"/>
  <c r="L358" i="156"/>
  <c r="N358" i="156"/>
  <c r="L359" i="156"/>
  <c r="N359" i="156"/>
  <c r="L360" i="156"/>
  <c r="N360" i="156"/>
  <c r="L361" i="156"/>
  <c r="N361" i="156"/>
  <c r="N362" i="156"/>
  <c r="L362" i="156"/>
  <c r="N363" i="156"/>
  <c r="L363" i="156"/>
  <c r="N364" i="156"/>
  <c r="L364" i="156"/>
  <c r="N365" i="156"/>
  <c r="L365" i="156"/>
  <c r="N366" i="156"/>
  <c r="L366" i="156"/>
  <c r="N367" i="156"/>
  <c r="L367" i="156"/>
  <c r="N368" i="156"/>
  <c r="L368" i="156"/>
  <c r="N369" i="156"/>
  <c r="L369" i="156"/>
  <c r="N370" i="156"/>
  <c r="L370" i="156"/>
  <c r="N371" i="156"/>
  <c r="L371" i="156"/>
  <c r="N372" i="156"/>
  <c r="L372" i="156"/>
  <c r="N373" i="156"/>
  <c r="L373" i="156"/>
  <c r="N374" i="156"/>
  <c r="L374" i="156"/>
  <c r="N375" i="156"/>
  <c r="L375" i="156"/>
  <c r="N376" i="156"/>
  <c r="L376" i="156"/>
  <c r="N377" i="156"/>
  <c r="L377" i="156"/>
  <c r="N378" i="156"/>
  <c r="L378" i="156"/>
  <c r="N379" i="156"/>
  <c r="L379" i="156"/>
  <c r="N380" i="156"/>
  <c r="L380" i="156"/>
  <c r="N381" i="156"/>
  <c r="L381" i="156"/>
  <c r="G339" i="156"/>
  <c r="I339" i="156" s="1"/>
  <c r="G341" i="156"/>
  <c r="I341" i="156" s="1"/>
  <c r="G236" i="156"/>
  <c r="G252" i="156"/>
  <c r="G253" i="156"/>
  <c r="G331" i="156"/>
  <c r="AA10" i="156"/>
  <c r="AA11" i="156"/>
  <c r="AA12" i="156"/>
  <c r="AA13" i="156"/>
  <c r="AA14" i="156"/>
  <c r="AA15" i="156"/>
  <c r="AA16" i="156"/>
  <c r="AA17" i="156"/>
  <c r="AA18" i="156"/>
  <c r="AA19" i="156"/>
  <c r="AA20" i="156"/>
  <c r="AA120" i="156"/>
  <c r="AA121" i="156"/>
  <c r="AA122" i="156"/>
  <c r="AA123" i="156"/>
  <c r="AA124" i="156"/>
  <c r="AA125" i="156"/>
  <c r="AA126" i="156"/>
  <c r="AA127" i="156"/>
  <c r="AA128" i="156"/>
  <c r="AA129" i="156"/>
  <c r="AA130" i="156"/>
  <c r="AA131" i="156"/>
  <c r="AA132" i="156"/>
  <c r="AA133" i="156"/>
  <c r="AA134" i="156"/>
  <c r="AA135" i="156"/>
  <c r="AA136" i="156"/>
  <c r="AA137" i="156"/>
  <c r="AA138" i="156"/>
  <c r="AA139" i="156"/>
  <c r="AA140" i="156"/>
  <c r="AA141" i="156"/>
  <c r="AA142" i="156"/>
  <c r="AA143" i="156"/>
  <c r="AA144" i="156"/>
  <c r="AA145" i="156"/>
  <c r="AA146" i="156"/>
  <c r="AA147" i="156"/>
  <c r="AA148" i="156"/>
  <c r="AA151" i="156"/>
  <c r="AA152" i="156"/>
  <c r="AA153" i="156"/>
  <c r="AA154" i="156"/>
  <c r="AA155" i="156"/>
  <c r="AA156" i="156"/>
  <c r="AA157" i="156"/>
  <c r="AA158" i="156"/>
  <c r="AA159" i="156"/>
  <c r="AA160" i="156"/>
  <c r="AA161" i="156"/>
  <c r="AA162" i="156"/>
  <c r="AA163" i="156"/>
  <c r="AA164" i="156"/>
  <c r="AA165" i="156"/>
  <c r="AA166" i="156"/>
  <c r="AA167" i="156"/>
  <c r="AA168" i="156"/>
  <c r="AA169" i="156"/>
  <c r="U7" i="156"/>
  <c r="P457" i="156"/>
  <c r="R457" i="156" s="1"/>
  <c r="AA170" i="156"/>
  <c r="AA171" i="156"/>
  <c r="D444" i="156"/>
  <c r="F444" i="156" s="1"/>
  <c r="P444" i="156"/>
  <c r="R444" i="156" s="1"/>
  <c r="D445" i="156"/>
  <c r="F445" i="156" s="1"/>
  <c r="P445" i="156"/>
  <c r="R445" i="156" s="1"/>
  <c r="D446" i="156"/>
  <c r="F446" i="156" s="1"/>
  <c r="P446" i="156"/>
  <c r="R446" i="156" s="1"/>
  <c r="D447" i="156"/>
  <c r="F447" i="156" s="1"/>
  <c r="P447" i="156"/>
  <c r="R447" i="156" s="1"/>
  <c r="D448" i="156"/>
  <c r="F448" i="156" s="1"/>
  <c r="P448" i="156"/>
  <c r="R448" i="156" s="1"/>
  <c r="D449" i="156"/>
  <c r="F449" i="156" s="1"/>
  <c r="P449" i="156"/>
  <c r="R449" i="156" s="1"/>
  <c r="D450" i="156"/>
  <c r="F450" i="156" s="1"/>
  <c r="P450" i="156"/>
  <c r="R450" i="156" s="1"/>
  <c r="D451" i="156"/>
  <c r="F451" i="156" s="1"/>
  <c r="P451" i="156"/>
  <c r="R451" i="156" s="1"/>
  <c r="D452" i="156"/>
  <c r="F452" i="156" s="1"/>
  <c r="P452" i="156"/>
  <c r="R452" i="156" s="1"/>
  <c r="D453" i="156"/>
  <c r="F453" i="156" s="1"/>
  <c r="P453" i="156"/>
  <c r="R453" i="156" s="1"/>
  <c r="D454" i="156"/>
  <c r="F454" i="156" s="1"/>
  <c r="P454" i="156"/>
  <c r="R454" i="156" s="1"/>
  <c r="D455" i="156"/>
  <c r="F455" i="156" s="1"/>
  <c r="P455" i="156"/>
  <c r="R455" i="156" s="1"/>
  <c r="D456" i="156"/>
  <c r="F456" i="156" s="1"/>
  <c r="P456" i="156"/>
  <c r="R456" i="156" s="1"/>
  <c r="D458" i="156"/>
  <c r="F458" i="156" s="1"/>
  <c r="P458" i="156"/>
  <c r="R458" i="156" s="1"/>
  <c r="D459" i="156"/>
  <c r="F459" i="156" s="1"/>
  <c r="P459" i="156"/>
  <c r="R459" i="156" s="1"/>
  <c r="D460" i="156"/>
  <c r="F460" i="156" s="1"/>
  <c r="P460" i="156"/>
  <c r="R460" i="156" s="1"/>
  <c r="D461" i="156"/>
  <c r="F461" i="156" s="1"/>
  <c r="P461" i="156"/>
  <c r="R461" i="156" s="1"/>
  <c r="D462" i="156"/>
  <c r="F462" i="156" s="1"/>
  <c r="P462" i="156"/>
  <c r="R462" i="156" s="1"/>
  <c r="D463" i="156"/>
  <c r="F463" i="156" s="1"/>
  <c r="P463" i="156"/>
  <c r="R463" i="156" s="1"/>
  <c r="D464" i="156"/>
  <c r="F464" i="156" s="1"/>
  <c r="P464" i="156"/>
  <c r="R464" i="156" s="1"/>
  <c r="D465" i="156"/>
  <c r="F465" i="156" s="1"/>
  <c r="P465" i="156"/>
  <c r="R465" i="156" s="1"/>
  <c r="D466" i="156"/>
  <c r="F466" i="156" s="1"/>
  <c r="P466" i="156"/>
  <c r="R466" i="156" s="1"/>
  <c r="D471" i="156"/>
  <c r="F471" i="156" s="1"/>
  <c r="V471" i="156"/>
  <c r="X471" i="156" s="1"/>
  <c r="AA186" i="156"/>
  <c r="AA187" i="156"/>
  <c r="AA188" i="156"/>
  <c r="AA189" i="156"/>
  <c r="AA190" i="156"/>
  <c r="AA191" i="156"/>
  <c r="AA192" i="156"/>
  <c r="U8" i="156"/>
  <c r="U9" i="156"/>
  <c r="U10" i="156"/>
  <c r="U11" i="156"/>
  <c r="U12" i="156"/>
  <c r="U13" i="156"/>
  <c r="U14" i="156"/>
  <c r="U15" i="156"/>
  <c r="U16" i="156"/>
  <c r="U17" i="156"/>
  <c r="U18" i="156"/>
  <c r="G467" i="156"/>
  <c r="I467" i="156" s="1"/>
  <c r="D467" i="156"/>
  <c r="F467" i="156" s="1"/>
  <c r="G468" i="156"/>
  <c r="I468" i="156" s="1"/>
  <c r="D468" i="156"/>
  <c r="F468" i="156" s="1"/>
  <c r="G469" i="156"/>
  <c r="I469" i="156" s="1"/>
  <c r="D469" i="156"/>
  <c r="F469" i="156" s="1"/>
  <c r="G470" i="156"/>
  <c r="I470" i="156" s="1"/>
  <c r="D470" i="156"/>
  <c r="F470" i="156" s="1"/>
  <c r="AA193" i="156"/>
  <c r="AA194" i="156"/>
  <c r="AA195" i="156"/>
  <c r="AA196" i="156"/>
  <c r="AA197" i="156"/>
  <c r="AA198" i="156"/>
  <c r="AA199" i="156"/>
  <c r="AA200" i="156"/>
  <c r="AA201" i="156"/>
  <c r="AA202" i="156"/>
  <c r="AA203" i="156"/>
  <c r="AA204" i="156"/>
  <c r="AA205" i="156"/>
  <c r="AA206" i="156"/>
  <c r="AA207" i="156"/>
  <c r="AA208" i="156"/>
  <c r="AA209" i="156"/>
  <c r="AA210" i="156"/>
  <c r="AA211" i="156"/>
  <c r="AA212" i="156"/>
  <c r="AA213" i="156"/>
  <c r="AA214" i="156"/>
  <c r="AA215" i="156"/>
  <c r="AA216" i="156"/>
  <c r="AA217" i="156"/>
  <c r="AA218" i="156"/>
  <c r="AA219" i="156"/>
  <c r="AA220" i="156"/>
  <c r="AA221" i="156"/>
  <c r="AA222" i="156"/>
  <c r="AA223" i="156"/>
  <c r="AA224" i="156"/>
  <c r="AA225" i="156"/>
  <c r="AA226" i="156"/>
  <c r="AA227" i="156"/>
  <c r="AA228" i="156"/>
  <c r="AA229" i="156"/>
  <c r="AA230" i="156"/>
  <c r="AA231" i="156"/>
  <c r="AA232" i="156"/>
  <c r="AA233" i="156"/>
  <c r="AA234" i="156"/>
  <c r="AA235" i="156"/>
  <c r="AA236" i="156"/>
  <c r="AA237" i="156"/>
  <c r="I237" i="156"/>
  <c r="I238" i="156"/>
  <c r="I239" i="156"/>
  <c r="I240" i="156"/>
  <c r="I241" i="156"/>
  <c r="I242" i="156"/>
  <c r="I243" i="156"/>
  <c r="I246" i="156"/>
  <c r="I248" i="156"/>
  <c r="I249" i="156"/>
  <c r="I250" i="156"/>
  <c r="I251" i="156"/>
  <c r="I254" i="156"/>
  <c r="I255" i="156"/>
  <c r="M189" i="156"/>
  <c r="M192" i="156"/>
  <c r="M212" i="156"/>
  <c r="I171" i="156"/>
  <c r="I205" i="156"/>
  <c r="I213" i="156"/>
  <c r="I226" i="156"/>
  <c r="I228" i="156"/>
  <c r="I234" i="156"/>
  <c r="M190" i="156"/>
  <c r="M211" i="156"/>
  <c r="M213" i="156"/>
  <c r="I186" i="156"/>
  <c r="I193" i="156"/>
  <c r="I211" i="156"/>
  <c r="I230" i="156"/>
  <c r="AA238" i="156"/>
  <c r="AA239" i="156"/>
  <c r="AA240" i="156"/>
  <c r="AA241" i="156"/>
  <c r="AA242" i="156"/>
  <c r="AA243" i="156"/>
  <c r="AA244" i="156"/>
  <c r="AA245" i="156"/>
  <c r="AA246" i="156"/>
  <c r="AA247" i="156"/>
  <c r="AA248" i="156"/>
  <c r="AA249" i="156"/>
  <c r="AA250" i="156"/>
  <c r="AA251" i="156"/>
  <c r="AA252" i="156"/>
  <c r="AA253" i="156"/>
  <c r="AA254" i="156"/>
  <c r="AA255" i="156"/>
  <c r="AA256" i="156"/>
  <c r="AA257" i="156"/>
  <c r="AA258" i="156"/>
  <c r="AA259" i="156"/>
  <c r="AA260" i="156"/>
  <c r="AA261" i="156"/>
  <c r="AA262" i="156"/>
  <c r="AA263" i="156"/>
  <c r="AA264" i="156"/>
  <c r="AA265" i="156"/>
  <c r="AA266" i="156"/>
  <c r="AA267" i="156"/>
  <c r="AA268" i="156"/>
  <c r="AA269" i="156"/>
  <c r="AA270" i="156"/>
  <c r="AA271" i="156"/>
  <c r="AA272" i="156"/>
  <c r="AA273" i="156"/>
  <c r="AA274" i="156"/>
  <c r="AA275" i="156"/>
  <c r="AA276" i="156"/>
  <c r="AA277" i="156"/>
  <c r="AA278" i="156"/>
  <c r="AA279" i="156"/>
  <c r="AA280" i="156"/>
  <c r="AA281" i="156"/>
  <c r="AA282" i="156"/>
  <c r="AA283" i="156"/>
  <c r="AA284" i="156"/>
  <c r="AA285" i="156"/>
  <c r="AA286" i="156"/>
  <c r="AA287" i="156"/>
  <c r="AA288" i="156"/>
  <c r="AA289" i="156"/>
  <c r="AA290" i="156"/>
  <c r="AA291" i="156"/>
  <c r="AA292" i="156"/>
  <c r="AA293" i="156"/>
  <c r="AA294" i="156"/>
  <c r="AA295" i="156"/>
  <c r="AA296" i="156"/>
  <c r="AA297" i="156"/>
  <c r="AA298" i="156"/>
  <c r="AA299" i="156"/>
  <c r="AA300" i="156"/>
  <c r="AA301" i="156"/>
  <c r="AA302" i="156"/>
  <c r="AA303" i="156"/>
  <c r="AA304" i="156"/>
  <c r="AA305" i="156"/>
  <c r="AA306" i="156"/>
  <c r="AA307" i="156"/>
  <c r="AA308" i="156"/>
  <c r="AA309" i="156"/>
  <c r="AA310" i="156"/>
  <c r="AA311" i="156"/>
  <c r="AA312" i="156"/>
  <c r="AA313" i="156"/>
  <c r="AA314" i="156"/>
  <c r="AA315" i="156"/>
  <c r="AA316" i="156"/>
  <c r="AA317" i="156"/>
  <c r="AA318" i="156"/>
  <c r="AA319" i="156"/>
  <c r="AA320" i="156"/>
  <c r="AA321" i="156"/>
  <c r="AA322" i="156"/>
  <c r="AA323" i="156"/>
  <c r="AA324" i="156"/>
  <c r="AA325" i="156"/>
  <c r="AA326" i="156"/>
  <c r="AA327" i="156"/>
  <c r="AA328" i="156"/>
  <c r="AA329" i="156"/>
  <c r="AA330" i="156"/>
  <c r="AA331" i="156"/>
  <c r="AA332" i="156"/>
  <c r="AA333" i="156"/>
  <c r="AA334" i="156"/>
  <c r="AA335" i="156"/>
  <c r="AA336" i="156"/>
  <c r="AA337" i="156"/>
  <c r="AA338" i="156"/>
  <c r="AA339" i="156"/>
  <c r="AA340" i="156"/>
  <c r="AA341" i="156"/>
  <c r="AA342" i="156"/>
  <c r="AA343" i="156"/>
  <c r="AA344" i="156"/>
  <c r="AA345" i="156"/>
  <c r="AA382" i="156"/>
  <c r="AA383" i="156"/>
  <c r="AA384" i="156"/>
  <c r="AA385" i="156"/>
  <c r="AA386" i="156"/>
  <c r="AA387" i="156"/>
  <c r="AA388" i="156"/>
  <c r="AA389" i="156"/>
  <c r="AA390" i="156"/>
  <c r="AA391" i="156"/>
  <c r="AA392" i="156"/>
  <c r="AA393" i="156"/>
  <c r="AA394" i="156"/>
  <c r="AA395" i="156"/>
  <c r="AA396" i="156"/>
  <c r="AA397" i="156"/>
  <c r="AA398" i="156"/>
  <c r="AA399" i="156"/>
  <c r="AA400" i="156"/>
  <c r="AA401" i="156"/>
  <c r="AA402" i="156"/>
  <c r="AA403" i="156"/>
  <c r="AA404" i="156"/>
  <c r="AA405" i="156"/>
  <c r="AA406" i="156"/>
  <c r="AA407" i="156"/>
  <c r="AA409" i="156"/>
  <c r="AA410" i="156"/>
  <c r="AA411" i="156"/>
  <c r="AA412" i="156"/>
  <c r="AA413" i="156"/>
  <c r="AA414" i="156"/>
  <c r="AA415" i="156"/>
  <c r="AA416" i="156"/>
  <c r="AA417" i="156"/>
  <c r="AA418" i="156"/>
  <c r="AA419" i="156"/>
  <c r="AA420" i="156"/>
  <c r="AA421" i="156"/>
  <c r="AA422" i="156"/>
  <c r="AA423" i="156"/>
  <c r="AA424" i="156"/>
  <c r="AA425" i="156"/>
  <c r="AA426" i="156"/>
  <c r="AA427" i="156"/>
  <c r="AA428" i="156"/>
  <c r="AA429" i="156"/>
  <c r="AA430" i="156"/>
  <c r="AA431" i="156"/>
  <c r="AA432" i="156"/>
  <c r="AA433" i="156"/>
  <c r="AA434" i="156"/>
  <c r="AA435" i="156"/>
  <c r="AA436" i="156"/>
  <c r="AA437" i="156"/>
  <c r="AA438" i="156"/>
  <c r="AA439" i="156"/>
  <c r="AA440" i="156"/>
  <c r="AA441" i="156"/>
  <c r="AA442" i="156"/>
  <c r="AA443" i="156"/>
  <c r="AA444" i="156"/>
  <c r="X7" i="156"/>
  <c r="X8" i="156"/>
  <c r="X9" i="156"/>
  <c r="X10" i="156"/>
  <c r="X11" i="156"/>
  <c r="X12" i="156"/>
  <c r="X13" i="156"/>
  <c r="X14" i="156"/>
  <c r="X15" i="156"/>
  <c r="X16" i="156"/>
  <c r="X17" i="156"/>
  <c r="X18" i="156"/>
  <c r="X19" i="156"/>
  <c r="X20" i="156"/>
  <c r="X120" i="156"/>
  <c r="X121" i="156"/>
  <c r="X122" i="156"/>
  <c r="X123" i="156"/>
  <c r="X124" i="156"/>
  <c r="X125" i="156"/>
  <c r="X126" i="156"/>
  <c r="X127" i="156"/>
  <c r="X128" i="156"/>
  <c r="X129" i="156"/>
  <c r="X130" i="156"/>
  <c r="X131" i="156"/>
  <c r="X132" i="156"/>
  <c r="X133" i="156"/>
  <c r="X134" i="156"/>
  <c r="X135" i="156"/>
  <c r="X136" i="156"/>
  <c r="X137" i="156"/>
  <c r="X138" i="156"/>
  <c r="X139" i="156"/>
  <c r="X140" i="156"/>
  <c r="X141" i="156"/>
  <c r="X142" i="156"/>
  <c r="X143" i="156"/>
  <c r="X144" i="156"/>
  <c r="X145" i="156"/>
  <c r="X146" i="156"/>
  <c r="X147" i="156"/>
  <c r="X148" i="156"/>
  <c r="X149" i="156"/>
  <c r="X151" i="156"/>
  <c r="X152" i="156"/>
  <c r="X153" i="156"/>
  <c r="X154" i="156"/>
  <c r="X155" i="156"/>
  <c r="X156" i="156"/>
  <c r="X157" i="156"/>
  <c r="X158" i="156"/>
  <c r="X159" i="156"/>
  <c r="X160" i="156"/>
  <c r="X161" i="156"/>
  <c r="X162" i="156"/>
  <c r="X163" i="156"/>
  <c r="X164" i="156"/>
  <c r="X165" i="156"/>
  <c r="X166" i="156"/>
  <c r="X167" i="156"/>
  <c r="X168" i="156"/>
  <c r="X169" i="156"/>
  <c r="X170" i="156"/>
  <c r="X171" i="156"/>
  <c r="X186" i="156"/>
  <c r="X187" i="156"/>
  <c r="X188" i="156"/>
  <c r="X189" i="156"/>
  <c r="X190" i="156"/>
  <c r="X191" i="156"/>
  <c r="X192" i="156"/>
  <c r="X193" i="156"/>
  <c r="X194" i="156"/>
  <c r="X195" i="156"/>
  <c r="X196" i="156"/>
  <c r="X197" i="156"/>
  <c r="X198" i="156"/>
  <c r="X199" i="156"/>
  <c r="X200" i="156"/>
  <c r="X201" i="156"/>
  <c r="X202" i="156"/>
  <c r="X203" i="156"/>
  <c r="X204" i="156"/>
  <c r="X205" i="156"/>
  <c r="X206" i="156"/>
  <c r="X207" i="156"/>
  <c r="X208" i="156"/>
  <c r="X209" i="156"/>
  <c r="X210" i="156"/>
  <c r="X211" i="156"/>
  <c r="X212" i="156"/>
  <c r="X213" i="156"/>
  <c r="X214" i="156"/>
  <c r="X215" i="156"/>
  <c r="X216" i="156"/>
  <c r="X217" i="156"/>
  <c r="X218" i="156"/>
  <c r="X219" i="156"/>
  <c r="X220" i="156"/>
  <c r="X221" i="156"/>
  <c r="X222" i="156"/>
  <c r="X223" i="156"/>
  <c r="X224" i="156"/>
  <c r="X225" i="156"/>
  <c r="X226" i="156"/>
  <c r="X227" i="156"/>
  <c r="X228" i="156"/>
  <c r="X229" i="156"/>
  <c r="X230" i="156"/>
  <c r="X231" i="156"/>
  <c r="X232" i="156"/>
  <c r="X233" i="156"/>
  <c r="X234" i="156"/>
  <c r="X235" i="156"/>
  <c r="X236" i="156"/>
  <c r="X237" i="156"/>
  <c r="X238" i="156"/>
  <c r="X239" i="156"/>
  <c r="X240" i="156"/>
  <c r="X241" i="156"/>
  <c r="X242" i="156"/>
  <c r="X243" i="156"/>
  <c r="X244" i="156"/>
  <c r="X245" i="156"/>
  <c r="X246" i="156"/>
  <c r="X247" i="156"/>
  <c r="X248" i="156"/>
  <c r="X249" i="156"/>
  <c r="X250" i="156"/>
  <c r="X251" i="156"/>
  <c r="X252" i="156"/>
  <c r="X253" i="156"/>
  <c r="X254" i="156"/>
  <c r="I187" i="156"/>
  <c r="I191" i="156"/>
  <c r="I201" i="156"/>
  <c r="I204" i="156"/>
  <c r="I209" i="156"/>
  <c r="I233" i="156"/>
  <c r="X255" i="156"/>
  <c r="X256" i="156"/>
  <c r="X257" i="156"/>
  <c r="X258" i="156"/>
  <c r="X259" i="156"/>
  <c r="X260" i="156"/>
  <c r="X261" i="156"/>
  <c r="X262" i="156"/>
  <c r="X263" i="156"/>
  <c r="X264" i="156"/>
  <c r="X265" i="156"/>
  <c r="X266" i="156"/>
  <c r="X267" i="156"/>
  <c r="X268" i="156"/>
  <c r="X269" i="156"/>
  <c r="M215" i="156"/>
  <c r="I189" i="156"/>
  <c r="I206" i="156"/>
  <c r="I208" i="156"/>
  <c r="I210" i="156"/>
  <c r="I227" i="156"/>
  <c r="U19" i="156"/>
  <c r="U20" i="156"/>
  <c r="U120" i="156"/>
  <c r="U121" i="156"/>
  <c r="U122" i="156"/>
  <c r="U123" i="156"/>
  <c r="U124" i="156"/>
  <c r="U125" i="156"/>
  <c r="U126" i="156"/>
  <c r="U127" i="156"/>
  <c r="U128" i="156"/>
  <c r="U129" i="156"/>
  <c r="U130" i="156"/>
  <c r="U131" i="156"/>
  <c r="U132" i="156"/>
  <c r="U139" i="156"/>
  <c r="U140" i="156"/>
  <c r="U141" i="156"/>
  <c r="U142" i="156"/>
  <c r="M188" i="156"/>
  <c r="M193" i="156"/>
  <c r="I170" i="156"/>
  <c r="I188" i="156"/>
  <c r="I196" i="156"/>
  <c r="I197" i="156"/>
  <c r="I222" i="156"/>
  <c r="I232" i="156"/>
  <c r="I194" i="156"/>
  <c r="I190" i="156"/>
  <c r="I195" i="156"/>
  <c r="I199" i="156"/>
  <c r="I214" i="156"/>
  <c r="I221" i="156"/>
  <c r="I225" i="156"/>
  <c r="I235" i="156"/>
  <c r="M471" i="156"/>
  <c r="M472" i="156"/>
  <c r="M473" i="156"/>
  <c r="M474" i="156"/>
  <c r="M475" i="156"/>
  <c r="M476" i="156"/>
  <c r="M477" i="156"/>
  <c r="M478" i="156"/>
  <c r="M479" i="156"/>
  <c r="M191" i="156"/>
  <c r="M194" i="156"/>
  <c r="I202" i="156"/>
  <c r="I220" i="156"/>
  <c r="I231" i="156"/>
  <c r="M170" i="156"/>
  <c r="M187" i="156"/>
  <c r="I192" i="156"/>
  <c r="I198" i="156"/>
  <c r="I224" i="156"/>
  <c r="I229" i="156"/>
  <c r="M171" i="156"/>
  <c r="M186" i="156"/>
  <c r="M210" i="156"/>
  <c r="M214" i="156"/>
  <c r="I200" i="156"/>
  <c r="I203" i="156"/>
  <c r="I207" i="156"/>
  <c r="I212" i="156"/>
  <c r="I215" i="156"/>
  <c r="I219" i="156"/>
  <c r="I223" i="156"/>
  <c r="X270" i="156"/>
  <c r="X271" i="156"/>
  <c r="X272" i="156"/>
  <c r="X273" i="156"/>
  <c r="X274" i="156"/>
  <c r="X275" i="156"/>
  <c r="X276" i="156"/>
  <c r="X277" i="156"/>
  <c r="X278" i="156"/>
  <c r="X279" i="156"/>
  <c r="X280" i="156"/>
  <c r="X281" i="156"/>
  <c r="X282" i="156"/>
  <c r="X283" i="156"/>
  <c r="U143" i="156"/>
  <c r="U144" i="156"/>
  <c r="U145" i="156"/>
  <c r="U146" i="156"/>
  <c r="U147" i="156"/>
  <c r="U148" i="156"/>
  <c r="U149" i="156"/>
  <c r="U152" i="156"/>
  <c r="U153" i="156"/>
  <c r="U154" i="156"/>
  <c r="U155" i="156"/>
  <c r="U158" i="156"/>
  <c r="U159" i="156"/>
  <c r="U160" i="156"/>
  <c r="U161" i="156"/>
  <c r="U162" i="156"/>
  <c r="U163" i="156"/>
  <c r="U164" i="156"/>
  <c r="U165" i="156"/>
  <c r="U166" i="156"/>
  <c r="U167" i="156"/>
  <c r="U168" i="156"/>
  <c r="U169" i="156"/>
  <c r="U170" i="156"/>
  <c r="U171" i="156"/>
  <c r="U186" i="156"/>
  <c r="U187" i="156"/>
  <c r="U188" i="156"/>
  <c r="U189" i="156"/>
  <c r="U190" i="156"/>
  <c r="U191" i="156"/>
  <c r="U192" i="156"/>
  <c r="U193" i="156"/>
  <c r="U194" i="156"/>
  <c r="U195" i="156"/>
  <c r="U196" i="156"/>
  <c r="U197" i="156"/>
  <c r="U198" i="156"/>
  <c r="U199" i="156"/>
  <c r="U200" i="156"/>
  <c r="U201" i="156"/>
  <c r="U202" i="156"/>
  <c r="U203" i="156"/>
  <c r="U204" i="156"/>
  <c r="U205" i="156"/>
  <c r="U206" i="156"/>
  <c r="U207" i="156"/>
  <c r="U208" i="156"/>
  <c r="U209" i="156"/>
  <c r="U210" i="156"/>
  <c r="U211" i="156"/>
  <c r="U212" i="156"/>
  <c r="U213" i="156"/>
  <c r="U214" i="156"/>
  <c r="U215" i="156"/>
  <c r="U216" i="156"/>
  <c r="U217" i="156"/>
  <c r="U218" i="156"/>
  <c r="U237" i="156"/>
  <c r="U238" i="156"/>
  <c r="U239" i="156"/>
  <c r="U240" i="156"/>
  <c r="U241" i="156"/>
  <c r="U242" i="156"/>
  <c r="U243" i="156"/>
  <c r="U244" i="156"/>
  <c r="U245" i="156"/>
  <c r="U254" i="156"/>
  <c r="U255" i="156"/>
  <c r="U256" i="156"/>
  <c r="U257" i="156"/>
  <c r="U258" i="156"/>
  <c r="U259" i="156"/>
  <c r="U260" i="156"/>
  <c r="U261" i="156"/>
  <c r="U262" i="156"/>
  <c r="U263" i="156"/>
  <c r="U264" i="156"/>
  <c r="U265" i="156"/>
  <c r="U266" i="156"/>
  <c r="U267" i="156"/>
  <c r="U268" i="156"/>
  <c r="U269" i="156"/>
  <c r="R7" i="156"/>
  <c r="R8" i="156"/>
  <c r="R9" i="156"/>
  <c r="R10" i="156"/>
  <c r="R128" i="156"/>
  <c r="R129" i="156"/>
  <c r="R130" i="156"/>
  <c r="R131" i="156"/>
  <c r="R132" i="156"/>
  <c r="R133" i="156"/>
  <c r="R134" i="156"/>
  <c r="R135" i="156"/>
  <c r="R136" i="156"/>
  <c r="R137" i="156"/>
  <c r="R138" i="156"/>
  <c r="R143" i="156"/>
  <c r="R144" i="156"/>
  <c r="R145" i="156"/>
  <c r="R146" i="156"/>
  <c r="R147" i="156"/>
  <c r="R148" i="156"/>
  <c r="R149" i="156"/>
  <c r="R151" i="156"/>
  <c r="R153" i="156"/>
  <c r="R154" i="156"/>
  <c r="R155" i="156"/>
  <c r="R156" i="156"/>
  <c r="R157" i="156"/>
  <c r="L7" i="156"/>
  <c r="L8" i="156"/>
  <c r="L9" i="156"/>
  <c r="L10" i="156"/>
  <c r="L11" i="156"/>
  <c r="L12" i="156"/>
  <c r="M156" i="156"/>
  <c r="M157" i="156"/>
  <c r="M161" i="156"/>
  <c r="M162" i="156"/>
  <c r="M163" i="156"/>
  <c r="M165" i="156"/>
  <c r="M166" i="156"/>
  <c r="M167" i="156"/>
  <c r="M168" i="156"/>
  <c r="M169" i="156"/>
  <c r="I156" i="156"/>
  <c r="I157" i="156"/>
  <c r="I159" i="156"/>
  <c r="I160" i="156"/>
  <c r="I161" i="156"/>
  <c r="I162" i="156"/>
  <c r="I163" i="156"/>
  <c r="I165" i="156"/>
  <c r="I166" i="156"/>
  <c r="I167" i="156"/>
  <c r="I168" i="156"/>
  <c r="I169" i="156"/>
  <c r="AA7" i="156"/>
  <c r="AA8" i="156"/>
  <c r="AA9" i="156"/>
  <c r="AA446" i="156"/>
  <c r="AA447" i="156"/>
  <c r="AA448" i="156"/>
  <c r="AA449" i="156"/>
  <c r="AA450" i="156"/>
  <c r="AA451" i="156"/>
  <c r="AA452" i="156"/>
  <c r="AA453" i="156"/>
  <c r="AA454" i="156"/>
  <c r="AA455" i="156"/>
  <c r="AA456" i="156"/>
  <c r="AA457" i="156"/>
  <c r="AA458" i="156"/>
  <c r="AA459" i="156"/>
  <c r="AA460" i="156"/>
  <c r="AA461" i="156"/>
  <c r="AA462" i="156"/>
  <c r="AA463" i="156"/>
  <c r="AA464" i="156"/>
  <c r="AA465" i="156"/>
  <c r="AA466" i="156"/>
  <c r="AA467" i="156"/>
  <c r="AA468" i="156"/>
  <c r="AA469" i="156"/>
  <c r="AA470" i="156"/>
  <c r="AA471" i="156"/>
  <c r="AA472" i="156"/>
  <c r="AA473" i="156"/>
  <c r="AA474" i="156"/>
  <c r="AA475" i="156"/>
  <c r="AA476" i="156"/>
  <c r="AA477" i="156"/>
  <c r="AA478" i="156"/>
  <c r="AA479" i="156"/>
  <c r="AA535" i="156"/>
  <c r="X336" i="156"/>
  <c r="X338" i="156"/>
  <c r="X341" i="156"/>
  <c r="X343" i="156"/>
  <c r="X344" i="156"/>
  <c r="X382" i="156"/>
  <c r="X384" i="156"/>
  <c r="X386" i="156"/>
  <c r="X388" i="156"/>
  <c r="X390" i="156"/>
  <c r="X392" i="156"/>
  <c r="X394" i="156"/>
  <c r="X396" i="156"/>
  <c r="X398" i="156"/>
  <c r="X400" i="156"/>
  <c r="X402" i="156"/>
  <c r="X404" i="156"/>
  <c r="X406" i="156"/>
  <c r="X408" i="156"/>
  <c r="X410" i="156"/>
  <c r="X412" i="156"/>
  <c r="X414" i="156"/>
  <c r="X416" i="156"/>
  <c r="X418" i="156"/>
  <c r="X420" i="156"/>
  <c r="X421" i="156"/>
  <c r="X423" i="156"/>
  <c r="X425" i="156"/>
  <c r="X427" i="156"/>
  <c r="X429" i="156"/>
  <c r="X431" i="156"/>
  <c r="X433" i="156"/>
  <c r="X436" i="156"/>
  <c r="X437" i="156"/>
  <c r="X439" i="156"/>
  <c r="X441" i="156"/>
  <c r="X443" i="156"/>
  <c r="X445" i="156"/>
  <c r="X447" i="156"/>
  <c r="X449" i="156"/>
  <c r="X451" i="156"/>
  <c r="X453" i="156"/>
  <c r="X455" i="156"/>
  <c r="X457" i="156"/>
  <c r="X458" i="156"/>
  <c r="X460" i="156"/>
  <c r="X462" i="156"/>
  <c r="X464" i="156"/>
  <c r="X466" i="156"/>
  <c r="X468" i="156"/>
  <c r="X470" i="156"/>
  <c r="X473" i="156"/>
  <c r="X475" i="156"/>
  <c r="X477" i="156"/>
  <c r="X479" i="156"/>
  <c r="X535" i="156"/>
  <c r="X337" i="156"/>
  <c r="X339" i="156"/>
  <c r="X340" i="156"/>
  <c r="X342" i="156"/>
  <c r="X345" i="156"/>
  <c r="X383" i="156"/>
  <c r="X385" i="156"/>
  <c r="X387" i="156"/>
  <c r="X389" i="156"/>
  <c r="X391" i="156"/>
  <c r="X393" i="156"/>
  <c r="X395" i="156"/>
  <c r="X397" i="156"/>
  <c r="X399" i="156"/>
  <c r="X401" i="156"/>
  <c r="X403" i="156"/>
  <c r="X405" i="156"/>
  <c r="X407" i="156"/>
  <c r="X411" i="156"/>
  <c r="X413" i="156"/>
  <c r="X415" i="156"/>
  <c r="X417" i="156"/>
  <c r="X419" i="156"/>
  <c r="X422" i="156"/>
  <c r="X424" i="156"/>
  <c r="X426" i="156"/>
  <c r="X428" i="156"/>
  <c r="X430" i="156"/>
  <c r="X432" i="156"/>
  <c r="X434" i="156"/>
  <c r="X435" i="156"/>
  <c r="X438" i="156"/>
  <c r="X440" i="156"/>
  <c r="X442" i="156"/>
  <c r="X444" i="156"/>
  <c r="X446" i="156"/>
  <c r="X448" i="156"/>
  <c r="X450" i="156"/>
  <c r="X452" i="156"/>
  <c r="X454" i="156"/>
  <c r="X456" i="156"/>
  <c r="X459" i="156"/>
  <c r="X461" i="156"/>
  <c r="X463" i="156"/>
  <c r="X465" i="156"/>
  <c r="X467" i="156"/>
  <c r="X469" i="156"/>
  <c r="X472" i="156"/>
  <c r="X474" i="156"/>
  <c r="X476" i="156"/>
  <c r="X478" i="156"/>
  <c r="U270" i="156"/>
  <c r="U271" i="156"/>
  <c r="U272" i="156"/>
  <c r="U273" i="156"/>
  <c r="U274" i="156"/>
  <c r="U275" i="156"/>
  <c r="U276" i="156"/>
  <c r="U277" i="156"/>
  <c r="U278" i="156"/>
  <c r="U279" i="156"/>
  <c r="U280" i="156"/>
  <c r="U281" i="156"/>
  <c r="U282" i="156"/>
  <c r="U283" i="156"/>
  <c r="U284" i="156"/>
  <c r="U285" i="156"/>
  <c r="U286" i="156"/>
  <c r="U287" i="156"/>
  <c r="U288" i="156"/>
  <c r="U289" i="156"/>
  <c r="U290" i="156"/>
  <c r="U291" i="156"/>
  <c r="U292" i="156"/>
  <c r="U293" i="156"/>
  <c r="U294" i="156"/>
  <c r="U295" i="156"/>
  <c r="U296" i="156"/>
  <c r="U297" i="156"/>
  <c r="U298" i="156"/>
  <c r="U299" i="156"/>
  <c r="U300" i="156"/>
  <c r="U301" i="156"/>
  <c r="U302" i="156"/>
  <c r="U303" i="156"/>
  <c r="U304" i="156"/>
  <c r="U305" i="156"/>
  <c r="U306" i="156"/>
  <c r="U307" i="156"/>
  <c r="U308" i="156"/>
  <c r="U309" i="156"/>
  <c r="U310" i="156"/>
  <c r="U311" i="156"/>
  <c r="U312" i="156"/>
  <c r="U313" i="156"/>
  <c r="U314" i="156"/>
  <c r="U315" i="156"/>
  <c r="U316" i="156"/>
  <c r="U317" i="156"/>
  <c r="U318" i="156"/>
  <c r="U319" i="156"/>
  <c r="U320" i="156"/>
  <c r="U321" i="156"/>
  <c r="U322" i="156"/>
  <c r="U323" i="156"/>
  <c r="U324" i="156"/>
  <c r="U325" i="156"/>
  <c r="U326" i="156"/>
  <c r="U327" i="156"/>
  <c r="U328" i="156"/>
  <c r="U329" i="156"/>
  <c r="U330" i="156"/>
  <c r="U331" i="156"/>
  <c r="U332" i="156"/>
  <c r="U333" i="156"/>
  <c r="U334" i="156"/>
  <c r="U335" i="156"/>
  <c r="U336" i="156"/>
  <c r="U337" i="156"/>
  <c r="U338" i="156"/>
  <c r="U339" i="156"/>
  <c r="U340" i="156"/>
  <c r="U341" i="156"/>
  <c r="U342" i="156"/>
  <c r="U343" i="156"/>
  <c r="U344" i="156"/>
  <c r="U345" i="156"/>
  <c r="U382" i="156"/>
  <c r="U383" i="156"/>
  <c r="U384" i="156"/>
  <c r="U385" i="156"/>
  <c r="U386" i="156"/>
  <c r="U387" i="156"/>
  <c r="U388" i="156"/>
  <c r="U389" i="156"/>
  <c r="U390" i="156"/>
  <c r="U391" i="156"/>
  <c r="U392" i="156"/>
  <c r="U393" i="156"/>
  <c r="U394" i="156"/>
  <c r="U395" i="156"/>
  <c r="U396" i="156"/>
  <c r="U397" i="156"/>
  <c r="U398" i="156"/>
  <c r="U399" i="156"/>
  <c r="U400" i="156"/>
  <c r="U401" i="156"/>
  <c r="U402" i="156"/>
  <c r="U403" i="156"/>
  <c r="U404" i="156"/>
  <c r="U405" i="156"/>
  <c r="U406" i="156"/>
  <c r="U407" i="156"/>
  <c r="U408" i="156"/>
  <c r="U409" i="156"/>
  <c r="U410" i="156"/>
  <c r="U411" i="156"/>
  <c r="U412" i="156"/>
  <c r="U413" i="156"/>
  <c r="U414" i="156"/>
  <c r="U415" i="156"/>
  <c r="U416" i="156"/>
  <c r="U417" i="156"/>
  <c r="U418" i="156"/>
  <c r="U419" i="156"/>
  <c r="U420" i="156"/>
  <c r="U421" i="156"/>
  <c r="U422" i="156"/>
  <c r="U423" i="156"/>
  <c r="U424" i="156"/>
  <c r="U425" i="156"/>
  <c r="U426" i="156"/>
  <c r="U427" i="156"/>
  <c r="U428" i="156"/>
  <c r="U429" i="156"/>
  <c r="U430" i="156"/>
  <c r="U431" i="156"/>
  <c r="U432" i="156"/>
  <c r="U433" i="156"/>
  <c r="U434" i="156"/>
  <c r="U435" i="156"/>
  <c r="U436" i="156"/>
  <c r="U437" i="156"/>
  <c r="U438" i="156"/>
  <c r="U439" i="156"/>
  <c r="U440" i="156"/>
  <c r="U441" i="156"/>
  <c r="U442" i="156"/>
  <c r="U443" i="156"/>
  <c r="U444" i="156"/>
  <c r="R216" i="156"/>
  <c r="R217" i="156"/>
  <c r="R218" i="156"/>
  <c r="R219" i="156"/>
  <c r="R220" i="156"/>
  <c r="R221" i="156"/>
  <c r="R222" i="156"/>
  <c r="R223" i="156"/>
  <c r="R224" i="156"/>
  <c r="R225" i="156"/>
  <c r="R226" i="156"/>
  <c r="R227" i="156"/>
  <c r="R228" i="156"/>
  <c r="R229" i="156"/>
  <c r="R230" i="156"/>
  <c r="R231" i="156"/>
  <c r="R232" i="156"/>
  <c r="R233" i="156"/>
  <c r="R234" i="156"/>
  <c r="R235" i="156"/>
  <c r="R236" i="156"/>
  <c r="R244" i="156"/>
  <c r="R245" i="156"/>
  <c r="R246" i="156"/>
  <c r="R247" i="156"/>
  <c r="R248" i="156"/>
  <c r="R249" i="156"/>
  <c r="R250" i="156"/>
  <c r="R251" i="156"/>
  <c r="R252" i="156"/>
  <c r="R253" i="156"/>
  <c r="R256" i="156"/>
  <c r="R257" i="156"/>
  <c r="R258" i="156"/>
  <c r="R259" i="156"/>
  <c r="L13" i="156"/>
  <c r="L14" i="156"/>
  <c r="L15" i="156"/>
  <c r="M11" i="156"/>
  <c r="M12" i="156"/>
  <c r="M13" i="156"/>
  <c r="M14" i="156"/>
  <c r="M15" i="156"/>
  <c r="M16" i="156"/>
  <c r="M17" i="156"/>
  <c r="M18" i="156"/>
  <c r="M19" i="156"/>
  <c r="M20" i="156"/>
  <c r="M120" i="156"/>
  <c r="M121" i="156"/>
  <c r="M122" i="156"/>
  <c r="M123" i="156"/>
  <c r="M124" i="156"/>
  <c r="M126" i="156"/>
  <c r="M127" i="156"/>
  <c r="M133" i="156"/>
  <c r="M134" i="156"/>
  <c r="M135" i="156"/>
  <c r="M136" i="156"/>
  <c r="M137" i="156"/>
  <c r="M138" i="156"/>
  <c r="M139" i="156"/>
  <c r="M140" i="156"/>
  <c r="M141" i="156"/>
  <c r="M142" i="156"/>
  <c r="M149" i="156"/>
  <c r="M159" i="156"/>
  <c r="M160" i="156"/>
  <c r="M195" i="156"/>
  <c r="M196" i="156"/>
  <c r="M197" i="156"/>
  <c r="M198" i="156"/>
  <c r="M199" i="156"/>
  <c r="M200" i="156"/>
  <c r="M201" i="156"/>
  <c r="M202" i="156"/>
  <c r="M203" i="156"/>
  <c r="M204" i="156"/>
  <c r="M205" i="156"/>
  <c r="M206" i="156"/>
  <c r="M207" i="156"/>
  <c r="M208" i="156"/>
  <c r="M209" i="156"/>
  <c r="M219" i="156"/>
  <c r="M220" i="156"/>
  <c r="M221" i="156"/>
  <c r="M222" i="156"/>
  <c r="M223" i="156"/>
  <c r="M224" i="156"/>
  <c r="M225" i="156"/>
  <c r="M226" i="156"/>
  <c r="M227" i="156"/>
  <c r="M228" i="156"/>
  <c r="M229" i="156"/>
  <c r="M230" i="156"/>
  <c r="M231" i="156"/>
  <c r="M232" i="156"/>
  <c r="M233" i="156"/>
  <c r="M234" i="156"/>
  <c r="M235" i="156"/>
  <c r="M237" i="156"/>
  <c r="M238" i="156"/>
  <c r="M239" i="156"/>
  <c r="M240" i="156"/>
  <c r="M241" i="156"/>
  <c r="M242" i="156"/>
  <c r="M243" i="156"/>
  <c r="M246" i="156"/>
  <c r="M247" i="156"/>
  <c r="M248" i="156"/>
  <c r="M249" i="156"/>
  <c r="M250" i="156"/>
  <c r="M251" i="156"/>
  <c r="M254" i="156"/>
  <c r="M255" i="156"/>
  <c r="M313" i="156"/>
  <c r="M314" i="156"/>
  <c r="M315" i="156"/>
  <c r="M316" i="156"/>
  <c r="M317" i="156"/>
  <c r="M318" i="156"/>
  <c r="M319" i="156"/>
  <c r="M320" i="156"/>
  <c r="M321" i="156"/>
  <c r="M322" i="156"/>
  <c r="M323" i="156"/>
  <c r="M324" i="156"/>
  <c r="M325" i="156"/>
  <c r="M326" i="156"/>
  <c r="M327" i="156"/>
  <c r="M328" i="156"/>
  <c r="M329" i="156"/>
  <c r="M330" i="156"/>
  <c r="M333" i="156"/>
  <c r="M334" i="156"/>
  <c r="M335" i="156"/>
  <c r="M338" i="156"/>
  <c r="M342" i="156"/>
  <c r="M343" i="156"/>
  <c r="M344" i="156"/>
  <c r="M345" i="156"/>
  <c r="M382" i="156"/>
  <c r="M383" i="156"/>
  <c r="M384" i="156"/>
  <c r="M385" i="156"/>
  <c r="M386" i="156"/>
  <c r="M387" i="156"/>
  <c r="M388" i="156"/>
  <c r="M389" i="156"/>
  <c r="M390" i="156"/>
  <c r="M391" i="156"/>
  <c r="M392" i="156"/>
  <c r="M393" i="156"/>
  <c r="M394" i="156"/>
  <c r="M395" i="156"/>
  <c r="M396" i="156"/>
  <c r="I313" i="156"/>
  <c r="I315" i="156"/>
  <c r="I317" i="156"/>
  <c r="I319" i="156"/>
  <c r="I321" i="156"/>
  <c r="I323" i="156"/>
  <c r="I325" i="156"/>
  <c r="I326" i="156"/>
  <c r="I327" i="156"/>
  <c r="I328" i="156"/>
  <c r="I330" i="156"/>
  <c r="M397" i="156"/>
  <c r="M398" i="156"/>
  <c r="M399" i="156"/>
  <c r="M400" i="156"/>
  <c r="M407" i="156"/>
  <c r="M408" i="156"/>
  <c r="M409" i="156"/>
  <c r="M410" i="156"/>
  <c r="M411" i="156"/>
  <c r="M412" i="156"/>
  <c r="M413" i="156"/>
  <c r="M414" i="156"/>
  <c r="M415" i="156"/>
  <c r="M416" i="156"/>
  <c r="M417" i="156"/>
  <c r="M418" i="156"/>
  <c r="M419" i="156"/>
  <c r="M420" i="156"/>
  <c r="M421" i="156"/>
  <c r="M422" i="156"/>
  <c r="M423" i="156"/>
  <c r="M424" i="156"/>
  <c r="M425" i="156"/>
  <c r="M426" i="156"/>
  <c r="I314" i="156"/>
  <c r="I316" i="156"/>
  <c r="I318" i="156"/>
  <c r="I320" i="156"/>
  <c r="I322" i="156"/>
  <c r="I324" i="156"/>
  <c r="I329" i="156"/>
  <c r="G7" i="156"/>
  <c r="D7" i="156"/>
  <c r="F7" i="156" s="1"/>
  <c r="D8" i="156"/>
  <c r="F8" i="156" s="1"/>
  <c r="G8" i="156"/>
  <c r="G9" i="156"/>
  <c r="D9" i="156"/>
  <c r="F9" i="156" s="1"/>
  <c r="G10" i="156"/>
  <c r="D10" i="156"/>
  <c r="F10" i="156" s="1"/>
  <c r="P11" i="156"/>
  <c r="R11" i="156" s="1"/>
  <c r="D11" i="156"/>
  <c r="F11" i="156" s="1"/>
  <c r="P12" i="156"/>
  <c r="R12" i="156" s="1"/>
  <c r="D12" i="156"/>
  <c r="F12" i="156" s="1"/>
  <c r="P13" i="156"/>
  <c r="R13" i="156" s="1"/>
  <c r="D13" i="156"/>
  <c r="F13" i="156" s="1"/>
  <c r="P14" i="156"/>
  <c r="R14" i="156" s="1"/>
  <c r="D14" i="156"/>
  <c r="F14" i="156" s="1"/>
  <c r="P15" i="156"/>
  <c r="R15" i="156" s="1"/>
  <c r="D15" i="156"/>
  <c r="F15" i="156" s="1"/>
  <c r="D16" i="156"/>
  <c r="F16" i="156" s="1"/>
  <c r="P16" i="156"/>
  <c r="R16" i="156" s="1"/>
  <c r="D17" i="156"/>
  <c r="F17" i="156" s="1"/>
  <c r="P17" i="156"/>
  <c r="R17" i="156" s="1"/>
  <c r="D18" i="156"/>
  <c r="F18" i="156" s="1"/>
  <c r="P18" i="156"/>
  <c r="R18" i="156" s="1"/>
  <c r="D19" i="156"/>
  <c r="F19" i="156" s="1"/>
  <c r="P19" i="156"/>
  <c r="R19" i="156" s="1"/>
  <c r="D20" i="156"/>
  <c r="F20" i="156" s="1"/>
  <c r="P20" i="156"/>
  <c r="R20" i="156" s="1"/>
  <c r="P120" i="156"/>
  <c r="R120" i="156" s="1"/>
  <c r="D120" i="156"/>
  <c r="F120" i="156" s="1"/>
  <c r="P121" i="156"/>
  <c r="R121" i="156" s="1"/>
  <c r="D121" i="156"/>
  <c r="F121" i="156" s="1"/>
  <c r="P122" i="156"/>
  <c r="R122" i="156" s="1"/>
  <c r="D122" i="156"/>
  <c r="F122" i="156" s="1"/>
  <c r="P123" i="156"/>
  <c r="R123" i="156" s="1"/>
  <c r="D123" i="156"/>
  <c r="F123" i="156" s="1"/>
  <c r="P124" i="156"/>
  <c r="R124" i="156" s="1"/>
  <c r="D124" i="156"/>
  <c r="F124" i="156" s="1"/>
  <c r="P125" i="156"/>
  <c r="R125" i="156" s="1"/>
  <c r="D125" i="156"/>
  <c r="F125" i="156" s="1"/>
  <c r="P126" i="156"/>
  <c r="R126" i="156" s="1"/>
  <c r="D126" i="156"/>
  <c r="F126" i="156" s="1"/>
  <c r="P127" i="156"/>
  <c r="R127" i="156" s="1"/>
  <c r="D127" i="156"/>
  <c r="F127" i="156" s="1"/>
  <c r="D128" i="156"/>
  <c r="F128" i="156" s="1"/>
  <c r="G128" i="156"/>
  <c r="D129" i="156"/>
  <c r="F129" i="156" s="1"/>
  <c r="G129" i="156"/>
  <c r="D130" i="156"/>
  <c r="F130" i="156" s="1"/>
  <c r="G130" i="156"/>
  <c r="G131" i="156"/>
  <c r="D131" i="156"/>
  <c r="F131" i="156" s="1"/>
  <c r="G132" i="156"/>
  <c r="D132" i="156"/>
  <c r="F132" i="156" s="1"/>
  <c r="D133" i="156"/>
  <c r="F133" i="156" s="1"/>
  <c r="S133" i="156"/>
  <c r="U133" i="156" s="1"/>
  <c r="S134" i="156"/>
  <c r="U134" i="156" s="1"/>
  <c r="D134" i="156"/>
  <c r="F134" i="156" s="1"/>
  <c r="D135" i="156"/>
  <c r="F135" i="156" s="1"/>
  <c r="S135" i="156"/>
  <c r="U135" i="156" s="1"/>
  <c r="D136" i="156"/>
  <c r="F136" i="156" s="1"/>
  <c r="S136" i="156"/>
  <c r="U136" i="156" s="1"/>
  <c r="D137" i="156"/>
  <c r="F137" i="156" s="1"/>
  <c r="S137" i="156"/>
  <c r="U137" i="156" s="1"/>
  <c r="S138" i="156"/>
  <c r="U138" i="156" s="1"/>
  <c r="D138" i="156"/>
  <c r="F138" i="156" s="1"/>
  <c r="P139" i="156"/>
  <c r="R139" i="156" s="1"/>
  <c r="D139" i="156"/>
  <c r="F139" i="156" s="1"/>
  <c r="P140" i="156"/>
  <c r="R140" i="156" s="1"/>
  <c r="D140" i="156"/>
  <c r="F140" i="156" s="1"/>
  <c r="P141" i="156"/>
  <c r="R141" i="156" s="1"/>
  <c r="D141" i="156"/>
  <c r="F141" i="156" s="1"/>
  <c r="P142" i="156"/>
  <c r="R142" i="156" s="1"/>
  <c r="D142" i="156"/>
  <c r="F142" i="156" s="1"/>
  <c r="D143" i="156"/>
  <c r="F143" i="156" s="1"/>
  <c r="G143" i="156"/>
  <c r="D144" i="156"/>
  <c r="F144" i="156" s="1"/>
  <c r="G144" i="156"/>
  <c r="G145" i="156"/>
  <c r="D145" i="156"/>
  <c r="F145" i="156" s="1"/>
  <c r="G146" i="156"/>
  <c r="D146" i="156"/>
  <c r="F146" i="156" s="1"/>
  <c r="G147" i="156"/>
  <c r="D147" i="156"/>
  <c r="F147" i="156" s="1"/>
  <c r="G148" i="156"/>
  <c r="D148" i="156"/>
  <c r="F148" i="156" s="1"/>
  <c r="D149" i="156"/>
  <c r="F149" i="156" s="1"/>
  <c r="Y149" i="156"/>
  <c r="AA149" i="156" s="1"/>
  <c r="F151" i="156"/>
  <c r="S151" i="156"/>
  <c r="U151" i="156" s="1"/>
  <c r="P152" i="156"/>
  <c r="R152" i="156" s="1"/>
  <c r="F152" i="156"/>
  <c r="F153" i="156"/>
  <c r="G153" i="156"/>
  <c r="D154" i="156"/>
  <c r="F154" i="156" s="1"/>
  <c r="G154" i="156"/>
  <c r="D155" i="156"/>
  <c r="F155" i="156" s="1"/>
  <c r="G155" i="156"/>
  <c r="S156" i="156"/>
  <c r="U156" i="156" s="1"/>
  <c r="D156" i="156"/>
  <c r="F156" i="156" s="1"/>
  <c r="D157" i="156"/>
  <c r="F157" i="156" s="1"/>
  <c r="S157" i="156"/>
  <c r="U157" i="156" s="1"/>
  <c r="P158" i="156"/>
  <c r="R158" i="156" s="1"/>
  <c r="D158" i="156"/>
  <c r="F158" i="156" s="1"/>
  <c r="P159" i="156"/>
  <c r="R159" i="156" s="1"/>
  <c r="D159" i="156"/>
  <c r="F159" i="156" s="1"/>
  <c r="P160" i="156"/>
  <c r="R160" i="156" s="1"/>
  <c r="D160" i="156"/>
  <c r="F160" i="156" s="1"/>
  <c r="D161" i="156"/>
  <c r="F161" i="156" s="1"/>
  <c r="P161" i="156"/>
  <c r="R161" i="156" s="1"/>
  <c r="P162" i="156"/>
  <c r="R162" i="156" s="1"/>
  <c r="D162" i="156"/>
  <c r="F162" i="156" s="1"/>
  <c r="P163" i="156"/>
  <c r="R163" i="156" s="1"/>
  <c r="D163" i="156"/>
  <c r="F163" i="156" s="1"/>
  <c r="P164" i="156"/>
  <c r="R164" i="156" s="1"/>
  <c r="F164" i="156"/>
  <c r="P165" i="156"/>
  <c r="R165" i="156" s="1"/>
  <c r="D165" i="156"/>
  <c r="F165" i="156" s="1"/>
  <c r="P166" i="156"/>
  <c r="R166" i="156" s="1"/>
  <c r="D166" i="156"/>
  <c r="F166" i="156" s="1"/>
  <c r="P167" i="156"/>
  <c r="R167" i="156" s="1"/>
  <c r="D167" i="156"/>
  <c r="F167" i="156" s="1"/>
  <c r="P168" i="156"/>
  <c r="R168" i="156" s="1"/>
  <c r="D168" i="156"/>
  <c r="F168" i="156" s="1"/>
  <c r="P169" i="156"/>
  <c r="R169" i="156" s="1"/>
  <c r="D169" i="156"/>
  <c r="F169" i="156" s="1"/>
  <c r="P170" i="156"/>
  <c r="R170" i="156" s="1"/>
  <c r="D170" i="156"/>
  <c r="F170" i="156" s="1"/>
  <c r="P171" i="156"/>
  <c r="R171" i="156" s="1"/>
  <c r="D171" i="156"/>
  <c r="F171" i="156" s="1"/>
  <c r="P186" i="156"/>
  <c r="R186" i="156" s="1"/>
  <c r="D186" i="156"/>
  <c r="F186" i="156" s="1"/>
  <c r="D187" i="156"/>
  <c r="F187" i="156" s="1"/>
  <c r="P187" i="156"/>
  <c r="R187" i="156" s="1"/>
  <c r="D188" i="156"/>
  <c r="F188" i="156" s="1"/>
  <c r="P188" i="156"/>
  <c r="R188" i="156" s="1"/>
  <c r="D189" i="156"/>
  <c r="F189" i="156" s="1"/>
  <c r="P189" i="156"/>
  <c r="R189" i="156" s="1"/>
  <c r="D190" i="156"/>
  <c r="F190" i="156" s="1"/>
  <c r="P190" i="156"/>
  <c r="R190" i="156" s="1"/>
  <c r="D191" i="156"/>
  <c r="F191" i="156" s="1"/>
  <c r="P191" i="156"/>
  <c r="R191" i="156" s="1"/>
  <c r="D192" i="156"/>
  <c r="F192" i="156" s="1"/>
  <c r="P192" i="156"/>
  <c r="R192" i="156" s="1"/>
  <c r="D193" i="156"/>
  <c r="F193" i="156" s="1"/>
  <c r="P193" i="156"/>
  <c r="R193" i="156" s="1"/>
  <c r="P194" i="156"/>
  <c r="R194" i="156" s="1"/>
  <c r="D194" i="156"/>
  <c r="F194" i="156" s="1"/>
  <c r="P195" i="156"/>
  <c r="R195" i="156" s="1"/>
  <c r="D195" i="156"/>
  <c r="F195" i="156" s="1"/>
  <c r="P196" i="156"/>
  <c r="R196" i="156" s="1"/>
  <c r="D196" i="156"/>
  <c r="F196" i="156" s="1"/>
  <c r="D197" i="156"/>
  <c r="F197" i="156" s="1"/>
  <c r="P197" i="156"/>
  <c r="R197" i="156" s="1"/>
  <c r="D198" i="156"/>
  <c r="F198" i="156" s="1"/>
  <c r="P198" i="156"/>
  <c r="R198" i="156" s="1"/>
  <c r="D199" i="156"/>
  <c r="F199" i="156" s="1"/>
  <c r="P199" i="156"/>
  <c r="R199" i="156" s="1"/>
  <c r="D200" i="156"/>
  <c r="F200" i="156" s="1"/>
  <c r="P200" i="156"/>
  <c r="R200" i="156" s="1"/>
  <c r="D201" i="156"/>
  <c r="F201" i="156" s="1"/>
  <c r="P201" i="156"/>
  <c r="R201" i="156" s="1"/>
  <c r="D202" i="156"/>
  <c r="F202" i="156" s="1"/>
  <c r="P202" i="156"/>
  <c r="R202" i="156" s="1"/>
  <c r="P203" i="156"/>
  <c r="R203" i="156" s="1"/>
  <c r="D203" i="156"/>
  <c r="F203" i="156" s="1"/>
  <c r="P204" i="156"/>
  <c r="R204" i="156" s="1"/>
  <c r="D204" i="156"/>
  <c r="F204" i="156" s="1"/>
  <c r="P205" i="156"/>
  <c r="R205" i="156" s="1"/>
  <c r="D205" i="156"/>
  <c r="F205" i="156" s="1"/>
  <c r="P206" i="156"/>
  <c r="R206" i="156" s="1"/>
  <c r="D206" i="156"/>
  <c r="F206" i="156" s="1"/>
  <c r="P207" i="156"/>
  <c r="R207" i="156" s="1"/>
  <c r="D207" i="156"/>
  <c r="F207" i="156" s="1"/>
  <c r="P208" i="156"/>
  <c r="R208" i="156" s="1"/>
  <c r="D208" i="156"/>
  <c r="F208" i="156" s="1"/>
  <c r="P209" i="156"/>
  <c r="R209" i="156" s="1"/>
  <c r="D209" i="156"/>
  <c r="F209" i="156" s="1"/>
  <c r="P210" i="156"/>
  <c r="R210" i="156" s="1"/>
  <c r="D210" i="156"/>
  <c r="F210" i="156" s="1"/>
  <c r="P211" i="156"/>
  <c r="R211" i="156" s="1"/>
  <c r="D211" i="156"/>
  <c r="F211" i="156" s="1"/>
  <c r="P212" i="156"/>
  <c r="R212" i="156" s="1"/>
  <c r="D212" i="156"/>
  <c r="F212" i="156" s="1"/>
  <c r="D213" i="156"/>
  <c r="F213" i="156" s="1"/>
  <c r="P213" i="156"/>
  <c r="R213" i="156" s="1"/>
  <c r="P214" i="156"/>
  <c r="R214" i="156" s="1"/>
  <c r="D214" i="156"/>
  <c r="F214" i="156" s="1"/>
  <c r="P215" i="156"/>
  <c r="R215" i="156" s="1"/>
  <c r="D215" i="156"/>
  <c r="F215" i="156" s="1"/>
  <c r="D216" i="156"/>
  <c r="F216" i="156" s="1"/>
  <c r="G216" i="156"/>
  <c r="D217" i="156"/>
  <c r="F217" i="156" s="1"/>
  <c r="G217" i="156"/>
  <c r="G218" i="156"/>
  <c r="D218" i="156"/>
  <c r="F218" i="156" s="1"/>
  <c r="S219" i="156"/>
  <c r="U219" i="156" s="1"/>
  <c r="D219" i="156"/>
  <c r="F219" i="156" s="1"/>
  <c r="S220" i="156"/>
  <c r="U220" i="156" s="1"/>
  <c r="D220" i="156"/>
  <c r="F220" i="156" s="1"/>
  <c r="S221" i="156"/>
  <c r="U221" i="156" s="1"/>
  <c r="D221" i="156"/>
  <c r="F221" i="156" s="1"/>
  <c r="S222" i="156"/>
  <c r="U222" i="156" s="1"/>
  <c r="D222" i="156"/>
  <c r="F222" i="156" s="1"/>
  <c r="S223" i="156"/>
  <c r="U223" i="156" s="1"/>
  <c r="D223" i="156"/>
  <c r="F223" i="156" s="1"/>
  <c r="S224" i="156"/>
  <c r="U224" i="156" s="1"/>
  <c r="D224" i="156"/>
  <c r="F224" i="156" s="1"/>
  <c r="S225" i="156"/>
  <c r="U225" i="156" s="1"/>
  <c r="D225" i="156"/>
  <c r="F225" i="156" s="1"/>
  <c r="S226" i="156"/>
  <c r="U226" i="156" s="1"/>
  <c r="D226" i="156"/>
  <c r="F226" i="156" s="1"/>
  <c r="S227" i="156"/>
  <c r="U227" i="156" s="1"/>
  <c r="D227" i="156"/>
  <c r="F227" i="156" s="1"/>
  <c r="S228" i="156"/>
  <c r="U228" i="156" s="1"/>
  <c r="D228" i="156"/>
  <c r="F228" i="156" s="1"/>
  <c r="D229" i="156"/>
  <c r="F229" i="156" s="1"/>
  <c r="S229" i="156"/>
  <c r="U229" i="156" s="1"/>
  <c r="S230" i="156"/>
  <c r="U230" i="156" s="1"/>
  <c r="D230" i="156"/>
  <c r="F230" i="156" s="1"/>
  <c r="S231" i="156"/>
  <c r="U231" i="156" s="1"/>
  <c r="D231" i="156"/>
  <c r="F231" i="156" s="1"/>
  <c r="S232" i="156"/>
  <c r="U232" i="156" s="1"/>
  <c r="D232" i="156"/>
  <c r="F232" i="156" s="1"/>
  <c r="S233" i="156"/>
  <c r="U233" i="156" s="1"/>
  <c r="D233" i="156"/>
  <c r="F233" i="156" s="1"/>
  <c r="S234" i="156"/>
  <c r="U234" i="156" s="1"/>
  <c r="D234" i="156"/>
  <c r="F234" i="156" s="1"/>
  <c r="S235" i="156"/>
  <c r="U235" i="156" s="1"/>
  <c r="D235" i="156"/>
  <c r="F235" i="156" s="1"/>
  <c r="S236" i="156"/>
  <c r="U236" i="156" s="1"/>
  <c r="D236" i="156"/>
  <c r="F236" i="156" s="1"/>
  <c r="P237" i="156"/>
  <c r="R237" i="156" s="1"/>
  <c r="D237" i="156"/>
  <c r="F237" i="156" s="1"/>
  <c r="D238" i="156"/>
  <c r="F238" i="156" s="1"/>
  <c r="P238" i="156"/>
  <c r="R238" i="156" s="1"/>
  <c r="D239" i="156"/>
  <c r="F239" i="156" s="1"/>
  <c r="P239" i="156"/>
  <c r="R239" i="156" s="1"/>
  <c r="P240" i="156"/>
  <c r="R240" i="156" s="1"/>
  <c r="D240" i="156"/>
  <c r="F240" i="156" s="1"/>
  <c r="D241" i="156"/>
  <c r="F241" i="156" s="1"/>
  <c r="P241" i="156"/>
  <c r="R241" i="156" s="1"/>
  <c r="P242" i="156"/>
  <c r="R242" i="156" s="1"/>
  <c r="D242" i="156"/>
  <c r="F242" i="156" s="1"/>
  <c r="P243" i="156"/>
  <c r="R243" i="156" s="1"/>
  <c r="D243" i="156"/>
  <c r="F243" i="156" s="1"/>
  <c r="G244" i="156"/>
  <c r="D244" i="156"/>
  <c r="F244" i="156" s="1"/>
  <c r="G245" i="156"/>
  <c r="D245" i="156"/>
  <c r="F245" i="156" s="1"/>
  <c r="S246" i="156"/>
  <c r="U246" i="156" s="1"/>
  <c r="D246" i="156"/>
  <c r="F246" i="156" s="1"/>
  <c r="S247" i="156"/>
  <c r="U247" i="156" s="1"/>
  <c r="D247" i="156"/>
  <c r="F247" i="156" s="1"/>
  <c r="D248" i="156"/>
  <c r="F248" i="156" s="1"/>
  <c r="S248" i="156"/>
  <c r="U248" i="156" s="1"/>
  <c r="S249" i="156"/>
  <c r="U249" i="156" s="1"/>
  <c r="D249" i="156"/>
  <c r="F249" i="156" s="1"/>
  <c r="S250" i="156"/>
  <c r="U250" i="156" s="1"/>
  <c r="D250" i="156"/>
  <c r="F250" i="156" s="1"/>
  <c r="S251" i="156"/>
  <c r="U251" i="156" s="1"/>
  <c r="D251" i="156"/>
  <c r="F251" i="156" s="1"/>
  <c r="S252" i="156"/>
  <c r="U252" i="156" s="1"/>
  <c r="D252" i="156"/>
  <c r="F252" i="156" s="1"/>
  <c r="D253" i="156"/>
  <c r="F253" i="156" s="1"/>
  <c r="S253" i="156"/>
  <c r="U253" i="156" s="1"/>
  <c r="D254" i="156"/>
  <c r="F254" i="156" s="1"/>
  <c r="P254" i="156"/>
  <c r="R254" i="156" s="1"/>
  <c r="D255" i="156"/>
  <c r="F255" i="156" s="1"/>
  <c r="P255" i="156"/>
  <c r="R255" i="156" s="1"/>
  <c r="D256" i="156"/>
  <c r="F256" i="156" s="1"/>
  <c r="G256" i="156"/>
  <c r="D257" i="156"/>
  <c r="F257" i="156" s="1"/>
  <c r="G257" i="156"/>
  <c r="D258" i="156"/>
  <c r="F258" i="156" s="1"/>
  <c r="G258" i="156"/>
  <c r="D259" i="156"/>
  <c r="F259" i="156" s="1"/>
  <c r="G259" i="156"/>
  <c r="D260" i="156"/>
  <c r="F260" i="156" s="1"/>
  <c r="G260" i="156"/>
  <c r="G261" i="156"/>
  <c r="D261" i="156"/>
  <c r="F261" i="156" s="1"/>
  <c r="G262" i="156"/>
  <c r="D262" i="156"/>
  <c r="F262" i="156" s="1"/>
  <c r="G263" i="156"/>
  <c r="D263" i="156"/>
  <c r="F263" i="156" s="1"/>
  <c r="D264" i="156"/>
  <c r="F264" i="156" s="1"/>
  <c r="G264" i="156"/>
  <c r="G265" i="156"/>
  <c r="D265" i="156"/>
  <c r="F265" i="156" s="1"/>
  <c r="G266" i="156"/>
  <c r="D266" i="156"/>
  <c r="F266" i="156" s="1"/>
  <c r="G267" i="156"/>
  <c r="D267" i="156"/>
  <c r="F267" i="156" s="1"/>
  <c r="G268" i="156"/>
  <c r="D268" i="156"/>
  <c r="F268" i="156" s="1"/>
  <c r="G269" i="156"/>
  <c r="D269" i="156"/>
  <c r="F269" i="156" s="1"/>
  <c r="G270" i="156"/>
  <c r="D270" i="156"/>
  <c r="F270" i="156" s="1"/>
  <c r="D271" i="156"/>
  <c r="F271" i="156" s="1"/>
  <c r="G271" i="156"/>
  <c r="D272" i="156"/>
  <c r="F272" i="156" s="1"/>
  <c r="G272" i="156"/>
  <c r="G273" i="156"/>
  <c r="D273" i="156"/>
  <c r="F273" i="156" s="1"/>
  <c r="G274" i="156"/>
  <c r="D274" i="156"/>
  <c r="F274" i="156" s="1"/>
  <c r="G275" i="156"/>
  <c r="D275" i="156"/>
  <c r="F275" i="156" s="1"/>
  <c r="D276" i="156"/>
  <c r="F276" i="156" s="1"/>
  <c r="G276" i="156"/>
  <c r="G277" i="156"/>
  <c r="D277" i="156"/>
  <c r="F277" i="156" s="1"/>
  <c r="G278" i="156"/>
  <c r="D278" i="156"/>
  <c r="F278" i="156" s="1"/>
  <c r="G279" i="156"/>
  <c r="D279" i="156"/>
  <c r="F279" i="156" s="1"/>
  <c r="G280" i="156"/>
  <c r="D280" i="156"/>
  <c r="F280" i="156" s="1"/>
  <c r="G281" i="156"/>
  <c r="D281" i="156"/>
  <c r="F281" i="156" s="1"/>
  <c r="D282" i="156"/>
  <c r="F282" i="156" s="1"/>
  <c r="G282" i="156"/>
  <c r="D283" i="156"/>
  <c r="F283" i="156" s="1"/>
  <c r="G283" i="156"/>
  <c r="D284" i="156"/>
  <c r="F284" i="156" s="1"/>
  <c r="G284" i="156"/>
  <c r="D285" i="156"/>
  <c r="F285" i="156" s="1"/>
  <c r="G285" i="156"/>
  <c r="D286" i="156"/>
  <c r="F286" i="156" s="1"/>
  <c r="G286" i="156"/>
  <c r="G287" i="156"/>
  <c r="D287" i="156"/>
  <c r="F287" i="156" s="1"/>
  <c r="G288" i="156"/>
  <c r="D288" i="156"/>
  <c r="F288" i="156" s="1"/>
  <c r="G289" i="156"/>
  <c r="D289" i="156"/>
  <c r="F289" i="156" s="1"/>
  <c r="G290" i="156"/>
  <c r="D290" i="156"/>
  <c r="F290" i="156" s="1"/>
  <c r="G291" i="156"/>
  <c r="D291" i="156"/>
  <c r="F291" i="156" s="1"/>
  <c r="D292" i="156"/>
  <c r="F292" i="156" s="1"/>
  <c r="G292" i="156"/>
  <c r="G293" i="156"/>
  <c r="D293" i="156"/>
  <c r="F293" i="156" s="1"/>
  <c r="D294" i="156"/>
  <c r="F294" i="156" s="1"/>
  <c r="G294" i="156"/>
  <c r="D295" i="156"/>
  <c r="F295" i="156" s="1"/>
  <c r="G295" i="156"/>
  <c r="D296" i="156"/>
  <c r="F296" i="156" s="1"/>
  <c r="G296" i="156"/>
  <c r="D297" i="156"/>
  <c r="F297" i="156" s="1"/>
  <c r="G297" i="156"/>
  <c r="D298" i="156"/>
  <c r="F298" i="156" s="1"/>
  <c r="G298" i="156"/>
  <c r="D299" i="156"/>
  <c r="F299" i="156" s="1"/>
  <c r="G299" i="156"/>
  <c r="G300" i="156"/>
  <c r="D300" i="156"/>
  <c r="F300" i="156" s="1"/>
  <c r="G301" i="156"/>
  <c r="D301" i="156"/>
  <c r="F301" i="156" s="1"/>
  <c r="G302" i="156"/>
  <c r="D302" i="156"/>
  <c r="F302" i="156" s="1"/>
  <c r="D303" i="156"/>
  <c r="F303" i="156" s="1"/>
  <c r="G303" i="156"/>
  <c r="G304" i="156"/>
  <c r="D304" i="156"/>
  <c r="F304" i="156" s="1"/>
  <c r="D305" i="156"/>
  <c r="F305" i="156" s="1"/>
  <c r="G305" i="156"/>
  <c r="G306" i="156"/>
  <c r="D306" i="156"/>
  <c r="F306" i="156" s="1"/>
  <c r="G307" i="156"/>
  <c r="D307" i="156"/>
  <c r="F307" i="156" s="1"/>
  <c r="G308" i="156"/>
  <c r="D308" i="156"/>
  <c r="F308" i="156" s="1"/>
  <c r="D309" i="156"/>
  <c r="F309" i="156" s="1"/>
  <c r="G309" i="156"/>
  <c r="G310" i="156"/>
  <c r="D310" i="156"/>
  <c r="F310" i="156" s="1"/>
  <c r="G311" i="156"/>
  <c r="D311" i="156"/>
  <c r="F311" i="156" s="1"/>
  <c r="D312" i="156"/>
  <c r="F312" i="156" s="1"/>
  <c r="G312" i="156"/>
  <c r="P313" i="156"/>
  <c r="R313" i="156" s="1"/>
  <c r="D313" i="156"/>
  <c r="F313" i="156" s="1"/>
  <c r="P314" i="156"/>
  <c r="R314" i="156" s="1"/>
  <c r="D314" i="156"/>
  <c r="F314" i="156" s="1"/>
  <c r="P315" i="156"/>
  <c r="R315" i="156" s="1"/>
  <c r="D315" i="156"/>
  <c r="F315" i="156" s="1"/>
  <c r="P316" i="156"/>
  <c r="R316" i="156" s="1"/>
  <c r="D316" i="156"/>
  <c r="F316" i="156" s="1"/>
  <c r="P317" i="156"/>
  <c r="R317" i="156" s="1"/>
  <c r="D317" i="156"/>
  <c r="F317" i="156" s="1"/>
  <c r="P318" i="156"/>
  <c r="R318" i="156" s="1"/>
  <c r="D318" i="156"/>
  <c r="F318" i="156" s="1"/>
  <c r="P319" i="156"/>
  <c r="R319" i="156" s="1"/>
  <c r="D319" i="156"/>
  <c r="F319" i="156" s="1"/>
  <c r="P320" i="156"/>
  <c r="R320" i="156" s="1"/>
  <c r="D320" i="156"/>
  <c r="F320" i="156" s="1"/>
  <c r="P321" i="156"/>
  <c r="R321" i="156" s="1"/>
  <c r="D321" i="156"/>
  <c r="F321" i="156" s="1"/>
  <c r="P322" i="156"/>
  <c r="R322" i="156" s="1"/>
  <c r="D322" i="156"/>
  <c r="F322" i="156" s="1"/>
  <c r="P323" i="156"/>
  <c r="R323" i="156" s="1"/>
  <c r="D323" i="156"/>
  <c r="F323" i="156" s="1"/>
  <c r="D324" i="156"/>
  <c r="F324" i="156" s="1"/>
  <c r="P324" i="156"/>
  <c r="R324" i="156" s="1"/>
  <c r="D325" i="156"/>
  <c r="F325" i="156" s="1"/>
  <c r="P325" i="156"/>
  <c r="R325" i="156" s="1"/>
  <c r="P326" i="156"/>
  <c r="R326" i="156" s="1"/>
  <c r="D326" i="156"/>
  <c r="F326" i="156" s="1"/>
  <c r="P327" i="156"/>
  <c r="R327" i="156" s="1"/>
  <c r="D327" i="156"/>
  <c r="F327" i="156" s="1"/>
  <c r="D328" i="156"/>
  <c r="F328" i="156" s="1"/>
  <c r="P328" i="156"/>
  <c r="R328" i="156" s="1"/>
  <c r="P329" i="156"/>
  <c r="R329" i="156" s="1"/>
  <c r="D329" i="156"/>
  <c r="F329" i="156" s="1"/>
  <c r="D330" i="156"/>
  <c r="F330" i="156" s="1"/>
  <c r="P330" i="156"/>
  <c r="R330" i="156" s="1"/>
  <c r="P331" i="156"/>
  <c r="R331" i="156" s="1"/>
  <c r="D331" i="156"/>
  <c r="F331" i="156" s="1"/>
  <c r="D332" i="156"/>
  <c r="P332" i="156"/>
  <c r="R332" i="156" s="1"/>
  <c r="D333" i="156"/>
  <c r="F333" i="156" s="1"/>
  <c r="P333" i="156"/>
  <c r="R333" i="156" s="1"/>
  <c r="P334" i="156"/>
  <c r="R334" i="156" s="1"/>
  <c r="D334" i="156"/>
  <c r="F334" i="156" s="1"/>
  <c r="D335" i="156"/>
  <c r="F335" i="156" s="1"/>
  <c r="P335" i="156"/>
  <c r="R335" i="156" s="1"/>
  <c r="D336" i="156"/>
  <c r="F336" i="156" s="1"/>
  <c r="P336" i="156"/>
  <c r="R336" i="156" s="1"/>
  <c r="P337" i="156"/>
  <c r="R337" i="156" s="1"/>
  <c r="D337" i="156"/>
  <c r="P338" i="156"/>
  <c r="R338" i="156" s="1"/>
  <c r="D338" i="156"/>
  <c r="F338" i="156" s="1"/>
  <c r="D339" i="156"/>
  <c r="P339" i="156"/>
  <c r="R339" i="156" s="1"/>
  <c r="P340" i="156"/>
  <c r="R340" i="156" s="1"/>
  <c r="D340" i="156"/>
  <c r="D341" i="156"/>
  <c r="P341" i="156"/>
  <c r="R341" i="156" s="1"/>
  <c r="D342" i="156"/>
  <c r="F342" i="156" s="1"/>
  <c r="P342" i="156"/>
  <c r="R342" i="156" s="1"/>
  <c r="D343" i="156"/>
  <c r="F343" i="156" s="1"/>
  <c r="P343" i="156"/>
  <c r="R343" i="156" s="1"/>
  <c r="D344" i="156"/>
  <c r="F344" i="156" s="1"/>
  <c r="P344" i="156"/>
  <c r="R344" i="156" s="1"/>
  <c r="D345" i="156"/>
  <c r="F345" i="156" s="1"/>
  <c r="P345" i="156"/>
  <c r="R345" i="156" s="1"/>
  <c r="D382" i="156"/>
  <c r="F382" i="156" s="1"/>
  <c r="P382" i="156"/>
  <c r="R382" i="156" s="1"/>
  <c r="P383" i="156"/>
  <c r="R383" i="156" s="1"/>
  <c r="D383" i="156"/>
  <c r="F383" i="156" s="1"/>
  <c r="D384" i="156"/>
  <c r="F384" i="156" s="1"/>
  <c r="P384" i="156"/>
  <c r="R384" i="156" s="1"/>
  <c r="D385" i="156"/>
  <c r="F385" i="156" s="1"/>
  <c r="P385" i="156"/>
  <c r="R385" i="156" s="1"/>
  <c r="P386" i="156"/>
  <c r="R386" i="156" s="1"/>
  <c r="D386" i="156"/>
  <c r="F386" i="156" s="1"/>
  <c r="P387" i="156"/>
  <c r="R387" i="156" s="1"/>
  <c r="D387" i="156"/>
  <c r="F387" i="156" s="1"/>
  <c r="P388" i="156"/>
  <c r="R388" i="156" s="1"/>
  <c r="D388" i="156"/>
  <c r="F388" i="156" s="1"/>
  <c r="P389" i="156"/>
  <c r="R389" i="156" s="1"/>
  <c r="D389" i="156"/>
  <c r="F389" i="156" s="1"/>
  <c r="P390" i="156"/>
  <c r="R390" i="156" s="1"/>
  <c r="D390" i="156"/>
  <c r="F390" i="156" s="1"/>
  <c r="D391" i="156"/>
  <c r="F391" i="156" s="1"/>
  <c r="P391" i="156"/>
  <c r="R391" i="156" s="1"/>
  <c r="D392" i="156"/>
  <c r="F392" i="156" s="1"/>
  <c r="P392" i="156"/>
  <c r="R392" i="156" s="1"/>
  <c r="D393" i="156"/>
  <c r="F393" i="156" s="1"/>
  <c r="P393" i="156"/>
  <c r="R393" i="156" s="1"/>
  <c r="D394" i="156"/>
  <c r="F394" i="156" s="1"/>
  <c r="P394" i="156"/>
  <c r="R394" i="156" s="1"/>
  <c r="D395" i="156"/>
  <c r="F395" i="156" s="1"/>
  <c r="P395" i="156"/>
  <c r="R395" i="156" s="1"/>
  <c r="D396" i="156"/>
  <c r="F396" i="156" s="1"/>
  <c r="P396" i="156"/>
  <c r="R396" i="156" s="1"/>
  <c r="D397" i="156"/>
  <c r="F397" i="156" s="1"/>
  <c r="P397" i="156"/>
  <c r="R397" i="156" s="1"/>
  <c r="P398" i="156"/>
  <c r="R398" i="156" s="1"/>
  <c r="D398" i="156"/>
  <c r="F398" i="156" s="1"/>
  <c r="D399" i="156"/>
  <c r="F399" i="156" s="1"/>
  <c r="P399" i="156"/>
  <c r="R399" i="156" s="1"/>
  <c r="P400" i="156"/>
  <c r="R400" i="156" s="1"/>
  <c r="D400" i="156"/>
  <c r="F400" i="156" s="1"/>
  <c r="G401" i="156"/>
  <c r="I401" i="156" s="1"/>
  <c r="D401" i="156"/>
  <c r="F401" i="156" s="1"/>
  <c r="D402" i="156"/>
  <c r="F402" i="156" s="1"/>
  <c r="G402" i="156"/>
  <c r="I402" i="156" s="1"/>
  <c r="G403" i="156"/>
  <c r="I403" i="156" s="1"/>
  <c r="D403" i="156"/>
  <c r="F403" i="156" s="1"/>
  <c r="D404" i="156"/>
  <c r="F404" i="156" s="1"/>
  <c r="G404" i="156"/>
  <c r="I404" i="156" s="1"/>
  <c r="G405" i="156"/>
  <c r="I405" i="156" s="1"/>
  <c r="D405" i="156"/>
  <c r="F405" i="156" s="1"/>
  <c r="G406" i="156"/>
  <c r="I406" i="156" s="1"/>
  <c r="D406" i="156"/>
  <c r="F406" i="156" s="1"/>
  <c r="D407" i="156"/>
  <c r="F407" i="156" s="1"/>
  <c r="AB407" i="156"/>
  <c r="AD407" i="156" s="1"/>
  <c r="Y408" i="156"/>
  <c r="AA408" i="156" s="1"/>
  <c r="D408" i="156"/>
  <c r="F408" i="156" s="1"/>
  <c r="D409" i="156"/>
  <c r="F409" i="156" s="1"/>
  <c r="V409" i="156"/>
  <c r="X409" i="156" s="1"/>
  <c r="D457" i="156"/>
  <c r="F457" i="156" s="1"/>
  <c r="AE7" i="156"/>
  <c r="AE8" i="156"/>
  <c r="AA445" i="156"/>
  <c r="X284" i="156"/>
  <c r="X285" i="156"/>
  <c r="X286" i="156"/>
  <c r="X287" i="156"/>
  <c r="X288" i="156"/>
  <c r="X289" i="156"/>
  <c r="X290" i="156"/>
  <c r="X291" i="156"/>
  <c r="X292" i="156"/>
  <c r="X293" i="156"/>
  <c r="X294" i="156"/>
  <c r="X295" i="156"/>
  <c r="X296" i="156"/>
  <c r="X297" i="156"/>
  <c r="X298" i="156"/>
  <c r="X299" i="156"/>
  <c r="X300" i="156"/>
  <c r="X301" i="156"/>
  <c r="X302" i="156"/>
  <c r="X303" i="156"/>
  <c r="X304" i="156"/>
  <c r="X305" i="156"/>
  <c r="X306" i="156"/>
  <c r="X307" i="156"/>
  <c r="X308" i="156"/>
  <c r="X309" i="156"/>
  <c r="X310" i="156"/>
  <c r="X311" i="156"/>
  <c r="X312" i="156"/>
  <c r="X313" i="156"/>
  <c r="X314" i="156"/>
  <c r="X315" i="156"/>
  <c r="X316" i="156"/>
  <c r="X317" i="156"/>
  <c r="X318" i="156"/>
  <c r="X319" i="156"/>
  <c r="X320" i="156"/>
  <c r="X321" i="156"/>
  <c r="X322" i="156"/>
  <c r="X323" i="156"/>
  <c r="X324" i="156"/>
  <c r="X325" i="156"/>
  <c r="X326" i="156"/>
  <c r="X327" i="156"/>
  <c r="X328" i="156"/>
  <c r="X329" i="156"/>
  <c r="X330" i="156"/>
  <c r="X331" i="156"/>
  <c r="X332" i="156"/>
  <c r="X333" i="156"/>
  <c r="X334" i="156"/>
  <c r="X335" i="156"/>
  <c r="U445" i="156"/>
  <c r="U446" i="156"/>
  <c r="U447" i="156"/>
  <c r="U448" i="156"/>
  <c r="U449" i="156"/>
  <c r="U450" i="156"/>
  <c r="U451" i="156"/>
  <c r="U452" i="156"/>
  <c r="U453" i="156"/>
  <c r="U454" i="156"/>
  <c r="U455" i="156"/>
  <c r="U456" i="156"/>
  <c r="U457" i="156"/>
  <c r="U458" i="156"/>
  <c r="U459" i="156"/>
  <c r="U460" i="156"/>
  <c r="U461" i="156"/>
  <c r="U462" i="156"/>
  <c r="U463" i="156"/>
  <c r="U464" i="156"/>
  <c r="U465" i="156"/>
  <c r="U466" i="156"/>
  <c r="U467" i="156"/>
  <c r="U468" i="156"/>
  <c r="U469" i="156"/>
  <c r="U470" i="156"/>
  <c r="U471" i="156"/>
  <c r="U472" i="156"/>
  <c r="U473" i="156"/>
  <c r="U474" i="156"/>
  <c r="U475" i="156"/>
  <c r="U476" i="156"/>
  <c r="U477" i="156"/>
  <c r="U478" i="156"/>
  <c r="U479" i="156"/>
  <c r="U535" i="156"/>
  <c r="R260" i="156"/>
  <c r="R261" i="156"/>
  <c r="R262" i="156"/>
  <c r="R263" i="156"/>
  <c r="R264" i="156"/>
  <c r="R265" i="156"/>
  <c r="R266" i="156"/>
  <c r="R267" i="156"/>
  <c r="R268" i="156"/>
  <c r="R269" i="156"/>
  <c r="R270" i="156"/>
  <c r="R271" i="156"/>
  <c r="R272" i="156"/>
  <c r="R273" i="156"/>
  <c r="R274" i="156"/>
  <c r="R275" i="156"/>
  <c r="R276" i="156"/>
  <c r="R277" i="156"/>
  <c r="R278" i="156"/>
  <c r="R279" i="156"/>
  <c r="R280" i="156"/>
  <c r="R281" i="156"/>
  <c r="R282" i="156"/>
  <c r="R283" i="156"/>
  <c r="R284" i="156"/>
  <c r="R285" i="156"/>
  <c r="R286" i="156"/>
  <c r="R287" i="156"/>
  <c r="R288" i="156"/>
  <c r="R289" i="156"/>
  <c r="R290" i="156"/>
  <c r="R291" i="156"/>
  <c r="R292" i="156"/>
  <c r="R293" i="156"/>
  <c r="R294" i="156"/>
  <c r="R295" i="156"/>
  <c r="R296" i="156"/>
  <c r="R297" i="156"/>
  <c r="R298" i="156"/>
  <c r="R299" i="156"/>
  <c r="R300" i="156"/>
  <c r="R301" i="156"/>
  <c r="R302" i="156"/>
  <c r="R303" i="156"/>
  <c r="R304" i="156"/>
  <c r="R305" i="156"/>
  <c r="R306" i="156"/>
  <c r="R307" i="156"/>
  <c r="R308" i="156"/>
  <c r="R309" i="156"/>
  <c r="R310" i="156"/>
  <c r="R311" i="156"/>
  <c r="R312" i="156"/>
  <c r="R401" i="156"/>
  <c r="R402" i="156"/>
  <c r="R403" i="156"/>
  <c r="R404" i="156"/>
  <c r="R405" i="156"/>
  <c r="R406" i="156"/>
  <c r="R407" i="156"/>
  <c r="R408" i="156"/>
  <c r="R409" i="156"/>
  <c r="R410" i="156"/>
  <c r="R411" i="156"/>
  <c r="R412" i="156"/>
  <c r="R413" i="156"/>
  <c r="R414" i="156"/>
  <c r="R415" i="156"/>
  <c r="R416" i="156"/>
  <c r="R417" i="156"/>
  <c r="R418" i="156"/>
  <c r="R419" i="156"/>
  <c r="R420" i="156"/>
  <c r="R421" i="156"/>
  <c r="R422" i="156"/>
  <c r="R423" i="156"/>
  <c r="R424" i="156"/>
  <c r="R425" i="156"/>
  <c r="R426" i="156"/>
  <c r="R427" i="156"/>
  <c r="R428" i="156"/>
  <c r="R429" i="156"/>
  <c r="R430" i="156"/>
  <c r="R431" i="156"/>
  <c r="R432" i="156"/>
  <c r="R433" i="156"/>
  <c r="R434" i="156"/>
  <c r="R435" i="156"/>
  <c r="R436" i="156"/>
  <c r="R437" i="156"/>
  <c r="R438" i="156"/>
  <c r="R439" i="156"/>
  <c r="R440" i="156"/>
  <c r="R441" i="156"/>
  <c r="R442" i="156"/>
  <c r="R443" i="156"/>
  <c r="R467" i="156"/>
  <c r="R468" i="156"/>
  <c r="R469" i="156"/>
  <c r="R470" i="156"/>
  <c r="R471" i="156"/>
  <c r="R472" i="156"/>
  <c r="R473" i="156"/>
  <c r="R474" i="156"/>
  <c r="R475" i="156"/>
  <c r="R476" i="156"/>
  <c r="R477" i="156"/>
  <c r="R478" i="156"/>
  <c r="R479" i="156"/>
  <c r="R535" i="156"/>
  <c r="L16" i="156"/>
  <c r="L17" i="156"/>
  <c r="L18" i="156"/>
  <c r="L19" i="156"/>
  <c r="L20" i="156"/>
  <c r="L120" i="156"/>
  <c r="L121" i="156"/>
  <c r="L122" i="156"/>
  <c r="L123" i="156"/>
  <c r="L124" i="156"/>
  <c r="L125" i="156"/>
  <c r="L126" i="156"/>
  <c r="L127" i="156"/>
  <c r="L128" i="156"/>
  <c r="L129" i="156"/>
  <c r="L130" i="156"/>
  <c r="L131" i="156"/>
  <c r="L132" i="156"/>
  <c r="L133" i="156"/>
  <c r="L134" i="156"/>
  <c r="L135" i="156"/>
  <c r="L136" i="156"/>
  <c r="L137" i="156"/>
  <c r="L138" i="156"/>
  <c r="L139" i="156"/>
  <c r="L140" i="156"/>
  <c r="L141" i="156"/>
  <c r="L142" i="156"/>
  <c r="L143" i="156"/>
  <c r="L144" i="156"/>
  <c r="L145" i="156"/>
  <c r="L146" i="156"/>
  <c r="L147" i="156"/>
  <c r="L148" i="156"/>
  <c r="L149" i="156"/>
  <c r="L151" i="156"/>
  <c r="M427" i="156"/>
  <c r="M428" i="156"/>
  <c r="M429" i="156"/>
  <c r="M430" i="156"/>
  <c r="M431" i="156"/>
  <c r="M432" i="156"/>
  <c r="M433" i="156"/>
  <c r="M434" i="156"/>
  <c r="M435" i="156"/>
  <c r="M436" i="156"/>
  <c r="M437" i="156"/>
  <c r="M438" i="156"/>
  <c r="M439" i="156"/>
  <c r="M440" i="156"/>
  <c r="M441" i="156"/>
  <c r="M442" i="156"/>
  <c r="M443" i="156"/>
  <c r="M444" i="156"/>
  <c r="M445" i="156"/>
  <c r="M446" i="156"/>
  <c r="M447" i="156"/>
  <c r="M448" i="156"/>
  <c r="M449" i="156"/>
  <c r="M450" i="156"/>
  <c r="M451" i="156"/>
  <c r="M452" i="156"/>
  <c r="M453" i="156"/>
  <c r="M454" i="156"/>
  <c r="M455" i="156"/>
  <c r="M456" i="156"/>
  <c r="M457" i="156"/>
  <c r="M458" i="156"/>
  <c r="M459" i="156"/>
  <c r="M460" i="156"/>
  <c r="M461" i="156"/>
  <c r="M462" i="156"/>
  <c r="M463" i="156"/>
  <c r="M464" i="156"/>
  <c r="M535" i="156"/>
  <c r="M465" i="156"/>
  <c r="M466" i="156"/>
  <c r="AE9" i="156"/>
  <c r="AD9" i="156"/>
  <c r="AE10" i="156"/>
  <c r="AD10" i="156"/>
  <c r="AE11" i="156"/>
  <c r="AD11" i="156"/>
  <c r="AE12" i="156"/>
  <c r="AD12" i="156"/>
  <c r="AE13" i="156"/>
  <c r="AD13" i="156"/>
  <c r="AE14" i="156"/>
  <c r="AD14" i="156"/>
  <c r="AE15" i="156"/>
  <c r="AD15" i="156"/>
  <c r="AE16" i="156"/>
  <c r="AD16" i="156"/>
  <c r="AE17" i="156"/>
  <c r="AD17" i="156"/>
  <c r="AE18" i="156"/>
  <c r="AD18" i="156"/>
  <c r="AE19" i="156"/>
  <c r="AD19" i="156"/>
  <c r="AE20" i="156"/>
  <c r="AD20" i="156"/>
  <c r="AE120" i="156"/>
  <c r="AD120" i="156"/>
  <c r="AE121" i="156"/>
  <c r="AD121" i="156"/>
  <c r="AE122" i="156"/>
  <c r="AD122" i="156"/>
  <c r="AE123" i="156"/>
  <c r="AD123" i="156"/>
  <c r="AE124" i="156"/>
  <c r="AD124" i="156"/>
  <c r="AE125" i="156"/>
  <c r="AD125" i="156"/>
  <c r="AE126" i="156"/>
  <c r="AD126" i="156"/>
  <c r="AE127" i="156"/>
  <c r="AD127" i="156"/>
  <c r="AE128" i="156"/>
  <c r="AD128" i="156"/>
  <c r="AE129" i="156"/>
  <c r="AD129" i="156"/>
  <c r="AE130" i="156"/>
  <c r="AD130" i="156"/>
  <c r="AE131" i="156"/>
  <c r="AD131" i="156"/>
  <c r="AE132" i="156"/>
  <c r="AD132" i="156"/>
  <c r="AE133" i="156"/>
  <c r="AD133" i="156"/>
  <c r="AE134" i="156"/>
  <c r="AD134" i="156"/>
  <c r="AE135" i="156"/>
  <c r="AD135" i="156"/>
  <c r="AE136" i="156"/>
  <c r="AD136" i="156"/>
  <c r="AE137" i="156"/>
  <c r="AD137" i="156"/>
  <c r="AE138" i="156"/>
  <c r="AD138" i="156"/>
  <c r="AE139" i="156"/>
  <c r="AD139" i="156"/>
  <c r="AE140" i="156"/>
  <c r="AD140" i="156"/>
  <c r="AD141" i="156"/>
  <c r="AE141" i="156"/>
  <c r="AD142" i="156"/>
  <c r="AE142" i="156"/>
  <c r="AD143" i="156"/>
  <c r="AE143" i="156"/>
  <c r="AD144" i="156"/>
  <c r="AE144" i="156"/>
  <c r="AD145" i="156"/>
  <c r="AE145" i="156"/>
  <c r="AD146" i="156"/>
  <c r="AE146" i="156"/>
  <c r="AD147" i="156"/>
  <c r="AE147" i="156"/>
  <c r="AD148" i="156"/>
  <c r="AE148" i="156"/>
  <c r="AD149" i="156"/>
  <c r="AE149" i="156"/>
  <c r="AD151" i="156"/>
  <c r="AE151" i="156"/>
  <c r="AD152" i="156"/>
  <c r="AE152" i="156"/>
  <c r="AD153" i="156"/>
  <c r="AE153" i="156"/>
  <c r="AE154" i="156"/>
  <c r="AD154" i="156"/>
  <c r="AE155" i="156"/>
  <c r="AD155" i="156"/>
  <c r="AE156" i="156"/>
  <c r="AD156" i="156"/>
  <c r="AE157" i="156"/>
  <c r="AD157" i="156"/>
  <c r="AE158" i="156"/>
  <c r="AD158" i="156"/>
  <c r="AE159" i="156"/>
  <c r="AD159" i="156"/>
  <c r="AE160" i="156"/>
  <c r="AD160" i="156"/>
  <c r="AE161" i="156"/>
  <c r="AD161" i="156"/>
  <c r="AE162" i="156"/>
  <c r="AD162" i="156"/>
  <c r="AE163" i="156"/>
  <c r="AD163" i="156"/>
  <c r="AE164" i="156"/>
  <c r="AD164" i="156"/>
  <c r="AD165" i="156"/>
  <c r="AE165" i="156"/>
  <c r="AE166" i="156"/>
  <c r="AD166" i="156"/>
  <c r="AE167" i="156"/>
  <c r="AD167" i="156"/>
  <c r="AE168" i="156"/>
  <c r="AD168" i="156"/>
  <c r="AE169" i="156"/>
  <c r="AD169" i="156"/>
  <c r="AE170" i="156"/>
  <c r="AD170" i="156"/>
  <c r="AE171" i="156"/>
  <c r="AD171" i="156"/>
  <c r="AE186" i="156"/>
  <c r="AD186" i="156"/>
  <c r="AE187" i="156"/>
  <c r="AD187" i="156"/>
  <c r="AE188" i="156"/>
  <c r="AD188" i="156"/>
  <c r="AD189" i="156"/>
  <c r="AE189" i="156"/>
  <c r="AE190" i="156"/>
  <c r="AD190" i="156"/>
  <c r="AE191" i="156"/>
  <c r="AD191" i="156"/>
  <c r="AE192" i="156"/>
  <c r="AD192" i="156"/>
  <c r="AD193" i="156"/>
  <c r="AE193" i="156"/>
  <c r="AD194" i="156"/>
  <c r="AE194" i="156"/>
  <c r="AE195" i="156"/>
  <c r="AD195" i="156"/>
  <c r="AD196" i="156"/>
  <c r="AE196" i="156"/>
  <c r="AE197" i="156"/>
  <c r="AD197" i="156"/>
  <c r="AD198" i="156"/>
  <c r="AE198" i="156"/>
  <c r="AD199" i="156"/>
  <c r="AE199" i="156"/>
  <c r="AE200" i="156"/>
  <c r="AD200" i="156"/>
  <c r="AE201" i="156"/>
  <c r="AD201" i="156"/>
  <c r="AD202" i="156"/>
  <c r="AE202" i="156"/>
  <c r="AE203" i="156"/>
  <c r="AD203" i="156"/>
  <c r="AE204" i="156"/>
  <c r="AD204" i="156"/>
  <c r="AE205" i="156"/>
  <c r="AD205" i="156"/>
  <c r="AD206" i="156"/>
  <c r="AE206" i="156"/>
  <c r="AD207" i="156"/>
  <c r="AE207" i="156"/>
  <c r="AD208" i="156"/>
  <c r="AE208" i="156"/>
  <c r="AE209" i="156"/>
  <c r="AD209" i="156"/>
  <c r="AE210" i="156"/>
  <c r="AD210" i="156"/>
  <c r="AE211" i="156"/>
  <c r="AD211" i="156"/>
  <c r="AE212" i="156"/>
  <c r="AD212" i="156"/>
  <c r="AD213" i="156"/>
  <c r="AE213" i="156"/>
  <c r="AE214" i="156"/>
  <c r="AD214" i="156"/>
  <c r="AE215" i="156"/>
  <c r="AD215" i="156"/>
  <c r="AE216" i="156"/>
  <c r="AD216" i="156"/>
  <c r="AD217" i="156"/>
  <c r="AE217" i="156"/>
  <c r="AD218" i="156"/>
  <c r="AE218" i="156"/>
  <c r="AD219" i="156"/>
  <c r="AE219" i="156"/>
  <c r="AD220" i="156"/>
  <c r="AE220" i="156"/>
  <c r="AE221" i="156"/>
  <c r="AD221" i="156"/>
  <c r="AE222" i="156"/>
  <c r="AD222" i="156"/>
  <c r="AE223" i="156"/>
  <c r="AD223" i="156"/>
  <c r="AE224" i="156"/>
  <c r="AD224" i="156"/>
  <c r="AD225" i="156"/>
  <c r="AE225" i="156"/>
  <c r="AD226" i="156"/>
  <c r="AE226" i="156"/>
  <c r="AD227" i="156"/>
  <c r="AE227" i="156"/>
  <c r="AD228" i="156"/>
  <c r="AE228" i="156"/>
  <c r="AD229" i="156"/>
  <c r="AE229" i="156"/>
  <c r="AE230" i="156"/>
  <c r="AD230" i="156"/>
  <c r="AE231" i="156"/>
  <c r="AD231" i="156"/>
  <c r="AE232" i="156"/>
  <c r="AD232" i="156"/>
  <c r="AE233" i="156"/>
  <c r="AD233" i="156"/>
  <c r="AE234" i="156"/>
  <c r="AD234" i="156"/>
  <c r="AE235" i="156"/>
  <c r="AD235" i="156"/>
  <c r="AE236" i="156"/>
  <c r="AD236" i="156"/>
  <c r="AD237" i="156"/>
  <c r="AE237" i="156"/>
  <c r="AD238" i="156"/>
  <c r="AE238" i="156"/>
  <c r="AE239" i="156"/>
  <c r="AD239" i="156"/>
  <c r="AD240" i="156"/>
  <c r="AE240" i="156"/>
  <c r="AD241" i="156"/>
  <c r="AE241" i="156"/>
  <c r="AD242" i="156"/>
  <c r="AE242" i="156"/>
  <c r="AD243" i="156"/>
  <c r="AE243" i="156"/>
  <c r="AD244" i="156"/>
  <c r="AE244" i="156"/>
  <c r="AD245" i="156"/>
  <c r="AE245" i="156"/>
  <c r="AD246" i="156"/>
  <c r="AE246" i="156"/>
  <c r="AD247" i="156"/>
  <c r="AD248" i="156"/>
  <c r="AE248" i="156"/>
  <c r="AD249" i="156"/>
  <c r="AE249" i="156"/>
  <c r="AD250" i="156"/>
  <c r="AE250" i="156"/>
  <c r="AD251" i="156"/>
  <c r="AE251" i="156"/>
  <c r="AD252" i="156"/>
  <c r="AE252" i="156"/>
  <c r="AE253" i="156"/>
  <c r="AD253" i="156"/>
  <c r="AE254" i="156"/>
  <c r="AD254" i="156"/>
  <c r="AE255" i="156"/>
  <c r="AD255" i="156"/>
  <c r="AE256" i="156"/>
  <c r="AD256" i="156"/>
  <c r="AE257" i="156"/>
  <c r="AD257" i="156"/>
  <c r="AD258" i="156"/>
  <c r="AE258" i="156"/>
  <c r="AD259" i="156"/>
  <c r="AE259" i="156"/>
  <c r="AD260" i="156"/>
  <c r="AE260" i="156"/>
  <c r="AE261" i="156"/>
  <c r="AD261" i="156"/>
  <c r="AE262" i="156"/>
  <c r="AD262" i="156"/>
  <c r="AD263" i="156"/>
  <c r="AE263" i="156"/>
  <c r="AE264" i="156"/>
  <c r="AD264" i="156"/>
  <c r="AD265" i="156"/>
  <c r="AE265" i="156"/>
  <c r="AD266" i="156"/>
  <c r="AE266" i="156"/>
  <c r="AE267" i="156"/>
  <c r="AD267" i="156"/>
  <c r="AD268" i="156"/>
  <c r="AE268" i="156"/>
  <c r="AD269" i="156"/>
  <c r="AE269" i="156"/>
  <c r="AD270" i="156"/>
  <c r="AE270" i="156"/>
  <c r="AE271" i="156"/>
  <c r="AD271" i="156"/>
  <c r="AD272" i="156"/>
  <c r="AE272" i="156"/>
  <c r="AE273" i="156"/>
  <c r="AD273" i="156"/>
  <c r="AE274" i="156"/>
  <c r="AD274" i="156"/>
  <c r="AD275" i="156"/>
  <c r="AE275" i="156"/>
  <c r="AD276" i="156"/>
  <c r="AE276" i="156"/>
  <c r="AE277" i="156"/>
  <c r="AD277" i="156"/>
  <c r="AE278" i="156"/>
  <c r="AD278" i="156"/>
  <c r="AD279" i="156"/>
  <c r="AE279" i="156"/>
  <c r="AD280" i="156"/>
  <c r="AE280" i="156"/>
  <c r="AE281" i="156"/>
  <c r="AD281" i="156"/>
  <c r="AE282" i="156"/>
  <c r="AD282" i="156"/>
  <c r="AE283" i="156"/>
  <c r="AD283" i="156"/>
  <c r="AD284" i="156"/>
  <c r="AE284" i="156"/>
  <c r="AD285" i="156"/>
  <c r="AE285" i="156"/>
  <c r="AD286" i="156"/>
  <c r="AE286" i="156"/>
  <c r="AD287" i="156"/>
  <c r="AE287" i="156"/>
  <c r="AD288" i="156"/>
  <c r="AE288" i="156"/>
  <c r="AD289" i="156"/>
  <c r="AE289" i="156"/>
  <c r="AE290" i="156"/>
  <c r="AD290" i="156"/>
  <c r="AE291" i="156"/>
  <c r="AD291" i="156"/>
  <c r="AE292" i="156"/>
  <c r="AD292" i="156"/>
  <c r="AE293" i="156"/>
  <c r="AD293" i="156"/>
  <c r="AE294" i="156"/>
  <c r="AD294" i="156"/>
  <c r="AD295" i="156"/>
  <c r="AE295" i="156"/>
  <c r="AD296" i="156"/>
  <c r="AE296" i="156"/>
  <c r="AD297" i="156"/>
  <c r="AE297" i="156"/>
  <c r="AD298" i="156"/>
  <c r="AE298" i="156"/>
  <c r="AD299" i="156"/>
  <c r="AE299" i="156"/>
  <c r="AD300" i="156"/>
  <c r="AE300" i="156"/>
  <c r="AD301" i="156"/>
  <c r="AE301" i="156"/>
  <c r="AE302" i="156"/>
  <c r="AD302" i="156"/>
  <c r="AD303" i="156"/>
  <c r="AE303" i="156"/>
  <c r="AD304" i="156"/>
  <c r="AE304" i="156"/>
  <c r="AE305" i="156"/>
  <c r="AD305" i="156"/>
  <c r="AE306" i="156"/>
  <c r="AD306" i="156"/>
  <c r="AE307" i="156"/>
  <c r="AD307" i="156"/>
  <c r="AE308" i="156"/>
  <c r="AD308" i="156"/>
  <c r="AE309" i="156"/>
  <c r="AD309" i="156"/>
  <c r="AE310" i="156"/>
  <c r="AD310" i="156"/>
  <c r="AE311" i="156"/>
  <c r="AD311" i="156"/>
  <c r="AE312" i="156"/>
  <c r="AD312" i="156"/>
  <c r="AE313" i="156"/>
  <c r="AD313" i="156"/>
  <c r="AE314" i="156"/>
  <c r="AD314" i="156"/>
  <c r="AE315" i="156"/>
  <c r="AD315" i="156"/>
  <c r="AE316" i="156"/>
  <c r="AD316" i="156"/>
  <c r="AE317" i="156"/>
  <c r="AD317" i="156"/>
  <c r="AE318" i="156"/>
  <c r="AD318" i="156"/>
  <c r="AE319" i="156"/>
  <c r="AD319" i="156"/>
  <c r="AE320" i="156"/>
  <c r="AD320" i="156"/>
  <c r="AE321" i="156"/>
  <c r="AD321" i="156"/>
  <c r="AD322" i="156"/>
  <c r="AE322" i="156"/>
  <c r="AD323" i="156"/>
  <c r="AE323" i="156"/>
  <c r="AD324" i="156"/>
  <c r="AE324" i="156"/>
  <c r="AD325" i="156"/>
  <c r="AE325" i="156"/>
  <c r="AE326" i="156"/>
  <c r="AD326" i="156"/>
  <c r="AE327" i="156"/>
  <c r="AD327" i="156"/>
  <c r="AE328" i="156"/>
  <c r="AD328" i="156"/>
  <c r="AE329" i="156"/>
  <c r="AD329" i="156"/>
  <c r="AE330" i="156"/>
  <c r="AD330" i="156"/>
  <c r="AE331" i="156"/>
  <c r="AD331" i="156"/>
  <c r="AD332" i="156"/>
  <c r="AE332" i="156"/>
  <c r="AD333" i="156"/>
  <c r="AE333" i="156"/>
  <c r="AD334" i="156"/>
  <c r="AE334" i="156"/>
  <c r="AD335" i="156"/>
  <c r="AE335" i="156"/>
  <c r="AD336" i="156"/>
  <c r="AE336" i="156"/>
  <c r="AD337" i="156"/>
  <c r="AE337" i="156"/>
  <c r="AD338" i="156"/>
  <c r="AE338" i="156"/>
  <c r="AD339" i="156"/>
  <c r="AE339" i="156"/>
  <c r="AD340" i="156"/>
  <c r="AE340" i="156"/>
  <c r="AE341" i="156"/>
  <c r="AD341" i="156"/>
  <c r="AE342" i="156"/>
  <c r="AD342" i="156"/>
  <c r="AE343" i="156"/>
  <c r="AD343" i="156"/>
  <c r="AE344" i="156"/>
  <c r="AD344" i="156"/>
  <c r="AE345" i="156"/>
  <c r="AD345" i="156"/>
  <c r="AE382" i="156"/>
  <c r="AD382" i="156"/>
  <c r="AE383" i="156"/>
  <c r="AD383" i="156"/>
  <c r="AE384" i="156"/>
  <c r="AD384" i="156"/>
  <c r="AE385" i="156"/>
  <c r="AD385" i="156"/>
  <c r="AE386" i="156"/>
  <c r="AD386" i="156"/>
  <c r="AE387" i="156"/>
  <c r="AD387" i="156"/>
  <c r="AE388" i="156"/>
  <c r="AD388" i="156"/>
  <c r="AE389" i="156"/>
  <c r="AD389" i="156"/>
  <c r="AE390" i="156"/>
  <c r="AD390" i="156"/>
  <c r="AE391" i="156"/>
  <c r="AD391" i="156"/>
  <c r="AE392" i="156"/>
  <c r="AD392" i="156"/>
  <c r="AE393" i="156"/>
  <c r="AD393" i="156"/>
  <c r="AE394" i="156"/>
  <c r="AD394" i="156"/>
  <c r="AE395" i="156"/>
  <c r="AD395" i="156"/>
  <c r="AE396" i="156"/>
  <c r="AD396" i="156"/>
  <c r="AE397" i="156"/>
  <c r="AD397" i="156"/>
  <c r="AE398" i="156"/>
  <c r="AD398" i="156"/>
  <c r="AE399" i="156"/>
  <c r="AD399" i="156"/>
  <c r="AE400" i="156"/>
  <c r="AD400" i="156"/>
  <c r="AE401" i="156"/>
  <c r="AD401" i="156"/>
  <c r="AE402" i="156"/>
  <c r="AD402" i="156"/>
  <c r="AD403" i="156"/>
  <c r="AE403" i="156"/>
  <c r="AE404" i="156"/>
  <c r="AD404" i="156"/>
  <c r="AE405" i="156"/>
  <c r="AD405" i="156"/>
  <c r="AE406" i="156"/>
  <c r="AD406" i="156"/>
  <c r="AE407" i="156"/>
  <c r="AE408" i="156"/>
  <c r="AD408" i="156"/>
  <c r="AE409" i="156"/>
  <c r="AD409" i="156"/>
  <c r="AE410" i="156"/>
  <c r="AD410" i="156"/>
  <c r="AE411" i="156"/>
  <c r="AD411" i="156"/>
  <c r="AE412" i="156"/>
  <c r="AD412" i="156"/>
  <c r="AE413" i="156"/>
  <c r="AD413" i="156"/>
  <c r="AE414" i="156"/>
  <c r="AD414" i="156"/>
  <c r="AE415" i="156"/>
  <c r="AD415" i="156"/>
  <c r="AE416" i="156"/>
  <c r="AD416" i="156"/>
  <c r="AE417" i="156"/>
  <c r="AD417" i="156"/>
  <c r="AE418" i="156"/>
  <c r="AD418" i="156"/>
  <c r="AD419" i="156"/>
  <c r="AE419" i="156"/>
  <c r="AD420" i="156"/>
  <c r="AE420" i="156"/>
  <c r="AD421" i="156"/>
  <c r="AE421" i="156"/>
  <c r="AE422" i="156"/>
  <c r="AD422" i="156"/>
  <c r="AD423" i="156"/>
  <c r="AE423" i="156"/>
  <c r="AE424" i="156"/>
  <c r="AD424" i="156"/>
  <c r="AD425" i="156"/>
  <c r="AE425" i="156"/>
  <c r="AD426" i="156"/>
  <c r="AE426" i="156"/>
  <c r="AD427" i="156"/>
  <c r="AE427" i="156"/>
  <c r="AD428" i="156"/>
  <c r="AE428" i="156"/>
  <c r="AD429" i="156"/>
  <c r="AE429" i="156"/>
  <c r="AE430" i="156"/>
  <c r="AD430" i="156"/>
  <c r="AE431" i="156"/>
  <c r="AD431" i="156"/>
  <c r="AD432" i="156"/>
  <c r="AE432" i="156"/>
  <c r="AE433" i="156"/>
  <c r="AD433" i="156"/>
  <c r="AD434" i="156"/>
  <c r="AE434" i="156"/>
  <c r="AD435" i="156"/>
  <c r="AE435" i="156"/>
  <c r="AD436" i="156"/>
  <c r="AE436" i="156"/>
  <c r="AD437" i="156"/>
  <c r="AE437" i="156"/>
  <c r="AE438" i="156"/>
  <c r="AD438" i="156"/>
  <c r="AD439" i="156"/>
  <c r="AE439" i="156"/>
  <c r="AE440" i="156"/>
  <c r="AD440" i="156"/>
  <c r="AE441" i="156"/>
  <c r="AD441" i="156"/>
  <c r="AE442" i="156"/>
  <c r="AD442" i="156"/>
  <c r="AE443" i="156"/>
  <c r="AD443" i="156"/>
  <c r="AE444" i="156"/>
  <c r="AD444" i="156"/>
  <c r="AE445" i="156"/>
  <c r="AD445" i="156"/>
  <c r="AE446" i="156"/>
  <c r="AD446" i="156"/>
  <c r="AE447" i="156"/>
  <c r="AD447" i="156"/>
  <c r="AE448" i="156"/>
  <c r="AD448" i="156"/>
  <c r="AE449" i="156"/>
  <c r="AD449" i="156"/>
  <c r="AE450" i="156"/>
  <c r="AD450" i="156"/>
  <c r="AE451" i="156"/>
  <c r="AD451" i="156"/>
  <c r="AD452" i="156"/>
  <c r="AE452" i="156"/>
  <c r="AD453" i="156"/>
  <c r="AE453" i="156"/>
  <c r="AD454" i="156"/>
  <c r="AE454" i="156"/>
  <c r="AE455" i="156"/>
  <c r="AD455" i="156"/>
  <c r="AE456" i="156"/>
  <c r="AD456" i="156"/>
  <c r="AD457" i="156"/>
  <c r="AE457" i="156"/>
  <c r="AD458" i="156"/>
  <c r="AE458" i="156"/>
  <c r="AD459" i="156"/>
  <c r="AE459" i="156"/>
  <c r="AE460" i="156"/>
  <c r="AD460" i="156"/>
  <c r="AD461" i="156"/>
  <c r="AE461" i="156"/>
  <c r="AD462" i="156"/>
  <c r="AE462" i="156"/>
  <c r="AD463" i="156"/>
  <c r="AE463" i="156"/>
  <c r="AD464" i="156"/>
  <c r="AE464" i="156"/>
  <c r="AD465" i="156"/>
  <c r="AE465" i="156"/>
  <c r="AD466" i="156"/>
  <c r="AE466" i="156"/>
  <c r="AD467" i="156"/>
  <c r="AE467" i="156"/>
  <c r="AD468" i="156"/>
  <c r="AE468" i="156"/>
  <c r="AD469" i="156"/>
  <c r="AE469" i="156"/>
  <c r="AE470" i="156"/>
  <c r="AD470" i="156"/>
  <c r="AD471" i="156"/>
  <c r="AE471" i="156"/>
  <c r="AD472" i="156"/>
  <c r="AE472" i="156"/>
  <c r="AE473" i="156"/>
  <c r="AD473" i="156"/>
  <c r="AE474" i="156"/>
  <c r="AD474" i="156"/>
  <c r="AE475" i="156"/>
  <c r="AD475" i="156"/>
  <c r="AE476" i="156"/>
  <c r="AD476" i="156"/>
  <c r="AE477" i="156"/>
  <c r="AD477" i="156"/>
  <c r="AE478" i="156"/>
  <c r="AD478" i="156"/>
  <c r="AE479" i="156"/>
  <c r="AD479" i="156"/>
  <c r="AD535" i="156"/>
  <c r="AE535" i="156"/>
  <c r="N152" i="156"/>
  <c r="L152" i="156"/>
  <c r="N153" i="156"/>
  <c r="L153" i="156"/>
  <c r="N154" i="156"/>
  <c r="L154" i="156"/>
  <c r="N155" i="156"/>
  <c r="L155" i="156"/>
  <c r="N156" i="156"/>
  <c r="L156" i="156"/>
  <c r="N157" i="156"/>
  <c r="L157" i="156"/>
  <c r="N158" i="156"/>
  <c r="L158" i="156"/>
  <c r="N159" i="156"/>
  <c r="L159" i="156"/>
  <c r="N160" i="156"/>
  <c r="L160" i="156"/>
  <c r="N161" i="156"/>
  <c r="L161" i="156"/>
  <c r="N162" i="156"/>
  <c r="L162" i="156"/>
  <c r="N163" i="156"/>
  <c r="L163" i="156"/>
  <c r="N164" i="156"/>
  <c r="L164" i="156"/>
  <c r="N165" i="156"/>
  <c r="L165" i="156"/>
  <c r="N166" i="156"/>
  <c r="L166" i="156"/>
  <c r="N167" i="156"/>
  <c r="L167" i="156"/>
  <c r="N168" i="156"/>
  <c r="L168" i="156"/>
  <c r="N169" i="156"/>
  <c r="L169" i="156"/>
  <c r="N170" i="156"/>
  <c r="L170" i="156"/>
  <c r="N171" i="156"/>
  <c r="L171" i="156"/>
  <c r="L186" i="156"/>
  <c r="N186" i="156"/>
  <c r="L187" i="156"/>
  <c r="N187" i="156"/>
  <c r="L188" i="156"/>
  <c r="N188" i="156"/>
  <c r="L189" i="156"/>
  <c r="N189" i="156"/>
  <c r="L190" i="156"/>
  <c r="N190" i="156"/>
  <c r="N191" i="156"/>
  <c r="L191" i="156"/>
  <c r="L192" i="156"/>
  <c r="N192" i="156"/>
  <c r="N193" i="156"/>
  <c r="L193" i="156"/>
  <c r="L194" i="156"/>
  <c r="N194" i="156"/>
  <c r="L195" i="156"/>
  <c r="N195" i="156"/>
  <c r="N196" i="156"/>
  <c r="L196" i="156"/>
  <c r="N197" i="156"/>
  <c r="L197" i="156"/>
  <c r="L198" i="156"/>
  <c r="N198" i="156"/>
  <c r="L199" i="156"/>
  <c r="N199" i="156"/>
  <c r="L200" i="156"/>
  <c r="N200" i="156"/>
  <c r="L201" i="156"/>
  <c r="N201" i="156"/>
  <c r="L202" i="156"/>
  <c r="N202" i="156"/>
  <c r="L203" i="156"/>
  <c r="N203" i="156"/>
  <c r="L204" i="156"/>
  <c r="N204" i="156"/>
  <c r="N205" i="156"/>
  <c r="L205" i="156"/>
  <c r="N206" i="156"/>
  <c r="L206" i="156"/>
  <c r="N207" i="156"/>
  <c r="L207" i="156"/>
  <c r="L208" i="156"/>
  <c r="N208" i="156"/>
  <c r="L209" i="156"/>
  <c r="N209" i="156"/>
  <c r="L210" i="156"/>
  <c r="N210" i="156"/>
  <c r="N211" i="156"/>
  <c r="L211" i="156"/>
  <c r="N212" i="156"/>
  <c r="L212" i="156"/>
  <c r="N213" i="156"/>
  <c r="L213" i="156"/>
  <c r="N214" i="156"/>
  <c r="L214" i="156"/>
  <c r="N215" i="156"/>
  <c r="L215" i="156"/>
  <c r="N216" i="156"/>
  <c r="L216" i="156"/>
  <c r="N217" i="156"/>
  <c r="L217" i="156"/>
  <c r="N218" i="156"/>
  <c r="L218" i="156"/>
  <c r="L219" i="156"/>
  <c r="N219" i="156"/>
  <c r="N220" i="156"/>
  <c r="L220" i="156"/>
  <c r="L221" i="156"/>
  <c r="N221" i="156"/>
  <c r="L222" i="156"/>
  <c r="N222" i="156"/>
  <c r="N223" i="156"/>
  <c r="L223" i="156"/>
  <c r="N224" i="156"/>
  <c r="L224" i="156"/>
  <c r="L225" i="156"/>
  <c r="N225" i="156"/>
  <c r="L226" i="156"/>
  <c r="N226" i="156"/>
  <c r="N227" i="156"/>
  <c r="L227" i="156"/>
  <c r="N228" i="156"/>
  <c r="L228" i="156"/>
  <c r="L229" i="156"/>
  <c r="N229" i="156"/>
  <c r="N230" i="156"/>
  <c r="L230" i="156"/>
  <c r="L231" i="156"/>
  <c r="N231" i="156"/>
  <c r="L232" i="156"/>
  <c r="N232" i="156"/>
  <c r="L233" i="156"/>
  <c r="N233" i="156"/>
  <c r="L234" i="156"/>
  <c r="N234" i="156"/>
  <c r="L235" i="156"/>
  <c r="N235" i="156"/>
  <c r="N236" i="156"/>
  <c r="L236" i="156"/>
  <c r="N237" i="156"/>
  <c r="L237" i="156"/>
  <c r="N238" i="156"/>
  <c r="L238" i="156"/>
  <c r="N239" i="156"/>
  <c r="L239" i="156"/>
  <c r="L240" i="156"/>
  <c r="N240" i="156"/>
  <c r="L241" i="156"/>
  <c r="N241" i="156"/>
  <c r="N242" i="156"/>
  <c r="L242" i="156"/>
  <c r="N243" i="156"/>
  <c r="L243" i="156"/>
  <c r="L244" i="156"/>
  <c r="N244" i="156"/>
  <c r="L245" i="156"/>
  <c r="N245" i="156"/>
  <c r="L246" i="156"/>
  <c r="N246" i="156"/>
  <c r="L247" i="156"/>
  <c r="N248" i="156"/>
  <c r="L248" i="156"/>
  <c r="N249" i="156"/>
  <c r="L249" i="156"/>
  <c r="N250" i="156"/>
  <c r="L250" i="156"/>
  <c r="N251" i="156"/>
  <c r="L251" i="156"/>
  <c r="N252" i="156"/>
  <c r="L252" i="156"/>
  <c r="N253" i="156"/>
  <c r="L253" i="156"/>
  <c r="N254" i="156"/>
  <c r="L254" i="156"/>
  <c r="N255" i="156"/>
  <c r="L255" i="156"/>
  <c r="N256" i="156"/>
  <c r="L256" i="156"/>
  <c r="N257" i="156"/>
  <c r="L257" i="156"/>
  <c r="N258" i="156"/>
  <c r="L258" i="156"/>
  <c r="N259" i="156"/>
  <c r="L259" i="156"/>
  <c r="N260" i="156"/>
  <c r="L260" i="156"/>
  <c r="N261" i="156"/>
  <c r="L261" i="156"/>
  <c r="N262" i="156"/>
  <c r="L262" i="156"/>
  <c r="N263" i="156"/>
  <c r="L263" i="156"/>
  <c r="N264" i="156"/>
  <c r="L264" i="156"/>
  <c r="N265" i="156"/>
  <c r="L265" i="156"/>
  <c r="N266" i="156"/>
  <c r="L266" i="156"/>
  <c r="N267" i="156"/>
  <c r="L267" i="156"/>
  <c r="N268" i="156"/>
  <c r="L268" i="156"/>
  <c r="N269" i="156"/>
  <c r="L269" i="156"/>
  <c r="L270" i="156"/>
  <c r="N270" i="156"/>
  <c r="L271" i="156"/>
  <c r="N271" i="156"/>
  <c r="L272" i="156"/>
  <c r="N272" i="156"/>
  <c r="L273" i="156"/>
  <c r="N273" i="156"/>
  <c r="N274" i="156"/>
  <c r="L274" i="156"/>
  <c r="L275" i="156"/>
  <c r="N275" i="156"/>
  <c r="L276" i="156"/>
  <c r="N276" i="156"/>
  <c r="L277" i="156"/>
  <c r="N277" i="156"/>
  <c r="N278" i="156"/>
  <c r="L278" i="156"/>
  <c r="L279" i="156"/>
  <c r="N279" i="156"/>
  <c r="L280" i="156"/>
  <c r="N280" i="156"/>
  <c r="L281" i="156"/>
  <c r="N281" i="156"/>
  <c r="L282" i="156"/>
  <c r="N282" i="156"/>
  <c r="L283" i="156"/>
  <c r="N283" i="156"/>
  <c r="L284" i="156"/>
  <c r="N284" i="156"/>
  <c r="N285" i="156"/>
  <c r="L285" i="156"/>
  <c r="L286" i="156"/>
  <c r="N286" i="156"/>
  <c r="N287" i="156"/>
  <c r="L287" i="156"/>
  <c r="L288" i="156"/>
  <c r="N288" i="156"/>
  <c r="L289" i="156"/>
  <c r="N289" i="156"/>
  <c r="N290" i="156"/>
  <c r="L290" i="156"/>
  <c r="N291" i="156"/>
  <c r="L291" i="156"/>
  <c r="L292" i="156"/>
  <c r="N292" i="156"/>
  <c r="N293" i="156"/>
  <c r="L293" i="156"/>
  <c r="N294" i="156"/>
  <c r="L294" i="156"/>
  <c r="L295" i="156"/>
  <c r="N295" i="156"/>
  <c r="N296" i="156"/>
  <c r="L296" i="156"/>
  <c r="N297" i="156"/>
  <c r="L297" i="156"/>
  <c r="N298" i="156"/>
  <c r="L298" i="156"/>
  <c r="L299" i="156"/>
  <c r="N299" i="156"/>
  <c r="N300" i="156"/>
  <c r="L300" i="156"/>
  <c r="N301" i="156"/>
  <c r="L301" i="156"/>
  <c r="N302" i="156"/>
  <c r="L302" i="156"/>
  <c r="N303" i="156"/>
  <c r="L303" i="156"/>
  <c r="N304" i="156"/>
  <c r="L304" i="156"/>
  <c r="N305" i="156"/>
  <c r="L305" i="156"/>
  <c r="N306" i="156"/>
  <c r="L306" i="156"/>
  <c r="N307" i="156"/>
  <c r="L307" i="156"/>
  <c r="N308" i="156"/>
  <c r="L308" i="156"/>
  <c r="L309" i="156"/>
  <c r="N309" i="156"/>
  <c r="L310" i="156"/>
  <c r="N310" i="156"/>
  <c r="L311" i="156"/>
  <c r="N311" i="156"/>
  <c r="L312" i="156"/>
  <c r="N312" i="156"/>
  <c r="L313" i="156"/>
  <c r="N313" i="156"/>
  <c r="N314" i="156"/>
  <c r="L314" i="156"/>
  <c r="L315" i="156"/>
  <c r="N315" i="156"/>
  <c r="L316" i="156"/>
  <c r="N316" i="156"/>
  <c r="L317" i="156"/>
  <c r="N317" i="156"/>
  <c r="N318" i="156"/>
  <c r="L318" i="156"/>
  <c r="L319" i="156"/>
  <c r="N319" i="156"/>
  <c r="L320" i="156"/>
  <c r="N320" i="156"/>
  <c r="L321" i="156"/>
  <c r="N321" i="156"/>
  <c r="L322" i="156"/>
  <c r="N322" i="156"/>
  <c r="L323" i="156"/>
  <c r="N323" i="156"/>
  <c r="L324" i="156"/>
  <c r="N324" i="156"/>
  <c r="L325" i="156"/>
  <c r="N325" i="156"/>
  <c r="L326" i="156"/>
  <c r="N326" i="156"/>
  <c r="N327" i="156"/>
  <c r="L327" i="156"/>
  <c r="N328" i="156"/>
  <c r="L328" i="156"/>
  <c r="L329" i="156"/>
  <c r="N329" i="156"/>
  <c r="N330" i="156"/>
  <c r="L330" i="156"/>
  <c r="N331" i="156"/>
  <c r="L331" i="156"/>
  <c r="N332" i="156"/>
  <c r="L332" i="156"/>
  <c r="N333" i="156"/>
  <c r="L333" i="156"/>
  <c r="N334" i="156"/>
  <c r="L334" i="156"/>
  <c r="L335" i="156"/>
  <c r="N335" i="156"/>
  <c r="L336" i="156"/>
  <c r="N336" i="156"/>
  <c r="N337" i="156"/>
  <c r="L337" i="156"/>
  <c r="L338" i="156"/>
  <c r="N338" i="156"/>
  <c r="N339" i="156"/>
  <c r="L339" i="156"/>
  <c r="L340" i="156"/>
  <c r="N340" i="156"/>
  <c r="N341" i="156"/>
  <c r="L341" i="156"/>
  <c r="N342" i="156"/>
  <c r="L342" i="156"/>
  <c r="N343" i="156"/>
  <c r="L343" i="156"/>
  <c r="N344" i="156"/>
  <c r="L344" i="156"/>
  <c r="N345" i="156"/>
  <c r="L345" i="156"/>
  <c r="N382" i="156"/>
  <c r="L382" i="156"/>
  <c r="N383" i="156"/>
  <c r="L383" i="156"/>
  <c r="N384" i="156"/>
  <c r="L384" i="156"/>
  <c r="N385" i="156"/>
  <c r="L385" i="156"/>
  <c r="N386" i="156"/>
  <c r="L386" i="156"/>
  <c r="N387" i="156"/>
  <c r="L387" i="156"/>
  <c r="N388" i="156"/>
  <c r="L388" i="156"/>
  <c r="N389" i="156"/>
  <c r="L389" i="156"/>
  <c r="N390" i="156"/>
  <c r="L390" i="156"/>
  <c r="N391" i="156"/>
  <c r="L391" i="156"/>
  <c r="N392" i="156"/>
  <c r="L392" i="156"/>
  <c r="N393" i="156"/>
  <c r="L393" i="156"/>
  <c r="N394" i="156"/>
  <c r="L394" i="156"/>
  <c r="N395" i="156"/>
  <c r="L395" i="156"/>
  <c r="N396" i="156"/>
  <c r="L396" i="156"/>
  <c r="L397" i="156"/>
  <c r="N397" i="156"/>
  <c r="N398" i="156"/>
  <c r="L398" i="156"/>
  <c r="L399" i="156"/>
  <c r="N399" i="156"/>
  <c r="N400" i="156"/>
  <c r="L400" i="156"/>
  <c r="N401" i="156"/>
  <c r="L401" i="156"/>
  <c r="N402" i="156"/>
  <c r="L402" i="156"/>
  <c r="N403" i="156"/>
  <c r="L403" i="156"/>
  <c r="L404" i="156"/>
  <c r="N404" i="156"/>
  <c r="N405" i="156"/>
  <c r="L405" i="156"/>
  <c r="N406" i="156"/>
  <c r="L406" i="156"/>
  <c r="N407" i="156"/>
  <c r="L407" i="156"/>
  <c r="L408" i="156"/>
  <c r="N408" i="156"/>
  <c r="L409" i="156"/>
  <c r="N409" i="156"/>
  <c r="N410" i="156"/>
  <c r="L410" i="156"/>
  <c r="L411" i="156"/>
  <c r="N411" i="156"/>
  <c r="N412" i="156"/>
  <c r="L412" i="156"/>
  <c r="L413" i="156"/>
  <c r="N413" i="156"/>
  <c r="L414" i="156"/>
  <c r="N414" i="156"/>
  <c r="L415" i="156"/>
  <c r="N415" i="156"/>
  <c r="L416" i="156"/>
  <c r="N416" i="156"/>
  <c r="L417" i="156"/>
  <c r="N417" i="156"/>
  <c r="N418" i="156"/>
  <c r="L418" i="156"/>
  <c r="N419" i="156"/>
  <c r="L419" i="156"/>
  <c r="N420" i="156"/>
  <c r="L420" i="156"/>
  <c r="N421" i="156"/>
  <c r="L421" i="156"/>
  <c r="N422" i="156"/>
  <c r="L422" i="156"/>
  <c r="N423" i="156"/>
  <c r="L423" i="156"/>
  <c r="L424" i="156"/>
  <c r="N424" i="156"/>
  <c r="N425" i="156"/>
  <c r="L425" i="156"/>
  <c r="L426" i="156"/>
  <c r="N426" i="156"/>
  <c r="L427" i="156"/>
  <c r="N427" i="156"/>
  <c r="N428" i="156"/>
  <c r="L428" i="156"/>
  <c r="N429" i="156"/>
  <c r="L429" i="156"/>
  <c r="N430" i="156"/>
  <c r="L430" i="156"/>
  <c r="L431" i="156"/>
  <c r="N431" i="156"/>
  <c r="L432" i="156"/>
  <c r="N432" i="156"/>
  <c r="N433" i="156"/>
  <c r="L433" i="156"/>
  <c r="L434" i="156"/>
  <c r="N434" i="156"/>
  <c r="L435" i="156"/>
  <c r="N435" i="156"/>
  <c r="L436" i="156"/>
  <c r="N436" i="156"/>
  <c r="L437" i="156"/>
  <c r="N437" i="156"/>
  <c r="L438" i="156"/>
  <c r="N438" i="156"/>
  <c r="L439" i="156"/>
  <c r="N439" i="156"/>
  <c r="N440" i="156"/>
  <c r="L440" i="156"/>
  <c r="N441" i="156"/>
  <c r="L441" i="156"/>
  <c r="N442" i="156"/>
  <c r="L442" i="156"/>
  <c r="N443" i="156"/>
  <c r="L443" i="156"/>
  <c r="N444" i="156"/>
  <c r="L444" i="156"/>
  <c r="N445" i="156"/>
  <c r="L445" i="156"/>
  <c r="N446" i="156"/>
  <c r="L446" i="156"/>
  <c r="N447" i="156"/>
  <c r="L447" i="156"/>
  <c r="N448" i="156"/>
  <c r="L448" i="156"/>
  <c r="N449" i="156"/>
  <c r="L449" i="156"/>
  <c r="N450" i="156"/>
  <c r="L450" i="156"/>
  <c r="N451" i="156"/>
  <c r="L451" i="156"/>
  <c r="N452" i="156"/>
  <c r="L452" i="156"/>
  <c r="N453" i="156"/>
  <c r="L453" i="156"/>
  <c r="N454" i="156"/>
  <c r="L454" i="156"/>
  <c r="N455" i="156"/>
  <c r="L455" i="156"/>
  <c r="N456" i="156"/>
  <c r="L456" i="156"/>
  <c r="N457" i="156"/>
  <c r="L457" i="156"/>
  <c r="N458" i="156"/>
  <c r="L458" i="156"/>
  <c r="N459" i="156"/>
  <c r="L459" i="156"/>
  <c r="N460" i="156"/>
  <c r="L460" i="156"/>
  <c r="N461" i="156"/>
  <c r="L461" i="156"/>
  <c r="N462" i="156"/>
  <c r="L462" i="156"/>
  <c r="N463" i="156"/>
  <c r="L463" i="156"/>
  <c r="N464" i="156"/>
  <c r="L464" i="156"/>
  <c r="N465" i="156"/>
  <c r="L465" i="156"/>
  <c r="L466" i="156"/>
  <c r="N466" i="156"/>
  <c r="N467" i="156"/>
  <c r="L467" i="156"/>
  <c r="N468" i="156"/>
  <c r="L468" i="156"/>
  <c r="N469" i="156"/>
  <c r="L469" i="156"/>
  <c r="N470" i="156"/>
  <c r="L470" i="156"/>
  <c r="N471" i="156"/>
  <c r="L471" i="156"/>
  <c r="N472" i="156"/>
  <c r="L472" i="156"/>
  <c r="N473" i="156"/>
  <c r="L473" i="156"/>
  <c r="N474" i="156"/>
  <c r="L474" i="156"/>
  <c r="N475" i="156"/>
  <c r="L475" i="156"/>
  <c r="N476" i="156"/>
  <c r="L476" i="156"/>
  <c r="L477" i="156"/>
  <c r="N477" i="156"/>
  <c r="L478" i="156"/>
  <c r="N478" i="156"/>
  <c r="N479" i="156"/>
  <c r="L479" i="156"/>
  <c r="N535" i="156"/>
  <c r="L535" i="156"/>
  <c r="N7" i="156"/>
  <c r="N8" i="156"/>
  <c r="N9" i="156"/>
  <c r="N10" i="156"/>
  <c r="N11" i="156"/>
  <c r="I11" i="156"/>
  <c r="N12" i="156"/>
  <c r="I12" i="156"/>
  <c r="N13" i="156"/>
  <c r="I13" i="156"/>
  <c r="N14" i="156"/>
  <c r="I14" i="156"/>
  <c r="I15" i="156"/>
  <c r="N15" i="156"/>
  <c r="N16" i="156"/>
  <c r="I16" i="156"/>
  <c r="N17" i="156"/>
  <c r="I17" i="156"/>
  <c r="N18" i="156"/>
  <c r="I18" i="156"/>
  <c r="N19" i="156"/>
  <c r="I19" i="156"/>
  <c r="I20" i="156"/>
  <c r="N20" i="156"/>
  <c r="I120" i="156"/>
  <c r="N120" i="156"/>
  <c r="N121" i="156"/>
  <c r="I121" i="156"/>
  <c r="I122" i="156"/>
  <c r="N122" i="156"/>
  <c r="I123" i="156"/>
  <c r="N123" i="156"/>
  <c r="I124" i="156"/>
  <c r="N124" i="156"/>
  <c r="N125" i="156"/>
  <c r="I126" i="156"/>
  <c r="N126" i="156"/>
  <c r="I127" i="156"/>
  <c r="N127" i="156"/>
  <c r="N128" i="156"/>
  <c r="N129" i="156"/>
  <c r="N130" i="156"/>
  <c r="N131" i="156"/>
  <c r="N132" i="156"/>
  <c r="N133" i="156"/>
  <c r="I133" i="156"/>
  <c r="N134" i="156"/>
  <c r="I134" i="156"/>
  <c r="N135" i="156"/>
  <c r="I135" i="156"/>
  <c r="N136" i="156"/>
  <c r="I136" i="156"/>
  <c r="N137" i="156"/>
  <c r="I137" i="156"/>
  <c r="N138" i="156"/>
  <c r="I138" i="156"/>
  <c r="N139" i="156"/>
  <c r="I139" i="156"/>
  <c r="I140" i="156"/>
  <c r="N140" i="156"/>
  <c r="N141" i="156"/>
  <c r="I141" i="156"/>
  <c r="N142" i="156"/>
  <c r="I142" i="156"/>
  <c r="N143" i="156"/>
  <c r="N144" i="156"/>
  <c r="N145" i="156"/>
  <c r="N146" i="156"/>
  <c r="N147" i="156"/>
  <c r="N148" i="156"/>
  <c r="N149" i="156"/>
  <c r="I149" i="156"/>
  <c r="N151" i="156"/>
  <c r="L5" i="156"/>
  <c r="L6" i="156"/>
  <c r="M151" i="156" l="1"/>
  <c r="O151" i="156" s="1"/>
  <c r="I151" i="156"/>
  <c r="M152" i="156"/>
  <c r="O152" i="156" s="1"/>
  <c r="I152" i="156"/>
  <c r="I114" i="156"/>
  <c r="M114" i="156"/>
  <c r="O114" i="156" s="1"/>
  <c r="M164" i="156"/>
  <c r="O164" i="156" s="1"/>
  <c r="I164" i="156"/>
  <c r="I115" i="156"/>
  <c r="M115" i="156"/>
  <c r="O115" i="156" s="1"/>
  <c r="M116" i="156"/>
  <c r="O116" i="156" s="1"/>
  <c r="I116" i="156"/>
  <c r="M117" i="156"/>
  <c r="O117" i="156" s="1"/>
  <c r="I117" i="156"/>
  <c r="M118" i="156"/>
  <c r="O118" i="156" s="1"/>
  <c r="I118" i="156"/>
  <c r="M119" i="156"/>
  <c r="O119" i="156" s="1"/>
  <c r="I119" i="156"/>
  <c r="AF185" i="156"/>
  <c r="AF534" i="156"/>
  <c r="AF480" i="156"/>
  <c r="AF482" i="156"/>
  <c r="AF483" i="156"/>
  <c r="AF484" i="156"/>
  <c r="AF485" i="156"/>
  <c r="AF486" i="156"/>
  <c r="AF487" i="156"/>
  <c r="AF488" i="156"/>
  <c r="AF494" i="156"/>
  <c r="AF495" i="156"/>
  <c r="AF497" i="156"/>
  <c r="AF498" i="156"/>
  <c r="AF501" i="156"/>
  <c r="AF503" i="156"/>
  <c r="AF504" i="156"/>
  <c r="AF507" i="156"/>
  <c r="AF508" i="156"/>
  <c r="AF509" i="156"/>
  <c r="AF510" i="156"/>
  <c r="O182" i="156"/>
  <c r="O179" i="156"/>
  <c r="M150" i="156"/>
  <c r="O150" i="156" s="1"/>
  <c r="I150" i="156"/>
  <c r="AF150" i="156"/>
  <c r="AF522" i="156"/>
  <c r="AF523" i="156"/>
  <c r="AF524" i="156"/>
  <c r="AF525" i="156"/>
  <c r="AF526" i="156"/>
  <c r="AF527" i="156"/>
  <c r="AF528" i="156"/>
  <c r="AF529" i="156"/>
  <c r="AF530" i="156"/>
  <c r="AF531" i="156"/>
  <c r="AF532" i="156"/>
  <c r="AF533" i="156"/>
  <c r="O522" i="156"/>
  <c r="O523" i="156"/>
  <c r="O524" i="156"/>
  <c r="O525" i="156"/>
  <c r="O527" i="156"/>
  <c r="O528" i="156"/>
  <c r="O530" i="156"/>
  <c r="O531" i="156"/>
  <c r="O532" i="156"/>
  <c r="O533" i="156"/>
  <c r="M107" i="156"/>
  <c r="O107" i="156" s="1"/>
  <c r="I107" i="156"/>
  <c r="AF499" i="156"/>
  <c r="AF500" i="156"/>
  <c r="M108" i="156"/>
  <c r="O108" i="156" s="1"/>
  <c r="I108" i="156"/>
  <c r="M109" i="156"/>
  <c r="O109" i="156" s="1"/>
  <c r="I109" i="156"/>
  <c r="M110" i="156"/>
  <c r="O110" i="156" s="1"/>
  <c r="I110" i="156"/>
  <c r="M111" i="156"/>
  <c r="O111" i="156" s="1"/>
  <c r="I111" i="156"/>
  <c r="M112" i="156"/>
  <c r="O112" i="156" s="1"/>
  <c r="I112" i="156"/>
  <c r="M113" i="156"/>
  <c r="O113" i="156" s="1"/>
  <c r="I113" i="156"/>
  <c r="AF69" i="156"/>
  <c r="AF70" i="156"/>
  <c r="AF71" i="156"/>
  <c r="AF72" i="156"/>
  <c r="AF73" i="156"/>
  <c r="AF74" i="156"/>
  <c r="AF75" i="156"/>
  <c r="M106" i="156"/>
  <c r="O106" i="156" s="1"/>
  <c r="I106" i="156"/>
  <c r="AF492" i="156"/>
  <c r="M104" i="156"/>
  <c r="O104" i="156" s="1"/>
  <c r="I104" i="156"/>
  <c r="M105" i="156"/>
  <c r="O105" i="156" s="1"/>
  <c r="I105" i="156"/>
  <c r="I94" i="156"/>
  <c r="M94" i="156"/>
  <c r="O94" i="156" s="1"/>
  <c r="AF505" i="156"/>
  <c r="AF513" i="156"/>
  <c r="AF515" i="156"/>
  <c r="AF516" i="156"/>
  <c r="AF490" i="156"/>
  <c r="O61" i="156"/>
  <c r="O62" i="156"/>
  <c r="AF491" i="156"/>
  <c r="AF493" i="156"/>
  <c r="AF502" i="156"/>
  <c r="AF506" i="156"/>
  <c r="AF512" i="156"/>
  <c r="AF518" i="156"/>
  <c r="AF519" i="156"/>
  <c r="M24" i="156"/>
  <c r="O24" i="156" s="1"/>
  <c r="I24" i="156"/>
  <c r="AF481" i="156"/>
  <c r="AF489" i="156"/>
  <c r="AF496" i="156"/>
  <c r="AF21" i="156"/>
  <c r="AF23" i="156"/>
  <c r="AF29" i="156"/>
  <c r="AF30" i="156"/>
  <c r="AF31" i="156"/>
  <c r="AF34" i="156"/>
  <c r="AF35" i="156"/>
  <c r="AF37" i="156"/>
  <c r="AF38" i="156"/>
  <c r="AF39" i="156"/>
  <c r="AF40" i="156"/>
  <c r="AF50" i="156"/>
  <c r="AF51" i="156"/>
  <c r="AF22" i="156"/>
  <c r="AF24" i="156"/>
  <c r="AF25" i="156"/>
  <c r="AF26" i="156"/>
  <c r="AF27" i="156"/>
  <c r="AF28" i="156"/>
  <c r="AF32" i="156"/>
  <c r="AF33" i="156"/>
  <c r="AF36" i="156"/>
  <c r="AF41" i="156"/>
  <c r="AF42" i="156"/>
  <c r="AF43" i="156"/>
  <c r="AF44" i="156"/>
  <c r="AF45" i="156"/>
  <c r="AF46" i="156"/>
  <c r="AF47" i="156"/>
  <c r="AF48" i="156"/>
  <c r="AF49" i="156"/>
  <c r="AF52" i="156"/>
  <c r="AF53" i="156"/>
  <c r="AF54" i="156"/>
  <c r="AF55" i="156"/>
  <c r="AF56" i="156"/>
  <c r="AF57" i="156"/>
  <c r="AF58" i="156"/>
  <c r="AF59" i="156"/>
  <c r="AF60" i="156"/>
  <c r="AF61" i="156"/>
  <c r="AF62" i="156"/>
  <c r="AF63" i="156"/>
  <c r="AF64" i="156"/>
  <c r="AF65" i="156"/>
  <c r="AF66" i="156"/>
  <c r="AF67" i="156"/>
  <c r="AF68" i="156"/>
  <c r="I26" i="156"/>
  <c r="M26" i="156"/>
  <c r="O26" i="156" s="1"/>
  <c r="I27" i="156"/>
  <c r="M27" i="156"/>
  <c r="O27" i="156" s="1"/>
  <c r="I28" i="156"/>
  <c r="M28" i="156"/>
  <c r="O28" i="156" s="1"/>
  <c r="M63" i="156"/>
  <c r="O63" i="156" s="1"/>
  <c r="I63" i="156"/>
  <c r="I64" i="156"/>
  <c r="M64" i="156"/>
  <c r="O64" i="156" s="1"/>
  <c r="M65" i="156"/>
  <c r="O65" i="156" s="1"/>
  <c r="I65" i="156"/>
  <c r="I66" i="156"/>
  <c r="M66" i="156"/>
  <c r="O66" i="156" s="1"/>
  <c r="M67" i="156"/>
  <c r="O67" i="156" s="1"/>
  <c r="I67" i="156"/>
  <c r="I68" i="156"/>
  <c r="M68" i="156"/>
  <c r="O68" i="156" s="1"/>
  <c r="M69" i="156"/>
  <c r="O69" i="156" s="1"/>
  <c r="I69" i="156"/>
  <c r="M70" i="156"/>
  <c r="O70" i="156" s="1"/>
  <c r="I70" i="156"/>
  <c r="I336" i="156"/>
  <c r="M336" i="156"/>
  <c r="O336" i="156" s="1"/>
  <c r="O482" i="156"/>
  <c r="O485" i="156"/>
  <c r="O488" i="156"/>
  <c r="O491" i="156"/>
  <c r="O494" i="156"/>
  <c r="O497" i="156"/>
  <c r="AF520" i="156"/>
  <c r="AF521" i="156"/>
  <c r="O480" i="156"/>
  <c r="O481" i="156"/>
  <c r="O483" i="156"/>
  <c r="O484" i="156"/>
  <c r="O486" i="156"/>
  <c r="O487" i="156"/>
  <c r="O489" i="156"/>
  <c r="O490" i="156"/>
  <c r="O492" i="156"/>
  <c r="O493" i="156"/>
  <c r="O495" i="156"/>
  <c r="O496" i="156"/>
  <c r="O498" i="156"/>
  <c r="O499" i="156"/>
  <c r="O500" i="156"/>
  <c r="O503" i="156"/>
  <c r="O506" i="156"/>
  <c r="O501" i="156"/>
  <c r="O31" i="156"/>
  <c r="O32" i="156"/>
  <c r="O33" i="156"/>
  <c r="O34" i="156"/>
  <c r="O35" i="156"/>
  <c r="O36" i="156"/>
  <c r="O37" i="156"/>
  <c r="O38" i="156"/>
  <c r="O39" i="156"/>
  <c r="O40" i="156"/>
  <c r="O41" i="156"/>
  <c r="O42" i="156"/>
  <c r="O43" i="156"/>
  <c r="O44" i="156"/>
  <c r="O45" i="156"/>
  <c r="O46" i="156"/>
  <c r="O47" i="156"/>
  <c r="O48" i="156"/>
  <c r="O49" i="156"/>
  <c r="O50" i="156"/>
  <c r="O51" i="156"/>
  <c r="O52" i="156"/>
  <c r="O53" i="156"/>
  <c r="O54" i="156"/>
  <c r="O55" i="156"/>
  <c r="O56" i="156"/>
  <c r="O57" i="156"/>
  <c r="O58" i="156"/>
  <c r="O59" i="156"/>
  <c r="O60" i="156"/>
  <c r="O502" i="156"/>
  <c r="O505" i="156"/>
  <c r="O508" i="156"/>
  <c r="O504" i="156"/>
  <c r="O507" i="156"/>
  <c r="O509" i="156"/>
  <c r="O510" i="156"/>
  <c r="O511" i="156"/>
  <c r="O512" i="156"/>
  <c r="O513" i="156"/>
  <c r="O514" i="156"/>
  <c r="O515" i="156"/>
  <c r="O516" i="156"/>
  <c r="O517" i="156"/>
  <c r="O518" i="156"/>
  <c r="O519" i="156"/>
  <c r="O520" i="156"/>
  <c r="O521" i="156"/>
  <c r="O29" i="156"/>
  <c r="O30" i="156"/>
  <c r="O21" i="156"/>
  <c r="O22" i="156"/>
  <c r="O23" i="156"/>
  <c r="O25" i="156"/>
  <c r="AF76" i="156"/>
  <c r="AF77" i="156"/>
  <c r="AF78" i="156"/>
  <c r="AF79" i="156"/>
  <c r="AF80" i="156"/>
  <c r="AF81" i="156"/>
  <c r="AF82" i="156"/>
  <c r="AF83" i="156"/>
  <c r="AF84" i="156"/>
  <c r="AF85" i="156"/>
  <c r="AF86" i="156"/>
  <c r="AF87" i="156"/>
  <c r="AF88" i="156"/>
  <c r="AF89" i="156"/>
  <c r="AF90" i="156"/>
  <c r="AF91" i="156"/>
  <c r="AF92" i="156"/>
  <c r="AF93" i="156"/>
  <c r="AF94" i="156"/>
  <c r="AF95" i="156"/>
  <c r="AF96" i="156"/>
  <c r="AF97" i="156"/>
  <c r="AF98" i="156"/>
  <c r="AF99" i="156"/>
  <c r="AF100" i="156"/>
  <c r="AF101" i="156"/>
  <c r="AF102" i="156"/>
  <c r="AF103" i="156"/>
  <c r="AF104" i="156"/>
  <c r="AF105" i="156"/>
  <c r="AF106" i="156"/>
  <c r="AF107" i="156"/>
  <c r="AF108" i="156"/>
  <c r="AF109" i="156"/>
  <c r="AF110" i="156"/>
  <c r="AF111" i="156"/>
  <c r="AF112" i="156"/>
  <c r="AF113" i="156"/>
  <c r="AF114" i="156"/>
  <c r="AF115" i="156"/>
  <c r="AF116" i="156"/>
  <c r="AF117" i="156"/>
  <c r="AF118" i="156"/>
  <c r="AF119" i="156"/>
  <c r="O71" i="156"/>
  <c r="O72" i="156"/>
  <c r="O73" i="156"/>
  <c r="O74" i="156"/>
  <c r="O87" i="156"/>
  <c r="O88" i="156"/>
  <c r="O89" i="156"/>
  <c r="O90" i="156"/>
  <c r="O91" i="156"/>
  <c r="O92" i="156"/>
  <c r="O93" i="156"/>
  <c r="O95" i="156"/>
  <c r="O96" i="156"/>
  <c r="O97" i="156"/>
  <c r="O98" i="156"/>
  <c r="O99" i="156"/>
  <c r="O100" i="156"/>
  <c r="O101" i="156"/>
  <c r="O102" i="156"/>
  <c r="O103" i="156"/>
  <c r="O75" i="156"/>
  <c r="O76" i="156"/>
  <c r="O77" i="156"/>
  <c r="O78" i="156"/>
  <c r="O79" i="156"/>
  <c r="O80" i="156"/>
  <c r="O81" i="156"/>
  <c r="O82" i="156"/>
  <c r="O83" i="156"/>
  <c r="O84" i="156"/>
  <c r="O85" i="156"/>
  <c r="O86" i="156"/>
  <c r="M253" i="156"/>
  <c r="O253" i="156" s="1"/>
  <c r="I253" i="156"/>
  <c r="I247" i="156"/>
  <c r="AE247" i="156"/>
  <c r="AF247" i="156" s="1"/>
  <c r="N247" i="156"/>
  <c r="O247" i="156" s="1"/>
  <c r="R346" i="156"/>
  <c r="M252" i="156"/>
  <c r="O252" i="156" s="1"/>
  <c r="I252" i="156"/>
  <c r="R347" i="156"/>
  <c r="AF353" i="156"/>
  <c r="AF354" i="156"/>
  <c r="AF355" i="156"/>
  <c r="AF356" i="156"/>
  <c r="AF357" i="156"/>
  <c r="AF358" i="156"/>
  <c r="AF359" i="156"/>
  <c r="AF360" i="156"/>
  <c r="AF361" i="156"/>
  <c r="AF362" i="156"/>
  <c r="AF363" i="156"/>
  <c r="AF364" i="156"/>
  <c r="AF365" i="156"/>
  <c r="AF366" i="156"/>
  <c r="AF367" i="156"/>
  <c r="AF368" i="156"/>
  <c r="AF369" i="156"/>
  <c r="AF370" i="156"/>
  <c r="AF371" i="156"/>
  <c r="AF372" i="156"/>
  <c r="AF373" i="156"/>
  <c r="AF375" i="156"/>
  <c r="AF376" i="156"/>
  <c r="AF377" i="156"/>
  <c r="AF378" i="156"/>
  <c r="AF379" i="156"/>
  <c r="AF380" i="156"/>
  <c r="AF381" i="156"/>
  <c r="AF346" i="156"/>
  <c r="AF347" i="156"/>
  <c r="AF348" i="156"/>
  <c r="AF349" i="156"/>
  <c r="AF350" i="156"/>
  <c r="AF351" i="156"/>
  <c r="AF352" i="156"/>
  <c r="AF374" i="156"/>
  <c r="F340" i="156"/>
  <c r="AF340" i="156" s="1"/>
  <c r="O346" i="156"/>
  <c r="O347" i="156"/>
  <c r="O348" i="156"/>
  <c r="O349" i="156"/>
  <c r="O350" i="156"/>
  <c r="O351" i="156"/>
  <c r="O352" i="156"/>
  <c r="O353" i="156"/>
  <c r="F332" i="156"/>
  <c r="AF332" i="156" s="1"/>
  <c r="F337" i="156"/>
  <c r="AF337" i="156" s="1"/>
  <c r="F339" i="156"/>
  <c r="AF339" i="156" s="1"/>
  <c r="F341" i="156"/>
  <c r="AF341" i="156" s="1"/>
  <c r="O354" i="156"/>
  <c r="O355" i="156"/>
  <c r="O356" i="156"/>
  <c r="O357" i="156"/>
  <c r="O358" i="156"/>
  <c r="O359" i="156"/>
  <c r="O360" i="156"/>
  <c r="O361" i="156"/>
  <c r="O362" i="156"/>
  <c r="O363" i="156"/>
  <c r="O364" i="156"/>
  <c r="O365" i="156"/>
  <c r="O366" i="156"/>
  <c r="O367" i="156"/>
  <c r="O368" i="156"/>
  <c r="O369" i="156"/>
  <c r="O370" i="156"/>
  <c r="O371" i="156"/>
  <c r="O372" i="156"/>
  <c r="O373" i="156"/>
  <c r="O374" i="156"/>
  <c r="O375" i="156"/>
  <c r="O376" i="156"/>
  <c r="O377" i="156"/>
  <c r="O378" i="156"/>
  <c r="O379" i="156"/>
  <c r="O380" i="156"/>
  <c r="O381" i="156"/>
  <c r="M158" i="156"/>
  <c r="O158" i="156" s="1"/>
  <c r="I158" i="156"/>
  <c r="M125" i="156"/>
  <c r="O125" i="156" s="1"/>
  <c r="I125" i="156"/>
  <c r="M339" i="156"/>
  <c r="O339" i="156" s="1"/>
  <c r="M341" i="156"/>
  <c r="O341" i="156" s="1"/>
  <c r="I236" i="156"/>
  <c r="M236" i="156"/>
  <c r="O236" i="156" s="1"/>
  <c r="M331" i="156"/>
  <c r="O331" i="156" s="1"/>
  <c r="I331" i="156"/>
  <c r="AF198" i="156"/>
  <c r="AF199" i="156"/>
  <c r="AF200" i="156"/>
  <c r="AF201" i="156"/>
  <c r="AF202" i="156"/>
  <c r="AF203" i="156"/>
  <c r="AF204" i="156"/>
  <c r="AF207" i="156"/>
  <c r="AF205" i="156"/>
  <c r="AF206" i="156"/>
  <c r="AF208" i="156"/>
  <c r="AF209" i="156"/>
  <c r="AF210" i="156"/>
  <c r="AF211" i="156"/>
  <c r="AF212" i="156"/>
  <c r="AF213" i="156"/>
  <c r="AF214" i="156"/>
  <c r="AF215" i="156"/>
  <c r="AF216" i="156"/>
  <c r="AF217" i="156"/>
  <c r="AF218" i="156"/>
  <c r="AF219" i="156"/>
  <c r="AF267" i="156"/>
  <c r="AF268" i="156"/>
  <c r="AF269" i="156"/>
  <c r="AF270" i="156"/>
  <c r="AF271" i="156"/>
  <c r="AF272" i="156"/>
  <c r="AF273" i="156"/>
  <c r="AF274" i="156"/>
  <c r="AF275" i="156"/>
  <c r="AF276" i="156"/>
  <c r="AF277" i="156"/>
  <c r="AF278" i="156"/>
  <c r="AF279" i="156"/>
  <c r="AF280" i="156"/>
  <c r="AF281" i="156"/>
  <c r="AF282" i="156"/>
  <c r="AF283" i="156"/>
  <c r="M469" i="156"/>
  <c r="O469" i="156" s="1"/>
  <c r="M470" i="156"/>
  <c r="O470" i="156" s="1"/>
  <c r="M467" i="156"/>
  <c r="O467" i="156" s="1"/>
  <c r="M468" i="156"/>
  <c r="O468" i="156" s="1"/>
  <c r="AF459" i="156"/>
  <c r="O159" i="156"/>
  <c r="O160" i="156"/>
  <c r="O171" i="156"/>
  <c r="O186" i="156"/>
  <c r="O187" i="156"/>
  <c r="O195" i="156"/>
  <c r="O196" i="156"/>
  <c r="O197" i="156"/>
  <c r="O198" i="156"/>
  <c r="O199" i="156"/>
  <c r="O200" i="156"/>
  <c r="O201" i="156"/>
  <c r="O202" i="156"/>
  <c r="O203" i="156"/>
  <c r="O204" i="156"/>
  <c r="O205" i="156"/>
  <c r="O206" i="156"/>
  <c r="O207" i="156"/>
  <c r="O208" i="156"/>
  <c r="O209" i="156"/>
  <c r="O210" i="156"/>
  <c r="O214" i="156"/>
  <c r="O219" i="156"/>
  <c r="O220" i="156"/>
  <c r="O221" i="156"/>
  <c r="O222" i="156"/>
  <c r="O223" i="156"/>
  <c r="O224" i="156"/>
  <c r="O225" i="156"/>
  <c r="O226" i="156"/>
  <c r="O227" i="156"/>
  <c r="O228" i="156"/>
  <c r="O229" i="156"/>
  <c r="O230" i="156"/>
  <c r="O231" i="156"/>
  <c r="O232" i="156"/>
  <c r="O233" i="156"/>
  <c r="O234" i="156"/>
  <c r="O235" i="156"/>
  <c r="O237" i="156"/>
  <c r="O238" i="156"/>
  <c r="O239" i="156"/>
  <c r="O240" i="156"/>
  <c r="O241" i="156"/>
  <c r="O242" i="156"/>
  <c r="O243" i="156"/>
  <c r="O246" i="156"/>
  <c r="O248" i="156"/>
  <c r="O249" i="156"/>
  <c r="O250" i="156"/>
  <c r="O251" i="156"/>
  <c r="O254" i="156"/>
  <c r="O255" i="156"/>
  <c r="O313" i="156"/>
  <c r="O314" i="156"/>
  <c r="O315" i="156"/>
  <c r="O316" i="156"/>
  <c r="O317" i="156"/>
  <c r="O318" i="156"/>
  <c r="O319" i="156"/>
  <c r="O320" i="156"/>
  <c r="O321" i="156"/>
  <c r="O322" i="156"/>
  <c r="O323" i="156"/>
  <c r="O324" i="156"/>
  <c r="O325" i="156"/>
  <c r="O326" i="156"/>
  <c r="O327" i="156"/>
  <c r="O328" i="156"/>
  <c r="O329" i="156"/>
  <c r="O330" i="156"/>
  <c r="O332" i="156"/>
  <c r="O333" i="156"/>
  <c r="O334" i="156"/>
  <c r="O335" i="156"/>
  <c r="O337" i="156"/>
  <c r="O338" i="156"/>
  <c r="O340" i="156"/>
  <c r="O342" i="156"/>
  <c r="O343" i="156"/>
  <c r="O344" i="156"/>
  <c r="AF416" i="156"/>
  <c r="AF426" i="156"/>
  <c r="AF442" i="156"/>
  <c r="AF452" i="156"/>
  <c r="AF446" i="156"/>
  <c r="AF414" i="156"/>
  <c r="AF424" i="156"/>
  <c r="AF444" i="156"/>
  <c r="AF454" i="156"/>
  <c r="O170" i="156"/>
  <c r="O188" i="156"/>
  <c r="O189" i="156"/>
  <c r="O190" i="156"/>
  <c r="O191" i="156"/>
  <c r="O192" i="156"/>
  <c r="O193" i="156"/>
  <c r="O194" i="156"/>
  <c r="O211" i="156"/>
  <c r="O212" i="156"/>
  <c r="O213" i="156"/>
  <c r="O215" i="156"/>
  <c r="O471" i="156"/>
  <c r="O472" i="156"/>
  <c r="O474" i="156"/>
  <c r="O476" i="156"/>
  <c r="O478" i="156"/>
  <c r="AF7" i="156"/>
  <c r="O473" i="156"/>
  <c r="O475" i="156"/>
  <c r="O477" i="156"/>
  <c r="O479" i="156"/>
  <c r="AF8" i="156"/>
  <c r="AF410" i="156"/>
  <c r="AF411" i="156"/>
  <c r="AF412" i="156"/>
  <c r="AF413" i="156"/>
  <c r="AF415" i="156"/>
  <c r="AF417" i="156"/>
  <c r="AF418" i="156"/>
  <c r="AF419" i="156"/>
  <c r="AF420" i="156"/>
  <c r="AF421" i="156"/>
  <c r="AF422" i="156"/>
  <c r="AF423" i="156"/>
  <c r="AF425" i="156"/>
  <c r="AF427" i="156"/>
  <c r="AF428" i="156"/>
  <c r="AF429" i="156"/>
  <c r="AF430" i="156"/>
  <c r="AF431" i="156"/>
  <c r="AF432" i="156"/>
  <c r="AF433" i="156"/>
  <c r="AF434" i="156"/>
  <c r="AF435" i="156"/>
  <c r="AF436" i="156"/>
  <c r="AF437" i="156"/>
  <c r="AF438" i="156"/>
  <c r="AF439" i="156"/>
  <c r="AF440" i="156"/>
  <c r="AF441" i="156"/>
  <c r="AF443" i="156"/>
  <c r="AF445" i="156"/>
  <c r="AF447" i="156"/>
  <c r="AF448" i="156"/>
  <c r="AF449" i="156"/>
  <c r="AF450" i="156"/>
  <c r="AF451" i="156"/>
  <c r="AF453" i="156"/>
  <c r="AF455" i="156"/>
  <c r="AF456" i="156"/>
  <c r="AF458" i="156"/>
  <c r="AF460" i="156"/>
  <c r="AF461" i="156"/>
  <c r="AF462" i="156"/>
  <c r="AF463" i="156"/>
  <c r="AF464" i="156"/>
  <c r="AF465" i="156"/>
  <c r="AF466" i="156"/>
  <c r="AF467" i="156"/>
  <c r="AF468" i="156"/>
  <c r="AF469" i="156"/>
  <c r="AF470" i="156"/>
  <c r="AF471" i="156"/>
  <c r="AF472" i="156"/>
  <c r="AF473" i="156"/>
  <c r="AF474" i="156"/>
  <c r="AF475" i="156"/>
  <c r="AF476" i="156"/>
  <c r="AF477" i="156"/>
  <c r="AF478" i="156"/>
  <c r="AF479" i="156"/>
  <c r="AF535" i="156"/>
  <c r="O156" i="156"/>
  <c r="O157" i="156"/>
  <c r="O161" i="156"/>
  <c r="O162" i="156"/>
  <c r="O163" i="156"/>
  <c r="O165" i="156"/>
  <c r="O166" i="156"/>
  <c r="O167" i="156"/>
  <c r="O168" i="156"/>
  <c r="O169" i="156"/>
  <c r="O431" i="156"/>
  <c r="O432" i="156"/>
  <c r="O433" i="156"/>
  <c r="O434" i="156"/>
  <c r="O435" i="156"/>
  <c r="O436" i="156"/>
  <c r="O437" i="156"/>
  <c r="O438" i="156"/>
  <c r="O439" i="156"/>
  <c r="O440" i="156"/>
  <c r="O441" i="156"/>
  <c r="O442" i="156"/>
  <c r="O443" i="156"/>
  <c r="O444" i="156"/>
  <c r="O445" i="156"/>
  <c r="O446" i="156"/>
  <c r="O447" i="156"/>
  <c r="O448" i="156"/>
  <c r="O449" i="156"/>
  <c r="O450" i="156"/>
  <c r="O451" i="156"/>
  <c r="O452" i="156"/>
  <c r="O453" i="156"/>
  <c r="O454" i="156"/>
  <c r="O455" i="156"/>
  <c r="O456" i="156"/>
  <c r="O457" i="156"/>
  <c r="O458" i="156"/>
  <c r="O459" i="156"/>
  <c r="O460" i="156"/>
  <c r="O461" i="156"/>
  <c r="O462" i="156"/>
  <c r="O463" i="156"/>
  <c r="O464" i="156"/>
  <c r="O465" i="156"/>
  <c r="O466" i="156"/>
  <c r="O535" i="156"/>
  <c r="O11" i="156"/>
  <c r="O12" i="156"/>
  <c r="O13" i="156"/>
  <c r="O14" i="156"/>
  <c r="O15" i="156"/>
  <c r="O16" i="156"/>
  <c r="O17" i="156"/>
  <c r="O18" i="156"/>
  <c r="O19" i="156"/>
  <c r="O20" i="156"/>
  <c r="O120" i="156"/>
  <c r="O121" i="156"/>
  <c r="O122" i="156"/>
  <c r="O123" i="156"/>
  <c r="O124" i="156"/>
  <c r="O126" i="156"/>
  <c r="O127" i="156"/>
  <c r="O133" i="156"/>
  <c r="O134" i="156"/>
  <c r="O135" i="156"/>
  <c r="O136" i="156"/>
  <c r="O137" i="156"/>
  <c r="O138" i="156"/>
  <c r="O139" i="156"/>
  <c r="O140" i="156"/>
  <c r="O141" i="156"/>
  <c r="O142" i="156"/>
  <c r="O149" i="156"/>
  <c r="I153" i="156"/>
  <c r="M153" i="156"/>
  <c r="O153" i="156" s="1"/>
  <c r="I154" i="156"/>
  <c r="M154" i="156"/>
  <c r="O154" i="156" s="1"/>
  <c r="I155" i="156"/>
  <c r="M155" i="156"/>
  <c r="O155" i="156" s="1"/>
  <c r="I216" i="156"/>
  <c r="M216" i="156"/>
  <c r="O216" i="156" s="1"/>
  <c r="I217" i="156"/>
  <c r="M217" i="156"/>
  <c r="O217" i="156" s="1"/>
  <c r="I218" i="156"/>
  <c r="M218" i="156"/>
  <c r="O218" i="156" s="1"/>
  <c r="I244" i="156"/>
  <c r="M244" i="156"/>
  <c r="O244" i="156" s="1"/>
  <c r="I245" i="156"/>
  <c r="M245" i="156"/>
  <c r="O245" i="156" s="1"/>
  <c r="I256" i="156"/>
  <c r="M256" i="156"/>
  <c r="O256" i="156" s="1"/>
  <c r="I257" i="156"/>
  <c r="M257" i="156"/>
  <c r="O257" i="156" s="1"/>
  <c r="I258" i="156"/>
  <c r="M258" i="156"/>
  <c r="O258" i="156" s="1"/>
  <c r="I259" i="156"/>
  <c r="M259" i="156"/>
  <c r="O259" i="156" s="1"/>
  <c r="I260" i="156"/>
  <c r="M260" i="156"/>
  <c r="O260" i="156" s="1"/>
  <c r="I261" i="156"/>
  <c r="M261" i="156"/>
  <c r="O261" i="156" s="1"/>
  <c r="I262" i="156"/>
  <c r="M262" i="156"/>
  <c r="O262" i="156" s="1"/>
  <c r="I263" i="156"/>
  <c r="M263" i="156"/>
  <c r="O263" i="156" s="1"/>
  <c r="I264" i="156"/>
  <c r="M264" i="156"/>
  <c r="O264" i="156" s="1"/>
  <c r="I265" i="156"/>
  <c r="M265" i="156"/>
  <c r="O265" i="156" s="1"/>
  <c r="I266" i="156"/>
  <c r="M266" i="156"/>
  <c r="O266" i="156" s="1"/>
  <c r="I267" i="156"/>
  <c r="M267" i="156"/>
  <c r="O267" i="156" s="1"/>
  <c r="I268" i="156"/>
  <c r="M268" i="156"/>
  <c r="O268" i="156" s="1"/>
  <c r="I269" i="156"/>
  <c r="M269" i="156"/>
  <c r="O269" i="156" s="1"/>
  <c r="I270" i="156"/>
  <c r="M270" i="156"/>
  <c r="O270" i="156" s="1"/>
  <c r="I271" i="156"/>
  <c r="M271" i="156"/>
  <c r="O271" i="156" s="1"/>
  <c r="I272" i="156"/>
  <c r="M272" i="156"/>
  <c r="O272" i="156" s="1"/>
  <c r="I273" i="156"/>
  <c r="M273" i="156"/>
  <c r="O273" i="156" s="1"/>
  <c r="I274" i="156"/>
  <c r="M274" i="156"/>
  <c r="O274" i="156" s="1"/>
  <c r="I275" i="156"/>
  <c r="M275" i="156"/>
  <c r="O275" i="156" s="1"/>
  <c r="I276" i="156"/>
  <c r="M276" i="156"/>
  <c r="O276" i="156" s="1"/>
  <c r="I277" i="156"/>
  <c r="M277" i="156"/>
  <c r="O277" i="156" s="1"/>
  <c r="I278" i="156"/>
  <c r="M278" i="156"/>
  <c r="O278" i="156" s="1"/>
  <c r="I279" i="156"/>
  <c r="M279" i="156"/>
  <c r="O279" i="156" s="1"/>
  <c r="I280" i="156"/>
  <c r="M280" i="156"/>
  <c r="O280" i="156" s="1"/>
  <c r="I281" i="156"/>
  <c r="M281" i="156"/>
  <c r="O281" i="156" s="1"/>
  <c r="I282" i="156"/>
  <c r="M282" i="156"/>
  <c r="O282" i="156" s="1"/>
  <c r="I283" i="156"/>
  <c r="M283" i="156"/>
  <c r="O283" i="156" s="1"/>
  <c r="I284" i="156"/>
  <c r="M284" i="156"/>
  <c r="O284" i="156" s="1"/>
  <c r="I285" i="156"/>
  <c r="M285" i="156"/>
  <c r="O285" i="156" s="1"/>
  <c r="I286" i="156"/>
  <c r="M286" i="156"/>
  <c r="O286" i="156" s="1"/>
  <c r="I287" i="156"/>
  <c r="M287" i="156"/>
  <c r="O287" i="156" s="1"/>
  <c r="I288" i="156"/>
  <c r="M288" i="156"/>
  <c r="O288" i="156" s="1"/>
  <c r="I289" i="156"/>
  <c r="M289" i="156"/>
  <c r="O289" i="156" s="1"/>
  <c r="I290" i="156"/>
  <c r="M290" i="156"/>
  <c r="O290" i="156" s="1"/>
  <c r="I291" i="156"/>
  <c r="M291" i="156"/>
  <c r="O291" i="156" s="1"/>
  <c r="I292" i="156"/>
  <c r="M292" i="156"/>
  <c r="O292" i="156" s="1"/>
  <c r="I293" i="156"/>
  <c r="M293" i="156"/>
  <c r="O293" i="156" s="1"/>
  <c r="I294" i="156"/>
  <c r="M294" i="156"/>
  <c r="O294" i="156" s="1"/>
  <c r="I295" i="156"/>
  <c r="M295" i="156"/>
  <c r="O295" i="156" s="1"/>
  <c r="I296" i="156"/>
  <c r="M296" i="156"/>
  <c r="O296" i="156" s="1"/>
  <c r="I297" i="156"/>
  <c r="M297" i="156"/>
  <c r="O297" i="156" s="1"/>
  <c r="I298" i="156"/>
  <c r="M298" i="156"/>
  <c r="O298" i="156" s="1"/>
  <c r="I299" i="156"/>
  <c r="M299" i="156"/>
  <c r="O299" i="156" s="1"/>
  <c r="I300" i="156"/>
  <c r="M300" i="156"/>
  <c r="O300" i="156" s="1"/>
  <c r="I301" i="156"/>
  <c r="M301" i="156"/>
  <c r="O301" i="156" s="1"/>
  <c r="I302" i="156"/>
  <c r="M302" i="156"/>
  <c r="O302" i="156" s="1"/>
  <c r="I303" i="156"/>
  <c r="M303" i="156"/>
  <c r="O303" i="156" s="1"/>
  <c r="I304" i="156"/>
  <c r="M304" i="156"/>
  <c r="O304" i="156" s="1"/>
  <c r="I305" i="156"/>
  <c r="M305" i="156"/>
  <c r="O305" i="156" s="1"/>
  <c r="I306" i="156"/>
  <c r="M306" i="156"/>
  <c r="O306" i="156" s="1"/>
  <c r="I307" i="156"/>
  <c r="M307" i="156"/>
  <c r="O307" i="156" s="1"/>
  <c r="I308" i="156"/>
  <c r="M308" i="156"/>
  <c r="O308" i="156" s="1"/>
  <c r="I309" i="156"/>
  <c r="M309" i="156"/>
  <c r="O309" i="156" s="1"/>
  <c r="I310" i="156"/>
  <c r="M310" i="156"/>
  <c r="O310" i="156" s="1"/>
  <c r="I311" i="156"/>
  <c r="M311" i="156"/>
  <c r="O311" i="156" s="1"/>
  <c r="I312" i="156"/>
  <c r="M312" i="156"/>
  <c r="O312" i="156" s="1"/>
  <c r="M401" i="156"/>
  <c r="O401" i="156" s="1"/>
  <c r="M402" i="156"/>
  <c r="O402" i="156" s="1"/>
  <c r="M403" i="156"/>
  <c r="O403" i="156" s="1"/>
  <c r="M404" i="156"/>
  <c r="O404" i="156" s="1"/>
  <c r="M405" i="156"/>
  <c r="O405" i="156" s="1"/>
  <c r="M406" i="156"/>
  <c r="O406" i="156" s="1"/>
  <c r="AF284" i="156"/>
  <c r="AF285" i="156"/>
  <c r="AF286" i="156"/>
  <c r="AF287" i="156"/>
  <c r="AF288" i="156"/>
  <c r="AF289" i="156"/>
  <c r="AF290" i="156"/>
  <c r="AF291" i="156"/>
  <c r="AF292" i="156"/>
  <c r="AF293" i="156"/>
  <c r="AF294" i="156"/>
  <c r="AF295" i="156"/>
  <c r="AF296" i="156"/>
  <c r="AF297" i="156"/>
  <c r="AF298" i="156"/>
  <c r="AF299" i="156"/>
  <c r="AF300" i="156"/>
  <c r="AF301" i="156"/>
  <c r="AF302" i="156"/>
  <c r="AF303" i="156"/>
  <c r="AF304" i="156"/>
  <c r="AF305" i="156"/>
  <c r="AF306" i="156"/>
  <c r="AF307" i="156"/>
  <c r="AF308" i="156"/>
  <c r="AF309" i="156"/>
  <c r="AF310" i="156"/>
  <c r="AF311" i="156"/>
  <c r="AF312" i="156"/>
  <c r="AF313" i="156"/>
  <c r="AF314" i="156"/>
  <c r="AF315" i="156"/>
  <c r="AF316" i="156"/>
  <c r="AF317" i="156"/>
  <c r="AF318" i="156"/>
  <c r="AF319" i="156"/>
  <c r="AF320" i="156"/>
  <c r="AF321" i="156"/>
  <c r="AF322" i="156"/>
  <c r="AF323" i="156"/>
  <c r="AF324" i="156"/>
  <c r="AF325" i="156"/>
  <c r="AF326" i="156"/>
  <c r="AF327" i="156"/>
  <c r="AF328" i="156"/>
  <c r="AF329" i="156"/>
  <c r="AF330" i="156"/>
  <c r="AF331" i="156"/>
  <c r="AF333" i="156"/>
  <c r="AF334" i="156"/>
  <c r="AF335" i="156"/>
  <c r="AF336" i="156"/>
  <c r="AF338" i="156"/>
  <c r="AF342" i="156"/>
  <c r="AF343" i="156"/>
  <c r="AF344" i="156"/>
  <c r="AF345" i="156"/>
  <c r="AF382" i="156"/>
  <c r="AF383" i="156"/>
  <c r="AF384" i="156"/>
  <c r="AF385" i="156"/>
  <c r="AF386" i="156"/>
  <c r="AF387" i="156"/>
  <c r="AF388" i="156"/>
  <c r="AF389" i="156"/>
  <c r="AF390" i="156"/>
  <c r="AF391" i="156"/>
  <c r="AF392" i="156"/>
  <c r="AF393" i="156"/>
  <c r="AF394" i="156"/>
  <c r="AF395" i="156"/>
  <c r="AF396" i="156"/>
  <c r="AF397" i="156"/>
  <c r="AF398" i="156"/>
  <c r="AF399" i="156"/>
  <c r="AF400" i="156"/>
  <c r="AF401" i="156"/>
  <c r="AF402" i="156"/>
  <c r="AF403" i="156"/>
  <c r="AF404" i="156"/>
  <c r="AF405" i="156"/>
  <c r="AF406" i="156"/>
  <c r="AF407" i="156"/>
  <c r="AF408" i="156"/>
  <c r="AF409" i="156"/>
  <c r="AF457" i="156"/>
  <c r="O345" i="156"/>
  <c r="O382" i="156"/>
  <c r="O383" i="156"/>
  <c r="O384" i="156"/>
  <c r="O385" i="156"/>
  <c r="O386" i="156"/>
  <c r="O387" i="156"/>
  <c r="O388" i="156"/>
  <c r="O389" i="156"/>
  <c r="O390" i="156"/>
  <c r="O391" i="156"/>
  <c r="O392" i="156"/>
  <c r="O393" i="156"/>
  <c r="O394" i="156"/>
  <c r="O395" i="156"/>
  <c r="O396" i="156"/>
  <c r="O397" i="156"/>
  <c r="O398" i="156"/>
  <c r="O399" i="156"/>
  <c r="O400" i="156"/>
  <c r="O407" i="156"/>
  <c r="O408" i="156"/>
  <c r="O409" i="156"/>
  <c r="O410" i="156"/>
  <c r="O411" i="156"/>
  <c r="O412" i="156"/>
  <c r="O413" i="156"/>
  <c r="O414" i="156"/>
  <c r="O415" i="156"/>
  <c r="O416" i="156"/>
  <c r="O417" i="156"/>
  <c r="O418" i="156"/>
  <c r="O419" i="156"/>
  <c r="O420" i="156"/>
  <c r="O421" i="156"/>
  <c r="O422" i="156"/>
  <c r="O423" i="156"/>
  <c r="O424" i="156"/>
  <c r="O425" i="156"/>
  <c r="O426" i="156"/>
  <c r="O427" i="156"/>
  <c r="O428" i="156"/>
  <c r="O429" i="156"/>
  <c r="O430" i="156"/>
  <c r="M7" i="156"/>
  <c r="O7" i="156" s="1"/>
  <c r="I7" i="156"/>
  <c r="M8" i="156"/>
  <c r="O8" i="156" s="1"/>
  <c r="I8" i="156"/>
  <c r="M9" i="156"/>
  <c r="O9" i="156" s="1"/>
  <c r="I9" i="156"/>
  <c r="M10" i="156"/>
  <c r="O10" i="156" s="1"/>
  <c r="I10" i="156"/>
  <c r="M128" i="156"/>
  <c r="O128" i="156" s="1"/>
  <c r="I128" i="156"/>
  <c r="M129" i="156"/>
  <c r="O129" i="156" s="1"/>
  <c r="I129" i="156"/>
  <c r="M130" i="156"/>
  <c r="O130" i="156" s="1"/>
  <c r="I130" i="156"/>
  <c r="M131" i="156"/>
  <c r="O131" i="156" s="1"/>
  <c r="I131" i="156"/>
  <c r="M132" i="156"/>
  <c r="O132" i="156" s="1"/>
  <c r="I132" i="156"/>
  <c r="M143" i="156"/>
  <c r="O143" i="156" s="1"/>
  <c r="I143" i="156"/>
  <c r="M144" i="156"/>
  <c r="O144" i="156" s="1"/>
  <c r="I144" i="156"/>
  <c r="M145" i="156"/>
  <c r="O145" i="156" s="1"/>
  <c r="I145" i="156"/>
  <c r="M146" i="156"/>
  <c r="O146" i="156" s="1"/>
  <c r="I146" i="156"/>
  <c r="M147" i="156"/>
  <c r="O147" i="156" s="1"/>
  <c r="I147" i="156"/>
  <c r="M148" i="156"/>
  <c r="O148" i="156" s="1"/>
  <c r="I148" i="156"/>
  <c r="AF9" i="156"/>
  <c r="AF10" i="156"/>
  <c r="AF11" i="156"/>
  <c r="AF12" i="156"/>
  <c r="AF13" i="156"/>
  <c r="AF14" i="156"/>
  <c r="AF15" i="156"/>
  <c r="AF16" i="156"/>
  <c r="AF17" i="156"/>
  <c r="AF18" i="156"/>
  <c r="AF19" i="156"/>
  <c r="AF20" i="156"/>
  <c r="AF120" i="156"/>
  <c r="AF121" i="156"/>
  <c r="AF122" i="156"/>
  <c r="AF123" i="156"/>
  <c r="AF124" i="156"/>
  <c r="AF125" i="156"/>
  <c r="AF126" i="156"/>
  <c r="AF127" i="156"/>
  <c r="AF128" i="156"/>
  <c r="AF129" i="156"/>
  <c r="AF130" i="156"/>
  <c r="AF131" i="156"/>
  <c r="AF132" i="156"/>
  <c r="AF133" i="156"/>
  <c r="AF134" i="156"/>
  <c r="AF135" i="156"/>
  <c r="AF136" i="156"/>
  <c r="AF137" i="156"/>
  <c r="AF138" i="156"/>
  <c r="AF139" i="156"/>
  <c r="AF140" i="156"/>
  <c r="AF141" i="156"/>
  <c r="AF142" i="156"/>
  <c r="AF143" i="156"/>
  <c r="AF144" i="156"/>
  <c r="AF145" i="156"/>
  <c r="AF146" i="156"/>
  <c r="AF147" i="156"/>
  <c r="AF148" i="156"/>
  <c r="AF149" i="156"/>
  <c r="AF151" i="156"/>
  <c r="AF152" i="156"/>
  <c r="AF153" i="156"/>
  <c r="AF154" i="156"/>
  <c r="AF155" i="156"/>
  <c r="AF156" i="156"/>
  <c r="AF157" i="156"/>
  <c r="AF158" i="156"/>
  <c r="AF159" i="156"/>
  <c r="AF160" i="156"/>
  <c r="AF161" i="156"/>
  <c r="AF162" i="156"/>
  <c r="AF163" i="156"/>
  <c r="AF164" i="156"/>
  <c r="AF165" i="156"/>
  <c r="AF166" i="156"/>
  <c r="AF167" i="156"/>
  <c r="AF168" i="156"/>
  <c r="AF169" i="156"/>
  <c r="AF170" i="156"/>
  <c r="AF171" i="156"/>
  <c r="AF186" i="156"/>
  <c r="AF187" i="156"/>
  <c r="AF188" i="156"/>
  <c r="AF189" i="156"/>
  <c r="AF190" i="156"/>
  <c r="AF191" i="156"/>
  <c r="AF192" i="156"/>
  <c r="AF193" i="156"/>
  <c r="AF194" i="156"/>
  <c r="AF195" i="156"/>
  <c r="AF196" i="156"/>
  <c r="AF197" i="156"/>
  <c r="AF220" i="156"/>
  <c r="AF221" i="156"/>
  <c r="AF222" i="156"/>
  <c r="AF223" i="156"/>
  <c r="AF224" i="156"/>
  <c r="AF225" i="156"/>
  <c r="AF226" i="156"/>
  <c r="AF227" i="156"/>
  <c r="AF228" i="156"/>
  <c r="AF229" i="156"/>
  <c r="AF230" i="156"/>
  <c r="AF231" i="156"/>
  <c r="AF232" i="156"/>
  <c r="AF233" i="156"/>
  <c r="AF234" i="156"/>
  <c r="AF235" i="156"/>
  <c r="AF236" i="156"/>
  <c r="AF237" i="156"/>
  <c r="AF238" i="156"/>
  <c r="AF239" i="156"/>
  <c r="AF240" i="156"/>
  <c r="AF241" i="156"/>
  <c r="AF242" i="156"/>
  <c r="AF243" i="156"/>
  <c r="AF244" i="156"/>
  <c r="AF245" i="156"/>
  <c r="AF246" i="156"/>
  <c r="AF248" i="156"/>
  <c r="AF249" i="156"/>
  <c r="AF250" i="156"/>
  <c r="AF251" i="156"/>
  <c r="AF252" i="156"/>
  <c r="AF253" i="156"/>
  <c r="AF254" i="156"/>
  <c r="AF255" i="156"/>
  <c r="AF256" i="156"/>
  <c r="AF257" i="156"/>
  <c r="AF258" i="156"/>
  <c r="AF259" i="156"/>
  <c r="AF260" i="156"/>
  <c r="AF261" i="156"/>
  <c r="AF262" i="156"/>
  <c r="AF263" i="156"/>
  <c r="AF264" i="156"/>
  <c r="AF265" i="156"/>
  <c r="AF266" i="156"/>
  <c r="H5" i="156"/>
  <c r="N5" i="156" s="1"/>
  <c r="H4" i="156"/>
  <c r="H6" i="156"/>
  <c r="K4" i="156"/>
  <c r="Q5" i="156"/>
  <c r="R5" i="156" s="1"/>
  <c r="T5" i="156"/>
  <c r="U5" i="156" s="1"/>
  <c r="V5" i="156"/>
  <c r="W5" i="156"/>
  <c r="Y5" i="156"/>
  <c r="Z5" i="156"/>
  <c r="AB5" i="156"/>
  <c r="AC5" i="156"/>
  <c r="Q6" i="156"/>
  <c r="R6" i="156" s="1"/>
  <c r="T6" i="156"/>
  <c r="U6" i="156" s="1"/>
  <c r="V6" i="156"/>
  <c r="W6" i="156"/>
  <c r="Y6" i="156"/>
  <c r="Z6" i="156"/>
  <c r="AB6" i="156"/>
  <c r="AC6" i="156"/>
  <c r="AG537" i="156"/>
  <c r="G546" i="156"/>
  <c r="F547" i="156"/>
  <c r="D553" i="156"/>
  <c r="J540" i="156" s="1"/>
  <c r="N6" i="156" l="1"/>
  <c r="N4" i="156"/>
  <c r="D5" i="156"/>
  <c r="F5" i="156" s="1"/>
  <c r="G5" i="156"/>
  <c r="G6" i="156"/>
  <c r="I6" i="156" s="1"/>
  <c r="D6" i="156"/>
  <c r="F6" i="156" s="1"/>
  <c r="D4" i="156"/>
  <c r="G4" i="156"/>
  <c r="M4" i="156" s="1"/>
  <c r="AE5" i="156"/>
  <c r="AE6" i="156"/>
  <c r="L4" i="156"/>
  <c r="AA6" i="156"/>
  <c r="X5" i="156"/>
  <c r="AA5" i="156"/>
  <c r="AD5" i="156"/>
  <c r="X6" i="156"/>
  <c r="AD6" i="156"/>
  <c r="J537" i="156" l="1"/>
  <c r="O4" i="156"/>
  <c r="E537" i="156"/>
  <c r="P537" i="156"/>
  <c r="M5" i="156"/>
  <c r="I5" i="156"/>
  <c r="M6" i="156"/>
  <c r="O6" i="156" s="1"/>
  <c r="AF6" i="156"/>
  <c r="AF5" i="156"/>
  <c r="K537" i="156"/>
  <c r="M537" i="156" l="1"/>
  <c r="O5" i="156"/>
  <c r="O537" i="156" s="1"/>
  <c r="L537" i="156"/>
  <c r="N537" i="156"/>
  <c r="I540" i="156" s="1"/>
  <c r="Q4" i="156"/>
  <c r="W4" i="156"/>
  <c r="T4" i="156"/>
  <c r="R4" i="156" l="1"/>
  <c r="AC4" i="156"/>
  <c r="Z4" i="156"/>
  <c r="AE4" i="156" l="1"/>
  <c r="Q537" i="156"/>
  <c r="R537" i="156"/>
  <c r="AC537" i="156"/>
  <c r="I545" i="156" s="1"/>
  <c r="Z537" i="156"/>
  <c r="I544" i="156" s="1"/>
  <c r="W537" i="156"/>
  <c r="I543" i="156" s="1"/>
  <c r="H537" i="156" l="1"/>
  <c r="T537" i="156"/>
  <c r="I542" i="156" s="1"/>
  <c r="I541" i="156"/>
  <c r="I547" i="156" l="1"/>
  <c r="AB4" i="156" l="1"/>
  <c r="Y4" i="156"/>
  <c r="V4" i="156"/>
  <c r="F4" i="156"/>
  <c r="AF4" i="156" s="1"/>
  <c r="G537" i="156" l="1"/>
  <c r="D540" i="156" s="1"/>
  <c r="D541" i="156"/>
  <c r="D537" i="156"/>
  <c r="Y537" i="156"/>
  <c r="D544" i="156" s="1"/>
  <c r="S537" i="156"/>
  <c r="D542" i="156" s="1"/>
  <c r="AB537" i="156"/>
  <c r="D545" i="156" s="1"/>
  <c r="V537" i="156"/>
  <c r="D543" i="156" s="1"/>
  <c r="D547" i="156" l="1"/>
  <c r="G540" i="156"/>
  <c r="K540" i="156" s="1"/>
  <c r="F537" i="156"/>
  <c r="K541" i="156"/>
  <c r="G541" i="156"/>
  <c r="G544" i="156"/>
  <c r="K544" i="156"/>
  <c r="G542" i="156"/>
  <c r="K542" i="156"/>
  <c r="G545" i="156"/>
  <c r="K545" i="156"/>
  <c r="G543" i="156"/>
  <c r="K543" i="156"/>
  <c r="G547" i="156" l="1"/>
  <c r="X4" i="156" l="1"/>
  <c r="X537" i="156" s="1"/>
  <c r="U4" i="156"/>
  <c r="U537" i="156" s="1"/>
  <c r="AA4" i="156"/>
  <c r="AA537" i="156" s="1"/>
  <c r="AD4" i="156"/>
  <c r="AD537" i="156" s="1"/>
  <c r="I4" i="156"/>
  <c r="I537" i="156" s="1"/>
  <c r="AF537" i="156" l="1"/>
  <c r="AE537" i="156"/>
</calcChain>
</file>

<file path=xl/sharedStrings.xml><?xml version="1.0" encoding="utf-8"?>
<sst xmlns="http://schemas.openxmlformats.org/spreadsheetml/2006/main" count="13285" uniqueCount="2176">
  <si>
    <t xml:space="preserve">XBS -Total  Stocks </t>
  </si>
  <si>
    <t>IBERO EXPORT WAREHOUSE</t>
  </si>
  <si>
    <t>IBERO MILL EXPORT</t>
  </si>
  <si>
    <t>Ibero Export + Mill</t>
  </si>
  <si>
    <t>AGL</t>
  </si>
  <si>
    <t>NEW KPCU</t>
  </si>
  <si>
    <t>MITCHEL COTTS FREIGHT KENYA LIMITED</t>
  </si>
  <si>
    <t>MAXA AFRICA LOGISTICS LTD</t>
  </si>
  <si>
    <t>KENYA CO-OPERATIVE COFFEE EXPORTERS</t>
  </si>
  <si>
    <t>Outturn No.</t>
  </si>
  <si>
    <t xml:space="preserve">Grade </t>
  </si>
  <si>
    <t xml:space="preserve">Total XBS Stocks </t>
  </si>
  <si>
    <t>Blocked for Processing (BFP)</t>
  </si>
  <si>
    <t xml:space="preserve">Sum  XBS+BFP </t>
  </si>
  <si>
    <t>Ibero XBS Stocks (Unt)</t>
  </si>
  <si>
    <t>Ibero Physical count (Unit)</t>
  </si>
  <si>
    <t>Ibero Variance (Unit)</t>
  </si>
  <si>
    <t>AGL XBS Stocks (Unit)</t>
  </si>
  <si>
    <t>AGL Physical count  (Unit)</t>
  </si>
  <si>
    <t>AGL Variance (Unit)</t>
  </si>
  <si>
    <t>KPCU XBS Stocks (Unit)</t>
  </si>
  <si>
    <t>KPCU Physical count (Unit)</t>
  </si>
  <si>
    <t>KPCU Variance (UnIt)</t>
  </si>
  <si>
    <t>MCF XBS Stocks (Unit)</t>
  </si>
  <si>
    <t>MCF Physical count (Unit)</t>
  </si>
  <si>
    <t>MCF Variance (Unit)</t>
  </si>
  <si>
    <t>Maxa XBS Stocks (Unit)</t>
  </si>
  <si>
    <t>Maxa Physical count (Unit)</t>
  </si>
  <si>
    <t>Maxa Variance (Unit)</t>
  </si>
  <si>
    <t>KCC XBS Stocks (Unit)</t>
  </si>
  <si>
    <t>KCC Physical count (Unit)</t>
  </si>
  <si>
    <t xml:space="preserve">KCC Variance (Unit) </t>
  </si>
  <si>
    <t xml:space="preserve">Total Physical Count </t>
  </si>
  <si>
    <t>Total Variance</t>
  </si>
  <si>
    <t xml:space="preserve">Comment </t>
  </si>
  <si>
    <t>09SM0019</t>
  </si>
  <si>
    <t>AA</t>
  </si>
  <si>
    <t>48KN0006</t>
  </si>
  <si>
    <t>48KN0001</t>
  </si>
  <si>
    <t>48KN0005</t>
  </si>
  <si>
    <t>16FH0014</t>
  </si>
  <si>
    <t>49KK0006</t>
  </si>
  <si>
    <t>48KK2015</t>
  </si>
  <si>
    <t>49KK0041</t>
  </si>
  <si>
    <t>48KK2003</t>
  </si>
  <si>
    <t>49KK0020</t>
  </si>
  <si>
    <t>49MG0040</t>
  </si>
  <si>
    <t>49KN1007</t>
  </si>
  <si>
    <t>50HM0010</t>
  </si>
  <si>
    <t>49LE0067</t>
  </si>
  <si>
    <t>49ED0004</t>
  </si>
  <si>
    <t>43KN0076</t>
  </si>
  <si>
    <t>48KN1005</t>
  </si>
  <si>
    <t>49KP0201</t>
  </si>
  <si>
    <t>13MB2002</t>
  </si>
  <si>
    <t>49MM0018</t>
  </si>
  <si>
    <t>40GS3005</t>
  </si>
  <si>
    <t>13IM0037</t>
  </si>
  <si>
    <t>AB</t>
  </si>
  <si>
    <t>43IM0090</t>
  </si>
  <si>
    <t>44KP0158</t>
  </si>
  <si>
    <t>12LE0001</t>
  </si>
  <si>
    <t>08GS0099</t>
  </si>
  <si>
    <t>15GS0058</t>
  </si>
  <si>
    <t>19IM1026</t>
  </si>
  <si>
    <t>18IM0091</t>
  </si>
  <si>
    <t>21HM0003</t>
  </si>
  <si>
    <t>49KK0044</t>
  </si>
  <si>
    <t>49KK0097</t>
  </si>
  <si>
    <t>49KK0105</t>
  </si>
  <si>
    <t>49KK0035</t>
  </si>
  <si>
    <t>49KK2005</t>
  </si>
  <si>
    <t>47KK0061</t>
  </si>
  <si>
    <t>49KK0081</t>
  </si>
  <si>
    <t>49KK0061</t>
  </si>
  <si>
    <t>49KK0066</t>
  </si>
  <si>
    <t>49KK0022</t>
  </si>
  <si>
    <t>49KK0051</t>
  </si>
  <si>
    <t>49KK0040</t>
  </si>
  <si>
    <t>49KK0089</t>
  </si>
  <si>
    <t>41MU0049</t>
  </si>
  <si>
    <t>49MG1002</t>
  </si>
  <si>
    <t>49IM1004</t>
  </si>
  <si>
    <t>49IM1006</t>
  </si>
  <si>
    <t>50HM0019</t>
  </si>
  <si>
    <t>48KM0022</t>
  </si>
  <si>
    <t>49KN1008</t>
  </si>
  <si>
    <t>49KN1005</t>
  </si>
  <si>
    <t>49HM0014</t>
  </si>
  <si>
    <t>45FH0005</t>
  </si>
  <si>
    <t>49KF0046</t>
  </si>
  <si>
    <t>49LE0051</t>
  </si>
  <si>
    <t>48KK0063</t>
  </si>
  <si>
    <t>48KK0008</t>
  </si>
  <si>
    <t>49GS0021</t>
  </si>
  <si>
    <t>48GS0044</t>
  </si>
  <si>
    <t>49GS0028</t>
  </si>
  <si>
    <t>49GS2006</t>
  </si>
  <si>
    <t>49GS0025</t>
  </si>
  <si>
    <t>49GS0044</t>
  </si>
  <si>
    <t>47US0012</t>
  </si>
  <si>
    <t>34HC0014</t>
  </si>
  <si>
    <t>49KF0045</t>
  </si>
  <si>
    <t>49GS0036</t>
  </si>
  <si>
    <t>50GS2005</t>
  </si>
  <si>
    <t>50ED0020</t>
  </si>
  <si>
    <t>49KK0013</t>
  </si>
  <si>
    <t>48GR0002</t>
  </si>
  <si>
    <t>15KP0043</t>
  </si>
  <si>
    <t>17KP1006</t>
  </si>
  <si>
    <t>17KP0145</t>
  </si>
  <si>
    <t>45MM0002</t>
  </si>
  <si>
    <t>49MM1001</t>
  </si>
  <si>
    <t>45MM0003</t>
  </si>
  <si>
    <t>09IM0054</t>
  </si>
  <si>
    <t>48KN2006</t>
  </si>
  <si>
    <t>47MU0028</t>
  </si>
  <si>
    <t>47MU1004</t>
  </si>
  <si>
    <t>43KF0008</t>
  </si>
  <si>
    <t>49KF2007</t>
  </si>
  <si>
    <t>50MM1003</t>
  </si>
  <si>
    <t>49MM1008</t>
  </si>
  <si>
    <t>43MM0023</t>
  </si>
  <si>
    <t>43KF0015</t>
  </si>
  <si>
    <t>48CL1001</t>
  </si>
  <si>
    <t>47CL1004</t>
  </si>
  <si>
    <t>45MM0001</t>
  </si>
  <si>
    <t>49KP1009</t>
  </si>
  <si>
    <t>49MM2011</t>
  </si>
  <si>
    <t>47MM1020</t>
  </si>
  <si>
    <t>48MM0029</t>
  </si>
  <si>
    <t>16SM0063</t>
  </si>
  <si>
    <t>KGR1956</t>
  </si>
  <si>
    <t>ABOVE</t>
  </si>
  <si>
    <t>KGR1955</t>
  </si>
  <si>
    <t>KGR1939</t>
  </si>
  <si>
    <t>KGR1940</t>
  </si>
  <si>
    <t>KGR1941</t>
  </si>
  <si>
    <t>KGR1957</t>
  </si>
  <si>
    <t>KGR1951</t>
  </si>
  <si>
    <t>BELOW</t>
  </si>
  <si>
    <t>KGR1933</t>
  </si>
  <si>
    <t>KGR1946</t>
  </si>
  <si>
    <t>KGR1944</t>
  </si>
  <si>
    <t>KGR1948</t>
  </si>
  <si>
    <t>KGR1943</t>
  </si>
  <si>
    <t>KGR1947</t>
  </si>
  <si>
    <t>KGR1942</t>
  </si>
  <si>
    <t>KGR1953</t>
  </si>
  <si>
    <t>KGR1952</t>
  </si>
  <si>
    <t>KGR1949</t>
  </si>
  <si>
    <t>KGR1950</t>
  </si>
  <si>
    <t>KGR1945</t>
  </si>
  <si>
    <t>KGT2805</t>
  </si>
  <si>
    <t>BOLD</t>
  </si>
  <si>
    <t>KGT2822</t>
  </si>
  <si>
    <t>KGT2759</t>
  </si>
  <si>
    <t>KGT2815</t>
  </si>
  <si>
    <t>KGT2760</t>
  </si>
  <si>
    <t>KGT2578</t>
  </si>
  <si>
    <t>KGT2643</t>
  </si>
  <si>
    <t>KIB35376</t>
  </si>
  <si>
    <t>BULK</t>
  </si>
  <si>
    <t>KDI6082</t>
  </si>
  <si>
    <t>KDI6169</t>
  </si>
  <si>
    <t>KIB35488</t>
  </si>
  <si>
    <t>KIB35417</t>
  </si>
  <si>
    <t>KDI6068</t>
  </si>
  <si>
    <t>KDI6093</t>
  </si>
  <si>
    <t>KDI6101</t>
  </si>
  <si>
    <t>KDI6067</t>
  </si>
  <si>
    <t>KDI6087</t>
  </si>
  <si>
    <t>KDI6086</t>
  </si>
  <si>
    <t>KDI6091</t>
  </si>
  <si>
    <t>KDI5962</t>
  </si>
  <si>
    <t>KDI6002</t>
  </si>
  <si>
    <t>KDI6165</t>
  </si>
  <si>
    <t>KIB35470</t>
  </si>
  <si>
    <t>KIB35471</t>
  </si>
  <si>
    <t>KDI5390</t>
  </si>
  <si>
    <t>KDI6058</t>
  </si>
  <si>
    <t>KIB35496</t>
  </si>
  <si>
    <t>KIB35497</t>
  </si>
  <si>
    <t>KIB35377</t>
  </si>
  <si>
    <t>KDI6063</t>
  </si>
  <si>
    <t>KIB35439</t>
  </si>
  <si>
    <t>KIB35498</t>
  </si>
  <si>
    <t>KIB35378</t>
  </si>
  <si>
    <t>KDI6170</t>
  </si>
  <si>
    <t>KIB35423</t>
  </si>
  <si>
    <t>KIB35476</t>
  </si>
  <si>
    <t>KDI6074</t>
  </si>
  <si>
    <t>KIB35379</t>
  </si>
  <si>
    <t>KIB35485</t>
  </si>
  <si>
    <t>47TK0003</t>
  </si>
  <si>
    <t>18IM1013</t>
  </si>
  <si>
    <t>11FH0038</t>
  </si>
  <si>
    <t>C</t>
  </si>
  <si>
    <t>49KK0075</t>
  </si>
  <si>
    <t>49KK0083</t>
  </si>
  <si>
    <t>49KK0053</t>
  </si>
  <si>
    <t>49KK0074</t>
  </si>
  <si>
    <t>49FH0022</t>
  </si>
  <si>
    <t>47MU0047</t>
  </si>
  <si>
    <t>49IM0044</t>
  </si>
  <si>
    <t>49KF0065</t>
  </si>
  <si>
    <t>50MM1001</t>
  </si>
  <si>
    <t>48KN0028</t>
  </si>
  <si>
    <t>50KN1001</t>
  </si>
  <si>
    <t>50HM0020</t>
  </si>
  <si>
    <t>49KN1016</t>
  </si>
  <si>
    <t>48KK0069</t>
  </si>
  <si>
    <t>49MM0017</t>
  </si>
  <si>
    <t>48KN0011</t>
  </si>
  <si>
    <t>48KN0009</t>
  </si>
  <si>
    <t>48TK0043</t>
  </si>
  <si>
    <t>50ME2008</t>
  </si>
  <si>
    <t>49TK0039</t>
  </si>
  <si>
    <t>49KF1004</t>
  </si>
  <si>
    <t>47MM0046</t>
  </si>
  <si>
    <t>49KP0134</t>
  </si>
  <si>
    <t>22HM0003</t>
  </si>
  <si>
    <t>46KK0021</t>
  </si>
  <si>
    <t>49LE0056</t>
  </si>
  <si>
    <t>49FH1001</t>
  </si>
  <si>
    <t>49MG0029</t>
  </si>
  <si>
    <t>49MG0048</t>
  </si>
  <si>
    <t>49KF3007</t>
  </si>
  <si>
    <t>48KF1003</t>
  </si>
  <si>
    <t>49TK0040</t>
  </si>
  <si>
    <t>49KF0040</t>
  </si>
  <si>
    <t>48LE0015</t>
  </si>
  <si>
    <t>51GS2001</t>
  </si>
  <si>
    <t>49KK0015</t>
  </si>
  <si>
    <t>49MM2009</t>
  </si>
  <si>
    <t>35MM0070</t>
  </si>
  <si>
    <t>48MM0031</t>
  </si>
  <si>
    <t>49KP0098</t>
  </si>
  <si>
    <t>48LE0016</t>
  </si>
  <si>
    <t>KCS8007</t>
  </si>
  <si>
    <t>CLEAN 1</t>
  </si>
  <si>
    <t>KCS8008</t>
  </si>
  <si>
    <t>KCS8374</t>
  </si>
  <si>
    <t>KCS8343</t>
  </si>
  <si>
    <t>KCS8259</t>
  </si>
  <si>
    <t>KCS8412</t>
  </si>
  <si>
    <t>KCS8372</t>
  </si>
  <si>
    <t>KCS8388</t>
  </si>
  <si>
    <t>KCS8378</t>
  </si>
  <si>
    <t>KCS8352</t>
  </si>
  <si>
    <t>KCS8413</t>
  </si>
  <si>
    <t>KCS8409</t>
  </si>
  <si>
    <t>KCS8383</t>
  </si>
  <si>
    <t>KCS8379</t>
  </si>
  <si>
    <t>KCS8408</t>
  </si>
  <si>
    <t>KCS8304</t>
  </si>
  <si>
    <t>KCS8373</t>
  </si>
  <si>
    <t>KCS8414</t>
  </si>
  <si>
    <t>KCS8369</t>
  </si>
  <si>
    <t>KCS8314</t>
  </si>
  <si>
    <t>KCS8346</t>
  </si>
  <si>
    <t>KCS8377</t>
  </si>
  <si>
    <t>KCS8345</t>
  </si>
  <si>
    <t>KCS8390</t>
  </si>
  <si>
    <t>KCS8246</t>
  </si>
  <si>
    <t>KCS8341</t>
  </si>
  <si>
    <t>KCS8415</t>
  </si>
  <si>
    <t>KCS8248</t>
  </si>
  <si>
    <t>KCS8267</t>
  </si>
  <si>
    <t>KCS8180</t>
  </si>
  <si>
    <t>KCS8417</t>
  </si>
  <si>
    <t>KCS8375</t>
  </si>
  <si>
    <t>KCS8249</t>
  </si>
  <si>
    <t>KCS8129</t>
  </si>
  <si>
    <t>KCS8247</t>
  </si>
  <si>
    <t>KCS8269</t>
  </si>
  <si>
    <t>KCS8376</t>
  </si>
  <si>
    <t>KCS8327</t>
  </si>
  <si>
    <t>KCS8406</t>
  </si>
  <si>
    <t>KCS8407</t>
  </si>
  <si>
    <t>KCS8389</t>
  </si>
  <si>
    <t>KCS8410</t>
  </si>
  <si>
    <t>KCS8399</t>
  </si>
  <si>
    <t>KCS8397</t>
  </si>
  <si>
    <t>KCS8398</t>
  </si>
  <si>
    <t>KCS8402</t>
  </si>
  <si>
    <t>KCS8386</t>
  </si>
  <si>
    <t>KCS8387</t>
  </si>
  <si>
    <t>KCS8400</t>
  </si>
  <si>
    <t>KCS8363</t>
  </si>
  <si>
    <t>KCS8266</t>
  </si>
  <si>
    <t>KCS8268</t>
  </si>
  <si>
    <t>KCS8403</t>
  </si>
  <si>
    <t>KCS8394</t>
  </si>
  <si>
    <t>KCS8393</t>
  </si>
  <si>
    <t>KCS8054</t>
  </si>
  <si>
    <t>KCS8384</t>
  </si>
  <si>
    <t>KCS8385</t>
  </si>
  <si>
    <t>KCS8055</t>
  </si>
  <si>
    <t>KCS8157</t>
  </si>
  <si>
    <t>KCS8050</t>
  </si>
  <si>
    <t>KCS8072</t>
  </si>
  <si>
    <t>KCS8283</t>
  </si>
  <si>
    <t>KCS8252</t>
  </si>
  <si>
    <t>KCS8253</t>
  </si>
  <si>
    <t>KCS8330</t>
  </si>
  <si>
    <t>KCS8332</t>
  </si>
  <si>
    <t>KCS8070</t>
  </si>
  <si>
    <t>KCS6890</t>
  </si>
  <si>
    <t>KCS8279</t>
  </si>
  <si>
    <t>46EC0004</t>
  </si>
  <si>
    <t>HE</t>
  </si>
  <si>
    <t>49ME2041</t>
  </si>
  <si>
    <t>KGT2824</t>
  </si>
  <si>
    <t>LIGHTS</t>
  </si>
  <si>
    <t>KGT2816</t>
  </si>
  <si>
    <t>KGT2817</t>
  </si>
  <si>
    <t>KGT2820</t>
  </si>
  <si>
    <t>KGT2825</t>
  </si>
  <si>
    <t>KGT2826</t>
  </si>
  <si>
    <t>KGT2818</t>
  </si>
  <si>
    <t>KGT2810</t>
  </si>
  <si>
    <t>KGT2813</t>
  </si>
  <si>
    <t>KGT2819</t>
  </si>
  <si>
    <t>KGT2812</t>
  </si>
  <si>
    <t>KGT2814</t>
  </si>
  <si>
    <t>19GF0004</t>
  </si>
  <si>
    <t>MH</t>
  </si>
  <si>
    <t>25KK0028</t>
  </si>
  <si>
    <t>49MG1005</t>
  </si>
  <si>
    <t>49IM0019</t>
  </si>
  <si>
    <t>19IM0001</t>
  </si>
  <si>
    <t>20BR0006</t>
  </si>
  <si>
    <t>26IM0010</t>
  </si>
  <si>
    <t>23KP1025</t>
  </si>
  <si>
    <t>26IM0011</t>
  </si>
  <si>
    <t>49IM0022</t>
  </si>
  <si>
    <t>ML</t>
  </si>
  <si>
    <t>20KK0067</t>
  </si>
  <si>
    <t>40LE4011</t>
  </si>
  <si>
    <t>49MG1006</t>
  </si>
  <si>
    <t>NH</t>
  </si>
  <si>
    <t>49LE0002</t>
  </si>
  <si>
    <t>39IM0001</t>
  </si>
  <si>
    <t>NL</t>
  </si>
  <si>
    <t>20KP0002</t>
  </si>
  <si>
    <t>43KN0031</t>
  </si>
  <si>
    <t>PB</t>
  </si>
  <si>
    <t>21CB2005</t>
  </si>
  <si>
    <t>49KK2007</t>
  </si>
  <si>
    <t>49KK0084</t>
  </si>
  <si>
    <t>49KK0070</t>
  </si>
  <si>
    <t>49KK0024</t>
  </si>
  <si>
    <t>40KM0009</t>
  </si>
  <si>
    <t>49KF2018</t>
  </si>
  <si>
    <t>49KN2014</t>
  </si>
  <si>
    <t>49KN2017</t>
  </si>
  <si>
    <t>49KN2002</t>
  </si>
  <si>
    <t>47KN0047</t>
  </si>
  <si>
    <t>47KF0003</t>
  </si>
  <si>
    <t>48KK0007</t>
  </si>
  <si>
    <t>50GS2004</t>
  </si>
  <si>
    <t>50ME2012</t>
  </si>
  <si>
    <t>44EC0023</t>
  </si>
  <si>
    <t>16KP1010</t>
  </si>
  <si>
    <t>18KP2006</t>
  </si>
  <si>
    <t>48KK2004</t>
  </si>
  <si>
    <t>40MU0027</t>
  </si>
  <si>
    <t>49MU2008</t>
  </si>
  <si>
    <t>44KF0019</t>
  </si>
  <si>
    <t>37MB2001</t>
  </si>
  <si>
    <t>50ME2010</t>
  </si>
  <si>
    <t>50ME2111</t>
  </si>
  <si>
    <t>REJECTS</t>
  </si>
  <si>
    <t>KCS8404</t>
  </si>
  <si>
    <t>KCS8401</t>
  </si>
  <si>
    <t>KCS8391</t>
  </si>
  <si>
    <t>KCS8370</t>
  </si>
  <si>
    <t>KCS8419</t>
  </si>
  <si>
    <t>KCS8405</t>
  </si>
  <si>
    <t>KCS8362</t>
  </si>
  <si>
    <t>KCS8366</t>
  </si>
  <si>
    <t>KCS8382</t>
  </si>
  <si>
    <t>KCS8395</t>
  </si>
  <si>
    <t>KCS8396</t>
  </si>
  <si>
    <t>KCS8418</t>
  </si>
  <si>
    <t>KCS8392</t>
  </si>
  <si>
    <t>KCS8364</t>
  </si>
  <si>
    <t>KCS8358</t>
  </si>
  <si>
    <t>KCS8359</t>
  </si>
  <si>
    <t>KCS8411</t>
  </si>
  <si>
    <t>KCS8380</t>
  </si>
  <si>
    <t>KCS8381</t>
  </si>
  <si>
    <t>47KF0076</t>
  </si>
  <si>
    <t>T</t>
  </si>
  <si>
    <t>42MU2006</t>
  </si>
  <si>
    <t>49KK0045</t>
  </si>
  <si>
    <t>49KN1001</t>
  </si>
  <si>
    <t>50ME2020</t>
  </si>
  <si>
    <t>40MU2008</t>
  </si>
  <si>
    <t>50ME2021</t>
  </si>
  <si>
    <t>43KN0063</t>
  </si>
  <si>
    <t>32KF0016</t>
  </si>
  <si>
    <t>43KF1013</t>
  </si>
  <si>
    <t>47GF0001</t>
  </si>
  <si>
    <t>45KF0119</t>
  </si>
  <si>
    <t>51GS2004</t>
  </si>
  <si>
    <t>49MM2001</t>
  </si>
  <si>
    <t>49MM2020</t>
  </si>
  <si>
    <t>49KN2007</t>
  </si>
  <si>
    <t>TT</t>
  </si>
  <si>
    <t>49KK2011</t>
  </si>
  <si>
    <t>48KK2011</t>
  </si>
  <si>
    <t>49KN2012</t>
  </si>
  <si>
    <t>50ME2006</t>
  </si>
  <si>
    <t>49MM2005</t>
  </si>
  <si>
    <t>49KK2001</t>
  </si>
  <si>
    <t>50ME2004</t>
  </si>
  <si>
    <t>47CB2001</t>
  </si>
  <si>
    <t>UG</t>
  </si>
  <si>
    <t>10HM0011</t>
  </si>
  <si>
    <t>UG1</t>
  </si>
  <si>
    <t>10HM0012</t>
  </si>
  <si>
    <t>50MG1003</t>
  </si>
  <si>
    <t>49KN1009</t>
  </si>
  <si>
    <t>47NC0003</t>
  </si>
  <si>
    <t>50TK0013</t>
  </si>
  <si>
    <t>48KN0008</t>
  </si>
  <si>
    <t>48LE0023</t>
  </si>
  <si>
    <t>50FH1001</t>
  </si>
  <si>
    <t>UG2</t>
  </si>
  <si>
    <t>50FH1002</t>
  </si>
  <si>
    <t>47MU1008</t>
  </si>
  <si>
    <t>42KN1009</t>
  </si>
  <si>
    <t>48KN1008</t>
  </si>
  <si>
    <t>KGT2802</t>
  </si>
  <si>
    <t>48MM1003</t>
  </si>
  <si>
    <t>47KN0009</t>
  </si>
  <si>
    <t>48SM1004</t>
  </si>
  <si>
    <t>49KK0002</t>
  </si>
  <si>
    <t>48LE0014</t>
  </si>
  <si>
    <t>49MG0015</t>
  </si>
  <si>
    <t>47EC0003</t>
  </si>
  <si>
    <t>49KK0038</t>
  </si>
  <si>
    <t>48MM1013</t>
  </si>
  <si>
    <t>48KK0049</t>
  </si>
  <si>
    <t>48KK0005</t>
  </si>
  <si>
    <t>48KK0055</t>
  </si>
  <si>
    <t>44KK0020</t>
  </si>
  <si>
    <t>47SM0023</t>
  </si>
  <si>
    <t>47SM0027</t>
  </si>
  <si>
    <t>46SM1004</t>
  </si>
  <si>
    <t>47MM1026</t>
  </si>
  <si>
    <t>48KK0082</t>
  </si>
  <si>
    <t>48KK0033</t>
  </si>
  <si>
    <t>48MG1003</t>
  </si>
  <si>
    <t>46MG0007</t>
  </si>
  <si>
    <t>47KF1015</t>
  </si>
  <si>
    <t>48IM0064</t>
  </si>
  <si>
    <t>48KK0027</t>
  </si>
  <si>
    <t>47FH0010</t>
  </si>
  <si>
    <t>48KK0073</t>
  </si>
  <si>
    <t>47FH0019</t>
  </si>
  <si>
    <t>49MG0013</t>
  </si>
  <si>
    <t>47CL1001</t>
  </si>
  <si>
    <t>48TK0029</t>
  </si>
  <si>
    <t>49KP1002</t>
  </si>
  <si>
    <t>48KP1003</t>
  </si>
  <si>
    <t>47KP0088</t>
  </si>
  <si>
    <t>48SM1005</t>
  </si>
  <si>
    <t>48GT0001</t>
  </si>
  <si>
    <t>47MM0065</t>
  </si>
  <si>
    <t>45KP0019</t>
  </si>
  <si>
    <t>KCS8344</t>
  </si>
  <si>
    <t>KCS8096</t>
  </si>
  <si>
    <t>KCS8245</t>
  </si>
  <si>
    <t>KCS8288</t>
  </si>
  <si>
    <t>System Quantity (Units)</t>
  </si>
  <si>
    <t xml:space="preserve">System Total </t>
  </si>
  <si>
    <t>Physical Count</t>
  </si>
  <si>
    <t xml:space="preserve">Off system </t>
  </si>
  <si>
    <t>Qty Stocks Var</t>
  </si>
  <si>
    <t>Variance  reason code</t>
  </si>
  <si>
    <t>IBERO Warehouse</t>
  </si>
  <si>
    <t>MITCHEL COTTS</t>
  </si>
  <si>
    <t>MAXA AFRICA LOGISTICS</t>
  </si>
  <si>
    <t>KCCE</t>
  </si>
  <si>
    <t>Sum of Units</t>
  </si>
  <si>
    <t xml:space="preserve">EX_OFFICE  </t>
  </si>
  <si>
    <t>SWEEPINGS</t>
  </si>
  <si>
    <t>FRANCHISE</t>
  </si>
  <si>
    <t>DATE: ……30.09.2026…………………………………………………………………………………….</t>
  </si>
  <si>
    <t>DATE: …30.09.2026……………………………………………………………………………………….</t>
  </si>
  <si>
    <t>DATE: ………30.09.2026………………………………………………………………………………….</t>
  </si>
  <si>
    <t>DATE: …………30.09.2026……………………………………………………………………………….</t>
  </si>
  <si>
    <t>DATE: ………………………………………………………………………………………….</t>
  </si>
  <si>
    <t>Outturn</t>
  </si>
  <si>
    <t>Warehouse</t>
  </si>
  <si>
    <t>Grade</t>
  </si>
  <si>
    <t>Bags</t>
  </si>
  <si>
    <t>Pockets</t>
  </si>
  <si>
    <t>Units</t>
  </si>
  <si>
    <t>Physical Weight</t>
  </si>
  <si>
    <t>Location</t>
  </si>
  <si>
    <t>Zone</t>
  </si>
  <si>
    <t>Created</t>
  </si>
  <si>
    <t>Created By</t>
  </si>
  <si>
    <t>Receive Grade</t>
  </si>
  <si>
    <t>Receive Bags</t>
  </si>
  <si>
    <t>Receive Pockets</t>
  </si>
  <si>
    <t>Receive Units</t>
  </si>
  <si>
    <t>Receive Weight</t>
  </si>
  <si>
    <t>Receive Location</t>
  </si>
  <si>
    <t>Receive Zone</t>
  </si>
  <si>
    <t>Receive Variance Comments</t>
  </si>
  <si>
    <t>Received By</t>
  </si>
  <si>
    <t>Time Received</t>
  </si>
  <si>
    <t>XBS Variance Comments</t>
  </si>
  <si>
    <t>XBS_Units</t>
  </si>
  <si>
    <t>XBS_60 Kg Bags</t>
  </si>
  <si>
    <t>CountStatus</t>
  </si>
  <si>
    <t>IS PerVeriance</t>
  </si>
  <si>
    <t>G-06</t>
  </si>
  <si>
    <t>IberoKe - Bulking Clerk - Eric Ochieng</t>
  </si>
  <si>
    <t>To be verified</t>
  </si>
  <si>
    <t>Completed</t>
  </si>
  <si>
    <t>No</t>
  </si>
  <si>
    <t>D-10</t>
  </si>
  <si>
    <t>TFMKe - Quality - Stanley Kiswii</t>
  </si>
  <si>
    <t xml:space="preserve">To be verified </t>
  </si>
  <si>
    <t>F-05</t>
  </si>
  <si>
    <t>IberoKe - Bulking Clerk - Silas Onyango</t>
  </si>
  <si>
    <t>To Verify</t>
  </si>
  <si>
    <t>G-07</t>
  </si>
  <si>
    <t>IberoKe - Processing Clerk - Robert Lumbasi</t>
  </si>
  <si>
    <t>Chenkt</t>
  </si>
  <si>
    <t>G-05</t>
  </si>
  <si>
    <t>To verify</t>
  </si>
  <si>
    <t>G-08</t>
  </si>
  <si>
    <t>IberoKe - Warehouse Clerk - Mary Karanja</t>
  </si>
  <si>
    <t xml:space="preserve">Physical count </t>
  </si>
  <si>
    <t xml:space="preserve">To verify </t>
  </si>
  <si>
    <t>F-06</t>
  </si>
  <si>
    <t>E-05</t>
  </si>
  <si>
    <t>F-14</t>
  </si>
  <si>
    <t>TFMKe - Effienely Najala</t>
  </si>
  <si>
    <t>Checkt</t>
  </si>
  <si>
    <t>C-08</t>
  </si>
  <si>
    <t>C-11</t>
  </si>
  <si>
    <t>IberoKe - Warehouse Supervisor - Millicent Awuondo</t>
  </si>
  <si>
    <t>F-09</t>
  </si>
  <si>
    <t>IberoKe ��� Warehouse Clerk - Consolata Muriuki</t>
  </si>
  <si>
    <t>C-10</t>
  </si>
  <si>
    <t>D-05</t>
  </si>
  <si>
    <t>E-09</t>
  </si>
  <si>
    <t>C-04</t>
  </si>
  <si>
    <t>TFMke - Finance - Ashumptah Waeni</t>
  </si>
  <si>
    <t>To confirm</t>
  </si>
  <si>
    <t>B-08</t>
  </si>
  <si>
    <t xml:space="preserve">To confirm </t>
  </si>
  <si>
    <t>To veify</t>
  </si>
  <si>
    <t>B-11</t>
  </si>
  <si>
    <t>TFMKe - Evance Otieno</t>
  </si>
  <si>
    <t>D-09</t>
  </si>
  <si>
    <t>D-06</t>
  </si>
  <si>
    <t>C-05</t>
  </si>
  <si>
    <t>47SL1007</t>
  </si>
  <si>
    <t>E-14</t>
  </si>
  <si>
    <t>TFMKe - Jackline Ruhohi</t>
  </si>
  <si>
    <t xml:space="preserve">To be reviewed. </t>
  </si>
  <si>
    <t>C-07</t>
  </si>
  <si>
    <t>A-11</t>
  </si>
  <si>
    <t>KIB36423</t>
  </si>
  <si>
    <t>To be reviewed</t>
  </si>
  <si>
    <t>C-06</t>
  </si>
  <si>
    <t>B-06</t>
  </si>
  <si>
    <t>B-10</t>
  </si>
  <si>
    <t>B-07</t>
  </si>
  <si>
    <t>B-04</t>
  </si>
  <si>
    <t>B-05 C-05</t>
  </si>
  <si>
    <t>B-05</t>
  </si>
  <si>
    <t>48KK005</t>
  </si>
  <si>
    <t>D-14</t>
  </si>
  <si>
    <t>A-05</t>
  </si>
  <si>
    <t>B-03</t>
  </si>
  <si>
    <t>A-04 A-05</t>
  </si>
  <si>
    <t>To be reveiwed</t>
  </si>
  <si>
    <t>A-12</t>
  </si>
  <si>
    <t>C-14 D-13</t>
  </si>
  <si>
    <t>A-04</t>
  </si>
  <si>
    <t>A-10</t>
  </si>
  <si>
    <t>C-14</t>
  </si>
  <si>
    <t>C-13</t>
  </si>
  <si>
    <t>B-09</t>
  </si>
  <si>
    <t>B-13</t>
  </si>
  <si>
    <t>C-09</t>
  </si>
  <si>
    <t>A-03 A-04</t>
  </si>
  <si>
    <t>A-03</t>
  </si>
  <si>
    <t>A-13</t>
  </si>
  <si>
    <t>A-14</t>
  </si>
  <si>
    <t>To be verifief</t>
  </si>
  <si>
    <t>B-12</t>
  </si>
  <si>
    <t>E-01</t>
  </si>
  <si>
    <t>20BR0001</t>
  </si>
  <si>
    <t>A-01</t>
  </si>
  <si>
    <t>B-01</t>
  </si>
  <si>
    <t>B-02</t>
  </si>
  <si>
    <t>C-02</t>
  </si>
  <si>
    <t>C-03</t>
  </si>
  <si>
    <t>D-01</t>
  </si>
  <si>
    <t>G-01</t>
  </si>
  <si>
    <t>B-14</t>
  </si>
  <si>
    <t>G-11</t>
  </si>
  <si>
    <t>F-10</t>
  </si>
  <si>
    <t>OUTTURN</t>
  </si>
  <si>
    <t>BAGS</t>
  </si>
  <si>
    <t>POCKET</t>
  </si>
  <si>
    <t>UNIT</t>
  </si>
  <si>
    <t>KDI6088</t>
  </si>
  <si>
    <t>KDI6117</t>
  </si>
  <si>
    <t>KDI6095</t>
  </si>
  <si>
    <t>KDI6073</t>
  </si>
  <si>
    <t>KDI6111</t>
  </si>
  <si>
    <t>KDI6105</t>
  </si>
  <si>
    <t>KDI6097</t>
  </si>
  <si>
    <t>KDI6044</t>
  </si>
  <si>
    <t>KDI6079</t>
  </si>
  <si>
    <t>KDI6070</t>
  </si>
  <si>
    <t>KDI6077</t>
  </si>
  <si>
    <t>KDI6120</t>
  </si>
  <si>
    <t>KDI6071</t>
  </si>
  <si>
    <t>KDI6125</t>
  </si>
  <si>
    <t>KDI6085</t>
  </si>
  <si>
    <t>KDI6090</t>
  </si>
  <si>
    <t>KDI6089</t>
  </si>
  <si>
    <t>KDI6072</t>
  </si>
  <si>
    <t>KDI6057</t>
  </si>
  <si>
    <t>KDI6064</t>
  </si>
  <si>
    <t>KDI6121</t>
  </si>
  <si>
    <t>KDI6122</t>
  </si>
  <si>
    <t>KDI6054</t>
  </si>
  <si>
    <t>KDI6104</t>
  </si>
  <si>
    <t>KDI6108</t>
  </si>
  <si>
    <t>KDI6107</t>
  </si>
  <si>
    <t>KDI6126</t>
  </si>
  <si>
    <t>KDI6123</t>
  </si>
  <si>
    <t>KDI6098</t>
  </si>
  <si>
    <t>KDI6147</t>
  </si>
  <si>
    <t>KDI6145</t>
  </si>
  <si>
    <t>KDI6142</t>
  </si>
  <si>
    <t>KDI6140</t>
  </si>
  <si>
    <t>KDI6128</t>
  </si>
  <si>
    <t>KDI6146</t>
  </si>
  <si>
    <t>KDI6171</t>
  </si>
  <si>
    <t>KDI6164</t>
  </si>
  <si>
    <t>KDI6163</t>
  </si>
  <si>
    <t>KDI6159</t>
  </si>
  <si>
    <t>KDI6160</t>
  </si>
  <si>
    <t>KDI6154</t>
  </si>
  <si>
    <t>KDI6138</t>
  </si>
  <si>
    <t>KDI6156</t>
  </si>
  <si>
    <t>KDI6153</t>
  </si>
  <si>
    <t>KDI6148</t>
  </si>
  <si>
    <t>KDI6129</t>
  </si>
  <si>
    <t>KDI6143</t>
  </si>
  <si>
    <t>KDI6151</t>
  </si>
  <si>
    <t>KDI6155</t>
  </si>
  <si>
    <t>KDI6149</t>
  </si>
  <si>
    <t>Total</t>
  </si>
  <si>
    <t>Item Group Name</t>
  </si>
  <si>
    <t>Item Name</t>
  </si>
  <si>
    <t>Item Code</t>
  </si>
  <si>
    <t>Secondary Basket</t>
  </si>
  <si>
    <t>Item Phase</t>
  </si>
  <si>
    <t>Inventory Type</t>
  </si>
  <si>
    <t>Stock In</t>
  </si>
  <si>
    <t>Intake Date</t>
  </si>
  <si>
    <t>Batch No</t>
  </si>
  <si>
    <t>Outturn No</t>
  </si>
  <si>
    <t>Grower Marks</t>
  </si>
  <si>
    <t>Stock In Day(s)</t>
  </si>
  <si>
    <t>Packing Type</t>
  </si>
  <si>
    <t>Qty.</t>
  </si>
  <si>
    <t>UOM</t>
  </si>
  <si>
    <t>Blocked</t>
  </si>
  <si>
    <t>LB No.</t>
  </si>
  <si>
    <t>SO No.</t>
  </si>
  <si>
    <t>PO No.</t>
  </si>
  <si>
    <t>Supplier</t>
  </si>
  <si>
    <t>Supplier Address</t>
  </si>
  <si>
    <t>Certification</t>
  </si>
  <si>
    <t>Outturn / Factor</t>
  </si>
  <si>
    <t>Warrant No</t>
  </si>
  <si>
    <t>Cup Score</t>
  </si>
  <si>
    <t xml:space="preserve">ARABICA </t>
  </si>
  <si>
    <t>10030
(AA Plus)</t>
  </si>
  <si>
    <t>Finished Good</t>
  </si>
  <si>
    <t>2025/2026</t>
  </si>
  <si>
    <t>WAREHOUSE</t>
  </si>
  <si>
    <t>C-12/13-6</t>
  </si>
  <si>
    <t>2025/2026-DS10322-1-GUAMA/XAD03F07</t>
  </si>
  <si>
    <t>GUAMA/XAD03F07</t>
  </si>
  <si>
    <t>60 KG JUTE BAG</t>
  </si>
  <si>
    <t>Kg</t>
  </si>
  <si>
    <t>Yes</t>
  </si>
  <si>
    <t>2020/2021-002324#0063317</t>
  </si>
  <si>
    <t>BARAGWI F.C. SOC. LTD.</t>
  </si>
  <si>
    <t>9,XAD03, KIANYAGA, KIRINYAGA, KENYA</t>
  </si>
  <si>
    <t>RAINFOREST ALLIANCE, CAFÉ PRACTICES</t>
  </si>
  <si>
    <t>70786</t>
  </si>
  <si>
    <t>C+--C+</t>
  </si>
  <si>
    <t>E-01/02-9</t>
  </si>
  <si>
    <t>2025/2026-DS10362-7-KII</t>
  </si>
  <si>
    <t>Kii</t>
  </si>
  <si>
    <t>2020/2021-002324#0063321</t>
  </si>
  <si>
    <t>RUNG`ETO F.C.SOC LTD</t>
  </si>
  <si>
    <t>2445,XAD14, EMBU, KIRINYAGA, KENYA</t>
  </si>
  <si>
    <t>WR-060780</t>
  </si>
  <si>
    <t>E-01-4</t>
  </si>
  <si>
    <t>2025/2026-DS10362-1-KARIMIKUI</t>
  </si>
  <si>
    <t>KARIMIKUI</t>
  </si>
  <si>
    <t>2020/2021-002324#0063319</t>
  </si>
  <si>
    <t>WR-060778</t>
  </si>
  <si>
    <t>E-01-7</t>
  </si>
  <si>
    <t>2025/2026-DS10362-4-KIANGOI</t>
  </si>
  <si>
    <t>Kiangoi</t>
  </si>
  <si>
    <t>2020/2021-002324#0063320</t>
  </si>
  <si>
    <t>WR-060779</t>
  </si>
  <si>
    <t>10060
(AA FAQ)</t>
  </si>
  <si>
    <t>TEMP-0-0</t>
  </si>
  <si>
    <t>2025/2026-18-3745-16FH0014/KAHETE/XAB34F04</t>
  </si>
  <si>
    <t>16FH0014/KAHETE/XAB34F04</t>
  </si>
  <si>
    <t>2020/2021-002029#0054839</t>
  </si>
  <si>
    <t>IBERO KENYA</t>
  </si>
  <si>
    <t>Sukari Ind. Estate Northern Bypass Ruiru, NAIROBI, NAIROBI, KENYA</t>
  </si>
  <si>
    <t>W260216WGF</t>
  </si>
  <si>
    <t>C--C</t>
  </si>
  <si>
    <t>2025/2026-41-3391-49KK0006/MOINDICOFFEEFARM/EB.013</t>
  </si>
  <si>
    <t>49KK0006/MOINDICOFFEEFARM/EB.0139</t>
  </si>
  <si>
    <t>2020/2021-002334#0063602</t>
  </si>
  <si>
    <t>W260919CCJ</t>
  </si>
  <si>
    <t>C/D--C/D</t>
  </si>
  <si>
    <t>2025/2026-41-3392-48KK2015/C/BULK</t>
  </si>
  <si>
    <t>48KK2015/C/BULK</t>
  </si>
  <si>
    <t>2020/2021-002334#0063603</t>
  </si>
  <si>
    <t>W260921NUC</t>
  </si>
  <si>
    <t>2025/2026-41-3394-49KK0041/SERENGFCS/XCE37F01</t>
  </si>
  <si>
    <t>49KK0041/SERENGFCS/XCE37F01</t>
  </si>
  <si>
    <t>2020/2021-002334#0063604</t>
  </si>
  <si>
    <t>W260919JZX</t>
  </si>
  <si>
    <t>2025/2026-41-3395-48KK2003/C/BULK</t>
  </si>
  <si>
    <t>48KK2003/C/BULK</t>
  </si>
  <si>
    <t>2020/2021-002334#0063605</t>
  </si>
  <si>
    <t>W2609214AQ</t>
  </si>
  <si>
    <t>2025/2026-41-3408-49KK0020/SOIMOIFCS/XCE111F01</t>
  </si>
  <si>
    <t>49KK0020/SOIMOIFCS/XCE111F01</t>
  </si>
  <si>
    <t>2020/2021-002334#0063606</t>
  </si>
  <si>
    <t>W260919D2F</t>
  </si>
  <si>
    <t>2025/2026-41-4321-MENUFCS/XDA13.F01</t>
  </si>
  <si>
    <t>MENUFCS/XDA13.F01</t>
  </si>
  <si>
    <t>2020/2021-002334#0063629</t>
  </si>
  <si>
    <t>W260919AAW</t>
  </si>
  <si>
    <t>2025/2026-41-6655-P/BULK</t>
  </si>
  <si>
    <t>P/BULK</t>
  </si>
  <si>
    <t>2020/2021-002334#0063663</t>
  </si>
  <si>
    <t>RAINFOREST ALLIANCE, FAIRTRADE</t>
  </si>
  <si>
    <t>W2609195BA</t>
  </si>
  <si>
    <t>2025/2026-41-7041-RIASAKAMIESTATE/EB0095</t>
  </si>
  <si>
    <t>RIASAKAMIESTATE/EB0095</t>
  </si>
  <si>
    <t>2020/2021-002334#0063667</t>
  </si>
  <si>
    <t>W260915V3R</t>
  </si>
  <si>
    <t>2025/2026-41-7044-KIBIRIRGUTFCS/XCE110</t>
  </si>
  <si>
    <t>KIBIRIRGUTFCS/XCE110</t>
  </si>
  <si>
    <t>2020/2021-002334#0063668</t>
  </si>
  <si>
    <t>W260916WZ2</t>
  </si>
  <si>
    <t>2025/2026-41-7352-MAKENGA/BF0269</t>
  </si>
  <si>
    <t>MAKENGA/BF0269</t>
  </si>
  <si>
    <t>2020/2021-002334#0063678</t>
  </si>
  <si>
    <t>W260918F9F</t>
  </si>
  <si>
    <t>F-02-2</t>
  </si>
  <si>
    <t>2025/2026-DS10342-1-KIAMUTUIRA</t>
  </si>
  <si>
    <t>KIAMUTUIRA</t>
  </si>
  <si>
    <t>2020/2021-002324#0063318</t>
  </si>
  <si>
    <t>MUTIRA COOPERATIVE</t>
  </si>
  <si>
    <t>P.O.BOX 54, KERUGOYA, KIRINYAGA, KENYA</t>
  </si>
  <si>
    <t>WR-060225</t>
  </si>
  <si>
    <t>F-02-3</t>
  </si>
  <si>
    <t>2025/2026-DS10364-1-BULK</t>
  </si>
  <si>
    <t>2020/2021-002324#0063322</t>
  </si>
  <si>
    <t>WR-060777</t>
  </si>
  <si>
    <t>2025/2026-41-5708-49KP0201/ADEQUATEVENTURESLTD/46E</t>
  </si>
  <si>
    <t>49KP0201/ADEQUATEVENTURESLTD/46EF004</t>
  </si>
  <si>
    <t>2020/2021-002335#0063702</t>
  </si>
  <si>
    <t>W260921GSY</t>
  </si>
  <si>
    <t>10090
(AA Minus)</t>
  </si>
  <si>
    <t>2024/2025</t>
  </si>
  <si>
    <t>2024/2025-14-7045-C/BULK</t>
  </si>
  <si>
    <t>C/BULK</t>
  </si>
  <si>
    <t>2020/2021-001567#0041554</t>
  </si>
  <si>
    <t>W250113SHA</t>
  </si>
  <si>
    <t>D---D-</t>
  </si>
  <si>
    <t>2026/2027-DS10423-4-MARACOFFEE</t>
  </si>
  <si>
    <t>MARACOFFEE</t>
  </si>
  <si>
    <t>MARA COFFEE EXPORTERS</t>
  </si>
  <si>
    <t>P. O BOX, 
TRANSMARA, N/A, N/A, KENYA</t>
  </si>
  <si>
    <t>CC-90592(AA)</t>
  </si>
  <si>
    <t>D--D</t>
  </si>
  <si>
    <t>C-02/03-1</t>
  </si>
  <si>
    <t>2025/2026-34-4911-MISADHIFCS/XEB03F01</t>
  </si>
  <si>
    <t>MISADHIFCS/XEB03F01</t>
  </si>
  <si>
    <t>W2608035WX</t>
  </si>
  <si>
    <t>10020
(AB/PB Top)</t>
  </si>
  <si>
    <t>2025/2026-15-6064-KARIMIKUI/XAD14F02</t>
  </si>
  <si>
    <t>KARIMIKUI/XAD14F02</t>
  </si>
  <si>
    <t>2020/2021-001991#0053537</t>
  </si>
  <si>
    <t>FAIRTRADE, CAFÉ PRACTICES, EUDR Aligned</t>
  </si>
  <si>
    <t>15_6064_W260123VRF</t>
  </si>
  <si>
    <t>10040
(AB/PB Plus)</t>
  </si>
  <si>
    <t>A-11-1</t>
  </si>
  <si>
    <t>2025/2026-35-6039-GACHUIRO/XAC62F03</t>
  </si>
  <si>
    <t>GACHUIRO/XAC62F03</t>
  </si>
  <si>
    <t>RAINFOREST ALLIANCE</t>
  </si>
  <si>
    <t>W260806ZL3</t>
  </si>
  <si>
    <t>A-14-5</t>
  </si>
  <si>
    <t>2025/2026-DS10362-5-KIANGOI</t>
  </si>
  <si>
    <t>WR-060785</t>
  </si>
  <si>
    <t>C-02/03-3</t>
  </si>
  <si>
    <t>2025/2026-37-5713-KASINGAFCSOCLTD/XBE27F01</t>
  </si>
  <si>
    <t>KASINGAFCSOCLTD/XBE27F01</t>
  </si>
  <si>
    <t>W260821388</t>
  </si>
  <si>
    <t>10070
(AB/PB FAQ)</t>
  </si>
  <si>
    <t>2025/2026-14-3513-12LE0001/TUIYOBEEKFCS/XCE127F01</t>
  </si>
  <si>
    <t>12LE0001/TUIYOBEEKFCS/XCE127F01</t>
  </si>
  <si>
    <t>2020/2021-001980#0053089</t>
  </si>
  <si>
    <t>W260119YTZ</t>
  </si>
  <si>
    <t>2025/2026-16-4917-MOROMBAFCS/XEA09F01</t>
  </si>
  <si>
    <t>MOROMBAFCS/XEA09F01</t>
  </si>
  <si>
    <t>2020/2021-002003#0053950</t>
  </si>
  <si>
    <t>W260202WF9</t>
  </si>
  <si>
    <t>2025/2026-19-4913-NYAGUTAFCS/XEA15F01</t>
  </si>
  <si>
    <t>NYAGUTAFCS/XEA15F01</t>
  </si>
  <si>
    <t>2020/2021-002078#0056075</t>
  </si>
  <si>
    <t>W260223ZRX</t>
  </si>
  <si>
    <t>2025/2026-21-6091-P/BULK</t>
  </si>
  <si>
    <t>2020/2021-002109#0057549</t>
  </si>
  <si>
    <t>W260309HWW</t>
  </si>
  <si>
    <t>2025/2026-21-6102-KABNGETUNY/XCE05F01</t>
  </si>
  <si>
    <t>KABNGETUNY/XCE05F01</t>
  </si>
  <si>
    <t>2020/2021-002109#0057557</t>
  </si>
  <si>
    <t>W260309MZM</t>
  </si>
  <si>
    <t>2025/2026-23-5988-LENGONFCS/ZA.0020</t>
  </si>
  <si>
    <t>LENGONFCS/ZA.0020</t>
  </si>
  <si>
    <t>2020/2021-002167#0059416</t>
  </si>
  <si>
    <t>W260323GVL</t>
  </si>
  <si>
    <t>2025/2026-41-3338-49KK0006/MOINDICOFFEEFARM/EB.013</t>
  </si>
  <si>
    <t>2020/2021-002334#0063577</t>
  </si>
  <si>
    <t>W26092142T</t>
  </si>
  <si>
    <t>2025/2026-41-3339-49KK0044/NGIGEPN/CI.0059</t>
  </si>
  <si>
    <t>49KK0044/NGIGEPN/CI.0059</t>
  </si>
  <si>
    <t>2020/2021-002334#0063578</t>
  </si>
  <si>
    <t>W260921VG6</t>
  </si>
  <si>
    <t>2025/2026-41-3342-49KK0097/BWOGOESTATE/29CF00140</t>
  </si>
  <si>
    <t>49KK0097/BWOGOESTATE/29CF00140</t>
  </si>
  <si>
    <t>2020/2021-002334#0063579</t>
  </si>
  <si>
    <t>W260919REJ</t>
  </si>
  <si>
    <t>2025/2026-41-3344-49KK0105/MICROSESTATE/35CE130</t>
  </si>
  <si>
    <t>49KK0105/MICROSESTATE/35CE130</t>
  </si>
  <si>
    <t>2020/2021-002334#0063580</t>
  </si>
  <si>
    <t>W260919FFT</t>
  </si>
  <si>
    <t>2025/2026-41-3346-49KK0035/ALFREDKIPKEMOI/29ZAO022</t>
  </si>
  <si>
    <t>49KK0035/ALFREDKIPKEMOI/29ZAO022</t>
  </si>
  <si>
    <t>2020/2021-002334#0063581</t>
  </si>
  <si>
    <t>W260919J3E</t>
  </si>
  <si>
    <t>2025/2026-41-3347-49KK2005/C/BULK</t>
  </si>
  <si>
    <t>49KK2005/C/BULK</t>
  </si>
  <si>
    <t>2020/2021-002334#0063582</t>
  </si>
  <si>
    <t>W260921NMB</t>
  </si>
  <si>
    <t>2025/2026-41-3348-49KK0041/SERENGFCS/XCE37F01</t>
  </si>
  <si>
    <t>2020/2021-002334#0063583</t>
  </si>
  <si>
    <t>W260919SB8</t>
  </si>
  <si>
    <t>2025/2026-41-3351-47KK0061/SOIMOIFCS/XCE111F01</t>
  </si>
  <si>
    <t>47KK0061/SOIMOIFCS/XCE111F01</t>
  </si>
  <si>
    <t>2020/2021-002334#0063584</t>
  </si>
  <si>
    <t>W260919BFF</t>
  </si>
  <si>
    <t>2025/2026-41-3352-49KK0081/CHOMISIANFCS/XCE142F01</t>
  </si>
  <si>
    <t>49KK0081/CHOMISIANFCS/XCE142F01</t>
  </si>
  <si>
    <t>2020/2021-002334#0063585</t>
  </si>
  <si>
    <t>W260919DC7</t>
  </si>
  <si>
    <t>2025/2026-41-3353-49KK0061/KAPIASFCS/XCE84F01</t>
  </si>
  <si>
    <t>49KK0061/KAPIASFCS/XCE84F01</t>
  </si>
  <si>
    <t>2020/2021-002334#0063586</t>
  </si>
  <si>
    <t>W260919TDM</t>
  </si>
  <si>
    <t>2025/2026-41-3354-49KK0066/ITBOESTATE/EB.0071</t>
  </si>
  <si>
    <t>49KK0066/ITBOESTATE/EB.0071</t>
  </si>
  <si>
    <t>2020/2021-002334#0063587</t>
  </si>
  <si>
    <t>W260919NV6</t>
  </si>
  <si>
    <t>2025/2026-41-3355-49KK0022/SUBOECOLTD/CI.0131</t>
  </si>
  <si>
    <t>49KK0022/SUBOECOLTD/CI.0131</t>
  </si>
  <si>
    <t>2020/2021-002334#0063588</t>
  </si>
  <si>
    <t>W260919F7D</t>
  </si>
  <si>
    <t>2025/2026-41-3358-49KK0051/SIWOTFCS/XCE29F01</t>
  </si>
  <si>
    <t>49KK0051/SIWOTFCS/XCE29F01</t>
  </si>
  <si>
    <t>2020/2021-002334#0063589</t>
  </si>
  <si>
    <t>W260919Q4Y</t>
  </si>
  <si>
    <t>2025/2026-41-3362-49KK0040/SERENGFCS/XCE37F01</t>
  </si>
  <si>
    <t>49KK0040/SERENGFCS/XCE37F01</t>
  </si>
  <si>
    <t>2020/2021-002334#0063590</t>
  </si>
  <si>
    <t>W260919T7H</t>
  </si>
  <si>
    <t>2025/2026-41-3363-49KK0089/KIPSINENDEFCS/XCE50F01</t>
  </si>
  <si>
    <t>49KK0089/KIPSINENDEFCS/XCE50F01</t>
  </si>
  <si>
    <t>2020/2021-002334#0063591</t>
  </si>
  <si>
    <t>W260919TZQ</t>
  </si>
  <si>
    <t>2025/2026-41-4137-GIKONGOROFCSGIKONGOROFCS/XBB51F0</t>
  </si>
  <si>
    <t>GIKONGOROFCSGIKONGOROFCS/XBB51F01</t>
  </si>
  <si>
    <t>2020/2021-002334#0063616</t>
  </si>
  <si>
    <t>W260918EVR</t>
  </si>
  <si>
    <t>2025/2026-41-4310-MENUFCS/XDA13F01</t>
  </si>
  <si>
    <t>MENUFCS/XDA13F01</t>
  </si>
  <si>
    <t>2020/2021-002334#0063624</t>
  </si>
  <si>
    <t>W260919WL3</t>
  </si>
  <si>
    <t>2025/2026-41-4311-P-BULK/PARCHMENTBULK</t>
  </si>
  <si>
    <t>P-BULK/PARCHMENTBULK</t>
  </si>
  <si>
    <t>2020/2021-002334#0063625</t>
  </si>
  <si>
    <t>W2609186XJ</t>
  </si>
  <si>
    <t>2025/2026-41-5952-P/BULK</t>
  </si>
  <si>
    <t>2020/2021-002334#0063639</t>
  </si>
  <si>
    <t>W2609196R4</t>
  </si>
  <si>
    <t>2025/2026-41-5959-P/BULK</t>
  </si>
  <si>
    <t>2020/2021-002334#0063641</t>
  </si>
  <si>
    <t>W260921HS4</t>
  </si>
  <si>
    <t>2025/2026-41-5962-MURTOKWESESTATE/AZ020RC</t>
  </si>
  <si>
    <t>MURTOKWESESTATE/AZ020RC</t>
  </si>
  <si>
    <t>2020/2021-002334#0063642</t>
  </si>
  <si>
    <t>W260916PTQ</t>
  </si>
  <si>
    <t>2025/2026-41-5974-BARIKONGO/XAA03F03</t>
  </si>
  <si>
    <t>BARIKONGO/XAA03F03</t>
  </si>
  <si>
    <t>2020/2021-002334#0063643</t>
  </si>
  <si>
    <t>W26092165W</t>
  </si>
  <si>
    <t>2025/2026-41-6631-P/BULK</t>
  </si>
  <si>
    <t>2020/2021-002334#0063657</t>
  </si>
  <si>
    <t>FAIRTRADE, CAFÉ PRACTICES</t>
  </si>
  <si>
    <t>W2609198VN</t>
  </si>
  <si>
    <t>2025/2026-41-6638-P/BULK</t>
  </si>
  <si>
    <t>2020/2021-002334#0063658</t>
  </si>
  <si>
    <t>RAINFOREST ALLIANCE, FAIRTRADE, CAFÉ PRACTICES</t>
  </si>
  <si>
    <t>W2609199EF</t>
  </si>
  <si>
    <t>2025/2026-41-7324-BECILLA/35CE069</t>
  </si>
  <si>
    <t>BECILLA/35CE069</t>
  </si>
  <si>
    <t>2020/2021-002334#0063673</t>
  </si>
  <si>
    <t>W260918798</t>
  </si>
  <si>
    <t>2025/2026-41-7329-KARIUAFCS-IRERA/XAB92F01</t>
  </si>
  <si>
    <t>KARIUAFCS-IRERA/XAB92F01</t>
  </si>
  <si>
    <t>2020/2021-002334#0063674</t>
  </si>
  <si>
    <t>W260921VM2</t>
  </si>
  <si>
    <t>2025/2026-41-7331-MENUFCS/XDA13F01</t>
  </si>
  <si>
    <t>2020/2021-002334#0063675</t>
  </si>
  <si>
    <t>W2609179CB</t>
  </si>
  <si>
    <t>2025/2026-41-7332-WOODVALE/BF0257</t>
  </si>
  <si>
    <t>WOODVALE/BF0257</t>
  </si>
  <si>
    <t>2020/2021-002334#0063676</t>
  </si>
  <si>
    <t>W260917MAG</t>
  </si>
  <si>
    <t>B-02/03-2</t>
  </si>
  <si>
    <t>2025/2026-40-8309-48KK0063/KONDARMAKETFCS/XCE150F0</t>
  </si>
  <si>
    <t>48KK0063/KONDARMAKETFCS/XCE150F01</t>
  </si>
  <si>
    <t>W260914G4J</t>
  </si>
  <si>
    <t>B-02/03-3</t>
  </si>
  <si>
    <t>2025/2026-40-8312-48KK0008/CHEBARUSFCS/XCE88F01</t>
  </si>
  <si>
    <t>48KK0008/CHEBARUSFCS/XCE88F01</t>
  </si>
  <si>
    <t>W260914Y9B</t>
  </si>
  <si>
    <t>B-02/03-4</t>
  </si>
  <si>
    <t>2025/2026-40-4902-K/SIEKA/XEA16F02</t>
  </si>
  <si>
    <t>K/SIEKA/XEA16F02</t>
  </si>
  <si>
    <t>W260910LHT</t>
  </si>
  <si>
    <t>B-02/03-5</t>
  </si>
  <si>
    <t>2025/2026-40-4904-MOGONGAFCS/XEA02F01</t>
  </si>
  <si>
    <t>MOGONGAFCS/XEA02F01</t>
  </si>
  <si>
    <t>W260910KLW</t>
  </si>
  <si>
    <t>C-11-2</t>
  </si>
  <si>
    <t>2025/2026-40-4905-M/EGETONTO/XEA26F05</t>
  </si>
  <si>
    <t>M/EGETONTO/XEA26F05</t>
  </si>
  <si>
    <t>W260910HAB</t>
  </si>
  <si>
    <t>C-11-3</t>
  </si>
  <si>
    <t>2025/2026-40-4909-AB/BULK</t>
  </si>
  <si>
    <t>AB/BULK</t>
  </si>
  <si>
    <t>W260910PFA</t>
  </si>
  <si>
    <t>C-11-5</t>
  </si>
  <si>
    <t>2025/2026-40-4908-N/NGEGE/XEA13F03</t>
  </si>
  <si>
    <t>N/NGEGE/XEA13F03</t>
  </si>
  <si>
    <t>W260910HFM</t>
  </si>
  <si>
    <t>C-11-6</t>
  </si>
  <si>
    <t>2025/2026-40-4903-MAGWAGWAFCS/XEA26F01</t>
  </si>
  <si>
    <t>MAGWAGWAFCS/XEA26F01</t>
  </si>
  <si>
    <t>W2609105H2</t>
  </si>
  <si>
    <t>2025/2026-41-6426-CHUJUN/36CGE0027</t>
  </si>
  <si>
    <t>CHUJUN/36CGE0027</t>
  </si>
  <si>
    <t>2020/2021-002336#0063716</t>
  </si>
  <si>
    <t>W260916GYC</t>
  </si>
  <si>
    <t>2025/2026-41-6632-OLOCHOY/29CF0060</t>
  </si>
  <si>
    <t>OLOCHOY/29CF0060</t>
  </si>
  <si>
    <t>2020/2021-002333#0063554</t>
  </si>
  <si>
    <t>W260921BA8</t>
  </si>
  <si>
    <t>2025/2026-41-7033-MENUFCS/XDA13</t>
  </si>
  <si>
    <t>MENUFCS/XDA13</t>
  </si>
  <si>
    <t>2020/2021-002333#0063559</t>
  </si>
  <si>
    <t>W260918VZA</t>
  </si>
  <si>
    <t>2025/2026-41-4905-M/NYABONGE/XEA008F02</t>
  </si>
  <si>
    <t>M/NYABONGE/XEA008F02</t>
  </si>
  <si>
    <t>2020/2021-002337#0063726</t>
  </si>
  <si>
    <t>W260918NAY</t>
  </si>
  <si>
    <t>2025/2026-41-4907-AB/BULK</t>
  </si>
  <si>
    <t>2020/2021-002337#0063727</t>
  </si>
  <si>
    <t>W260918AXT</t>
  </si>
  <si>
    <t>2025/2026-41-8016-LELGOKIPLANGAT/ZA.020</t>
  </si>
  <si>
    <t>LELGOKIPLANGAT/ZA.020</t>
  </si>
  <si>
    <t>2020/2021-002337#0063729</t>
  </si>
  <si>
    <t>W26092197P</t>
  </si>
  <si>
    <t>2025/2026-41-8311-49KK0013/CHBARUSFCS/XCEXCE88F01</t>
  </si>
  <si>
    <t>49KK0013/CHBARUSFCS/XCEXCE88F01</t>
  </si>
  <si>
    <t>2020/2021-002337#0063733</t>
  </si>
  <si>
    <t>W260921TKY</t>
  </si>
  <si>
    <t>2025/2026-41-8313-48GR0002/HIGHLANDCOFFEEESTATE/</t>
  </si>
  <si>
    <t>48GR0002/HIGHLANDCOFFEEESTATE/</t>
  </si>
  <si>
    <t>2020/2021-002337#0063734</t>
  </si>
  <si>
    <t>W260921D8Q</t>
  </si>
  <si>
    <t>2025/2026-17-5644-ADEQUATEVENTURES46EF004</t>
  </si>
  <si>
    <t>ADEQUATEVENTURES46EF004</t>
  </si>
  <si>
    <t>2020/2021-002019#0054573</t>
  </si>
  <si>
    <t>W2602098B9</t>
  </si>
  <si>
    <t>2025/2026-18-5662-P/BULK</t>
  </si>
  <si>
    <t>2020/2021-002026#0054674</t>
  </si>
  <si>
    <t>W260216RPG</t>
  </si>
  <si>
    <t>2025/2026-22-5653-WASASHAESTATE</t>
  </si>
  <si>
    <t>WASASHAESTATE</t>
  </si>
  <si>
    <t>2020/2021-002082#0056448</t>
  </si>
  <si>
    <t>W260316RBH</t>
  </si>
  <si>
    <t>2025/2026-41-5657-45MM0002/KIRAAFARMLTD/BB0013</t>
  </si>
  <si>
    <t>45MM0002/KIRAAFARMLTD/BB0013</t>
  </si>
  <si>
    <t>2020/2021-002335#0063698</t>
  </si>
  <si>
    <t>W260921L5Y</t>
  </si>
  <si>
    <t>2025/2026-41-5668-49MM1001/P/BULK</t>
  </si>
  <si>
    <t>49MM1001/P/BULK</t>
  </si>
  <si>
    <t>2020/2021-002335#0063699</t>
  </si>
  <si>
    <t>W260921EA4</t>
  </si>
  <si>
    <t>2025/2026-41-5669-45MM0003/KIRAAFARMLTD/BB0013</t>
  </si>
  <si>
    <t>45MM0003/KIRAAFARMLTD/BB0013</t>
  </si>
  <si>
    <t>2020/2021-002335#0063700</t>
  </si>
  <si>
    <t>W260921VX4</t>
  </si>
  <si>
    <t>10100
(AB/PB Minus)</t>
  </si>
  <si>
    <t>2025/2026-11-6012-THANGATHI/XAC40F02</t>
  </si>
  <si>
    <t>THANGATHI/XAC40F02</t>
  </si>
  <si>
    <t>2020/2021-001951#0052126</t>
  </si>
  <si>
    <t>FAIRTRADE</t>
  </si>
  <si>
    <t>W2512159EV</t>
  </si>
  <si>
    <t>2025/2026-40-6639-AB/CLEANBULK</t>
  </si>
  <si>
    <t>AB/CLEANBULK</t>
  </si>
  <si>
    <t>2020/2021-002325#0063443</t>
  </si>
  <si>
    <t>W260912LUA</t>
  </si>
  <si>
    <t>D=--D=</t>
  </si>
  <si>
    <t>2025/2026-41-4129-KATHAMBARAFCSMAKURI/XBC31F01</t>
  </si>
  <si>
    <t>KATHAMBARAFCSMAKURI/XBC31F01</t>
  </si>
  <si>
    <t>2020/2021-002334#0063614</t>
  </si>
  <si>
    <t>W260918Q2G</t>
  </si>
  <si>
    <t>2025/2026-41-4130-P/BULKPARCHMENTBULK/PBULK</t>
  </si>
  <si>
    <t>P/BULKPARCHMENTBULK/PBULK</t>
  </si>
  <si>
    <t>2020/2021-002334#0063615</t>
  </si>
  <si>
    <t>W260918V62</t>
  </si>
  <si>
    <t>2025/2026-41-5954-KIGUTHA/AA.0045</t>
  </si>
  <si>
    <t>KIGUTHA/AA.0045</t>
  </si>
  <si>
    <t>2020/2021-002334#0063640</t>
  </si>
  <si>
    <t>W260918V3S</t>
  </si>
  <si>
    <t>2025/2026-41-5978-AB/BULK</t>
  </si>
  <si>
    <t>2020/2021-002334#0063644</t>
  </si>
  <si>
    <t>W260918B32</t>
  </si>
  <si>
    <t>2025/2026-41-5989-KIAMBENE/XBB08F06</t>
  </si>
  <si>
    <t>KIAMBENE/XBB08F06</t>
  </si>
  <si>
    <t>2020/2021-002334#0063645</t>
  </si>
  <si>
    <t>W260916JXD</t>
  </si>
  <si>
    <t>2025/2026-41-7372-NTHIMBIRIFCS-NTONGORO/XBB42F01</t>
  </si>
  <si>
    <t>NTHIMBIRIFCS-NTONGORO/XBB42F01</t>
  </si>
  <si>
    <t>2020/2021-002334#0063680</t>
  </si>
  <si>
    <t>RAINFOREST ALLIANCE, EUDR Aligned</t>
  </si>
  <si>
    <t>W260921F7L</t>
  </si>
  <si>
    <t>2026/2027-DS10423-5-MARACOFFEE</t>
  </si>
  <si>
    <t>CC-90592(AB)</t>
  </si>
  <si>
    <t>B-04-1</t>
  </si>
  <si>
    <t>2025/2026-40-6453-KANJALU/XBA.0025</t>
  </si>
  <si>
    <t>KANJALU/XBA.0025</t>
  </si>
  <si>
    <t>W2609146NA</t>
  </si>
  <si>
    <t>D+--D+</t>
  </si>
  <si>
    <t>2025/2026-41-6425-GITHAKA/AB.0234</t>
  </si>
  <si>
    <t>GITHAKA/AB.0234</t>
  </si>
  <si>
    <t>2020/2021-002336#0063715</t>
  </si>
  <si>
    <t>W260917NH5</t>
  </si>
  <si>
    <t>2025/2026-41-6628-P/BULK</t>
  </si>
  <si>
    <t>2020/2021-002333#0063553</t>
  </si>
  <si>
    <t>W260918PAP</t>
  </si>
  <si>
    <t>2025/2026-41-6681-P/BULK</t>
  </si>
  <si>
    <t>2020/2021-002333#0063556</t>
  </si>
  <si>
    <t>W260918L32</t>
  </si>
  <si>
    <t>2025/2026-41-5646-45MM0001/KIRAAFARMLTD/BB0013</t>
  </si>
  <si>
    <t>45MM0001/KIRAAFARMLTD/BB0013</t>
  </si>
  <si>
    <t>2020/2021-002335#0063694</t>
  </si>
  <si>
    <t>W260921K2U</t>
  </si>
  <si>
    <t>2025/2026-41-5648-49KP1009/P/BULK</t>
  </si>
  <si>
    <t>49KP1009/P/BULK</t>
  </si>
  <si>
    <t>2020/2021-002335#0063695</t>
  </si>
  <si>
    <t>W2609217RJ</t>
  </si>
  <si>
    <t>2025/2026-41-5651-BULK</t>
  </si>
  <si>
    <t>2020/2021-002335#0063696</t>
  </si>
  <si>
    <t>W260921S9X</t>
  </si>
  <si>
    <t>2025/2026-41-5652-47MM1020/NTORUNGUESTATE/12BB013</t>
  </si>
  <si>
    <t>47MM1020/NTORUNGUESTATE/12BB013</t>
  </si>
  <si>
    <t>2020/2021-002335#0063697</t>
  </si>
  <si>
    <t>W260921TAD</t>
  </si>
  <si>
    <t>2025/2026-41-5763-48MM0029/TIGANIANORTHFCSNDULUMA/</t>
  </si>
  <si>
    <t>48MM0029/TIGANIANORTHFCSNDULUMA/XBA38F01</t>
  </si>
  <si>
    <t>2020/2021-002335#0063705</t>
  </si>
  <si>
    <t>W260921DHE</t>
  </si>
  <si>
    <t>10310
(AA/AB/PB Plus Certified)</t>
  </si>
  <si>
    <t>2024/2025-DS9202-10-GACAMI</t>
  </si>
  <si>
    <t>GACAMI</t>
  </si>
  <si>
    <t>2020/2021-001624#0043145</t>
  </si>
  <si>
    <t>69723</t>
  </si>
  <si>
    <t>10078
(C above 15)</t>
  </si>
  <si>
    <t>B-05/06-1</t>
  </si>
  <si>
    <t>KGR1956-ABOVE</t>
  </si>
  <si>
    <t>10086
(C above 14)</t>
  </si>
  <si>
    <t>B-09-1</t>
  </si>
  <si>
    <t>KGR1955-ABOVE</t>
  </si>
  <si>
    <t>C-01/02-1</t>
  </si>
  <si>
    <t>KGR1939-ABOVE</t>
  </si>
  <si>
    <t>3277</t>
  </si>
  <si>
    <t>3787624</t>
  </si>
  <si>
    <t>E-09-1</t>
  </si>
  <si>
    <t>KGR1940-ABOVE</t>
  </si>
  <si>
    <t>F-05-1</t>
  </si>
  <si>
    <t>KGR1941-ABOVE</t>
  </si>
  <si>
    <t>G-06/07-1</t>
  </si>
  <si>
    <t>KGR1957-ABOVE</t>
  </si>
  <si>
    <t>10072
(AB/PB colour sorted)</t>
  </si>
  <si>
    <t>E-05-1</t>
  </si>
  <si>
    <t>KGR1951-BELOW</t>
  </si>
  <si>
    <t>3280</t>
  </si>
  <si>
    <t>3787606</t>
  </si>
  <si>
    <t>10085
(C below 15)</t>
  </si>
  <si>
    <t>B/C-01/02-1</t>
  </si>
  <si>
    <t>KGR1933-BELOW</t>
  </si>
  <si>
    <t>B-07-1</t>
  </si>
  <si>
    <t>KGR1946-BELOW</t>
  </si>
  <si>
    <t>KGR1944-BELOW</t>
  </si>
  <si>
    <t>10115
(C Minus)</t>
  </si>
  <si>
    <t>KGR1948-BELOW</t>
  </si>
  <si>
    <t>C-07-1</t>
  </si>
  <si>
    <t>KGR1943-BELOW</t>
  </si>
  <si>
    <t>KGR1947-BELOW</t>
  </si>
  <si>
    <t>F-06-1</t>
  </si>
  <si>
    <t>KGR1942-BELOW</t>
  </si>
  <si>
    <t>10130
(Grinder)</t>
  </si>
  <si>
    <t>B-05-1</t>
  </si>
  <si>
    <t>KGR1953-BELOW</t>
  </si>
  <si>
    <t>E-09-2</t>
  </si>
  <si>
    <t>KGR1952-BELOW</t>
  </si>
  <si>
    <t>KGR1956-BELOW</t>
  </si>
  <si>
    <t>KGR1957-BELOW</t>
  </si>
  <si>
    <t>F-09-1</t>
  </si>
  <si>
    <t>KGR1955-BELOW</t>
  </si>
  <si>
    <t>10135
(Grinder Minus)</t>
  </si>
  <si>
    <t>KGR1949-BELOW</t>
  </si>
  <si>
    <t>D-05-1</t>
  </si>
  <si>
    <t>KGR1950-BELOW</t>
  </si>
  <si>
    <t>10264
(UG3 GT Light)</t>
  </si>
  <si>
    <t>KGR1945-BELOW</t>
  </si>
  <si>
    <t>10110
(ABC Minus)</t>
  </si>
  <si>
    <t>D-09-1</t>
  </si>
  <si>
    <t>KGT2805-BOLD</t>
  </si>
  <si>
    <t>3263</t>
  </si>
  <si>
    <t>3787675</t>
  </si>
  <si>
    <t>B-10-1</t>
  </si>
  <si>
    <t>KGT2822-BOLD</t>
  </si>
  <si>
    <t>10141
(MH colour sorted)</t>
  </si>
  <si>
    <t>KGT2759-BOLD</t>
  </si>
  <si>
    <t>F-09/10-1</t>
  </si>
  <si>
    <t>KGT2815-BOLD</t>
  </si>
  <si>
    <t>10210
(NATURAL Heavy )</t>
  </si>
  <si>
    <t>D-09-2</t>
  </si>
  <si>
    <t>KGT2760-BOLD</t>
  </si>
  <si>
    <t>F-05/06-1</t>
  </si>
  <si>
    <t>KGT2578-BOLD</t>
  </si>
  <si>
    <t>F-09/10-2</t>
  </si>
  <si>
    <t>KGT2643-BOLD</t>
  </si>
  <si>
    <t>B-14-2</t>
  </si>
  <si>
    <t>KIB35376-BULK</t>
  </si>
  <si>
    <t>G-13-6</t>
  </si>
  <si>
    <t>KDI6082-BULK</t>
  </si>
  <si>
    <t>10062
(AA FAQ Clean)</t>
  </si>
  <si>
    <t>B-13/14-10</t>
  </si>
  <si>
    <t>KDI6169-BULK</t>
  </si>
  <si>
    <t>G-06-1</t>
  </si>
  <si>
    <t>KIB35488-BULK</t>
  </si>
  <si>
    <t>10071
(AA/AB Better cup)</t>
  </si>
  <si>
    <t>G-13-1</t>
  </si>
  <si>
    <t>KIB35417-BULK</t>
  </si>
  <si>
    <t>KDI6068-BULK</t>
  </si>
  <si>
    <t>G-13-10</t>
  </si>
  <si>
    <t>KDI6093-BULK</t>
  </si>
  <si>
    <t>G-13-11</t>
  </si>
  <si>
    <t>KDI6101-BULK</t>
  </si>
  <si>
    <t>3221</t>
  </si>
  <si>
    <t>3787604</t>
  </si>
  <si>
    <t>G-13-5</t>
  </si>
  <si>
    <t>KDI6067-BULK</t>
  </si>
  <si>
    <t>G-13-7</t>
  </si>
  <si>
    <t>KDI6087-BULK</t>
  </si>
  <si>
    <t>G-13-8</t>
  </si>
  <si>
    <t>KDI6086-BULK</t>
  </si>
  <si>
    <t>G-13-9</t>
  </si>
  <si>
    <t>KDI6091-BULK</t>
  </si>
  <si>
    <t>10084
(C FAQ)</t>
  </si>
  <si>
    <t>B-14-4</t>
  </si>
  <si>
    <t>KDI5962-BULK</t>
  </si>
  <si>
    <t>B-14-1</t>
  </si>
  <si>
    <t>KDI6002-BULK</t>
  </si>
  <si>
    <t>KDI6165-BULK</t>
  </si>
  <si>
    <t>G-08-1</t>
  </si>
  <si>
    <t>KIB35470-BULK</t>
  </si>
  <si>
    <t>KIB35471-BULK</t>
  </si>
  <si>
    <t>KDI6058-BULK</t>
  </si>
  <si>
    <t>E-13/14-1</t>
  </si>
  <si>
    <t>KIB35496-BULK</t>
  </si>
  <si>
    <t>10120
(Grinder Plus)</t>
  </si>
  <si>
    <t>KIB35497-BULK</t>
  </si>
  <si>
    <t>10125
(Clean Grinder)</t>
  </si>
  <si>
    <t>KIB35377-BULK</t>
  </si>
  <si>
    <t>G-04-4</t>
  </si>
  <si>
    <t>KDI6063-BULK</t>
  </si>
  <si>
    <t>E-14-1</t>
  </si>
  <si>
    <t>KIB35439-BULK</t>
  </si>
  <si>
    <t>10140
(MH)</t>
  </si>
  <si>
    <t>F-14-1</t>
  </si>
  <si>
    <t>KIB35498-BULK</t>
  </si>
  <si>
    <t>KIB35378-BULK</t>
  </si>
  <si>
    <t>KDI6170-BULK</t>
  </si>
  <si>
    <t>3284</t>
  </si>
  <si>
    <t>3787699</t>
  </si>
  <si>
    <t>KIB35423-BULK</t>
  </si>
  <si>
    <t>10260
(UG1 HP MIXED)</t>
  </si>
  <si>
    <t>B-13/14-1</t>
  </si>
  <si>
    <t>KIB35476-BULK</t>
  </si>
  <si>
    <t>G-13-2</t>
  </si>
  <si>
    <t>KDI6074-BULK</t>
  </si>
  <si>
    <t>10262
(UG2 HP BLACK)</t>
  </si>
  <si>
    <t>B-14-3</t>
  </si>
  <si>
    <t>KIB35379-BULK</t>
  </si>
  <si>
    <t>KIB35485-BULK</t>
  </si>
  <si>
    <t>10046
(ABC FAQ certified)</t>
  </si>
  <si>
    <t>2024/2025-39-5945-KAPSAOSTORETMOI/XCF04F01</t>
  </si>
  <si>
    <t>KAPSAOSTORETMOI/XCF04F01</t>
  </si>
  <si>
    <t>2020/2021-001838#0048397</t>
  </si>
  <si>
    <t>W250904FQ9</t>
  </si>
  <si>
    <t>2025/2026-19-5974-P/BULK</t>
  </si>
  <si>
    <t>2020/2021-002078#0056114</t>
  </si>
  <si>
    <t>W260220UPB</t>
  </si>
  <si>
    <t>2025/2026-23-3705-11FH0038/GAKURARI/XAB40F02</t>
  </si>
  <si>
    <t>11FH0038/GAKURARI/XAB40F02</t>
  </si>
  <si>
    <t>2020/2021-002167#0059365</t>
  </si>
  <si>
    <t>W260323XJU</t>
  </si>
  <si>
    <t>2025/2026-41-3319-49KK0097/BWOGOESTATE/29CF00140</t>
  </si>
  <si>
    <t>2020/2021-002334#0063567</t>
  </si>
  <si>
    <t>W260919KYM</t>
  </si>
  <si>
    <t>2025/2026-41-3320-49KK0020/SOIMOIFCS/XCE111F01</t>
  </si>
  <si>
    <t>2020/2021-002334#0063568</t>
  </si>
  <si>
    <t>W260919LQ6</t>
  </si>
  <si>
    <t>2025/2026-41-3322-49KK0022/SUBOECOLTD/CI.0131</t>
  </si>
  <si>
    <t>2020/2021-002334#0063569</t>
  </si>
  <si>
    <t>W260919XQS</t>
  </si>
  <si>
    <t>2025/2026-41-3326-49KK0075/PILIPILIFOXES/35C3008</t>
  </si>
  <si>
    <t>49KK0075/PILIPILIFOXES/35C3008</t>
  </si>
  <si>
    <t>2020/2021-002334#0063571</t>
  </si>
  <si>
    <t>W260919KFQ</t>
  </si>
  <si>
    <t>2025/2026-41-3328-49KK0083/LALIATFCS/XCE08F01</t>
  </si>
  <si>
    <t>49KK0083/LALIATFCS/XCE08F01</t>
  </si>
  <si>
    <t>2020/2021-002334#0063572</t>
  </si>
  <si>
    <t>W260919GHT</t>
  </si>
  <si>
    <t>2025/2026-41-3330-49KK0051/SIWOTFCS/XCE29F01</t>
  </si>
  <si>
    <t>2020/2021-002334#0063573</t>
  </si>
  <si>
    <t>W2609193YE</t>
  </si>
  <si>
    <t>2025/2026-41-3331-49KK0066/ITBOESTATE/EB.0071</t>
  </si>
  <si>
    <t>2020/2021-002334#0063574</t>
  </si>
  <si>
    <t>W260919KS5</t>
  </si>
  <si>
    <t>2025/2026-41-3332-49KK0053/RWANDITFCS/XCE77F01</t>
  </si>
  <si>
    <t>49KK0053/RWANDITFCS/XCE77F01</t>
  </si>
  <si>
    <t>2020/2021-002334#0063575</t>
  </si>
  <si>
    <t>W260919CAA</t>
  </si>
  <si>
    <t>2025/2026-41-3337-49KK0074/SIWOTFCS/XCE29F01</t>
  </si>
  <si>
    <t>49KK0074/SIWOTFCS/XCE29F01</t>
  </si>
  <si>
    <t>2020/2021-002334#0063576</t>
  </si>
  <si>
    <t>W260919Z2D</t>
  </si>
  <si>
    <t>2025/2026-41-3711-49FH0022/GAKURARI/XAB40F02</t>
  </si>
  <si>
    <t>49FH0022/GAKURARI/XAB40F02</t>
  </si>
  <si>
    <t>2020/2021-002334#0063609</t>
  </si>
  <si>
    <t>W260922AJP</t>
  </si>
  <si>
    <t>2025/2026-41-4122-GIKONGOROFCSGIKONGOROFCS/XBB51F0</t>
  </si>
  <si>
    <t>2020/2021-002334#0063612</t>
  </si>
  <si>
    <t>W260917S82</t>
  </si>
  <si>
    <t>2025/2026-41-4124-NUKUNUFCSNUKUNUATHI/XBA14F01</t>
  </si>
  <si>
    <t>NUKUNUFCSNUKUNUATHI/XBA14F01</t>
  </si>
  <si>
    <t>2020/2021-002334#0063613</t>
  </si>
  <si>
    <t>W260917ARG</t>
  </si>
  <si>
    <t>2025/2026-41-5917-P/BULK</t>
  </si>
  <si>
    <t>2020/2021-002334#0063634</t>
  </si>
  <si>
    <t>W2609214D3</t>
  </si>
  <si>
    <t>2025/2026-41-5926-SAKOFANEXUSLTD/35CE.0258</t>
  </si>
  <si>
    <t>SAKOFANEXUSLTD/35CE.0258</t>
  </si>
  <si>
    <t>2020/2021-002334#0063635</t>
  </si>
  <si>
    <t>W2609213LX</t>
  </si>
  <si>
    <t>2025/2026-41-5928-CHANIAESTATE/AB.0021</t>
  </si>
  <si>
    <t>CHANIAESTATE/AB.0021</t>
  </si>
  <si>
    <t>2020/2021-002334#0063636</t>
  </si>
  <si>
    <t>W260918MZ7</t>
  </si>
  <si>
    <t>2025/2026-41-5945-KITHINOFCS/XBB08</t>
  </si>
  <si>
    <t>KITHINOFCS/XBB08</t>
  </si>
  <si>
    <t>2020/2021-002334#0063638</t>
  </si>
  <si>
    <t>W2609165WT</t>
  </si>
  <si>
    <t>2025/2026-41-6623-GAKUYU-INI/XAD16F01</t>
  </si>
  <si>
    <t>GAKUYU-INI/XAD16F01</t>
  </si>
  <si>
    <t>2020/2021-002334#0063655</t>
  </si>
  <si>
    <t>CAFÉ PRACTICES</t>
  </si>
  <si>
    <t>W260919AWU</t>
  </si>
  <si>
    <t>2025/2026-41-6626-P/BULK</t>
  </si>
  <si>
    <t>2020/2021-002334#0063656</t>
  </si>
  <si>
    <t>W260919XHQ</t>
  </si>
  <si>
    <t>2025/2026-41-7309-CHEMUIFCS/29ZA0117CHEMUI</t>
  </si>
  <si>
    <t>CHEMUIFCS/29ZA0117CHEMUI</t>
  </si>
  <si>
    <t>2020/2021-002334#0063669</t>
  </si>
  <si>
    <t>W260916H2P</t>
  </si>
  <si>
    <t>2025/2026-41-7310-KARIUAFCS-IRERA/XAB92F01</t>
  </si>
  <si>
    <t>2020/2021-002334#0063670</t>
  </si>
  <si>
    <t>W2609219EJ</t>
  </si>
  <si>
    <t>2025/2026-41-7312-MENUFCS/XDA13F01</t>
  </si>
  <si>
    <t>2020/2021-002334#0063671</t>
  </si>
  <si>
    <t>W260917LP8</t>
  </si>
  <si>
    <t>2025/2026-41-7316-KIANGUAFCS/XBB13</t>
  </si>
  <si>
    <t>KIANGUAFCS/XBB13</t>
  </si>
  <si>
    <t>2020/2021-002334#0063672</t>
  </si>
  <si>
    <t>W260918VQL</t>
  </si>
  <si>
    <t>2025/2026-41-8007-FINWARE/CH.0039</t>
  </si>
  <si>
    <t>FINWARE/CH.0039</t>
  </si>
  <si>
    <t>2020/2021-002334#0063682</t>
  </si>
  <si>
    <t>W260918NK3</t>
  </si>
  <si>
    <t>2026/2027-DS10423-2-MARACOFFEE</t>
  </si>
  <si>
    <t>CC-90592 (C)</t>
  </si>
  <si>
    <t>A-11-2</t>
  </si>
  <si>
    <t>2025/2026-DS10364-3-BULK</t>
  </si>
  <si>
    <t>WR-060794</t>
  </si>
  <si>
    <t>A-11-3</t>
  </si>
  <si>
    <t>2025/2026-DS10364-7-KIANGOI</t>
  </si>
  <si>
    <t>WR-060790</t>
  </si>
  <si>
    <t>D-01/02-4</t>
  </si>
  <si>
    <t>2025/2026-DS10364-5-KARIMIKUI</t>
  </si>
  <si>
    <t>WR-060789</t>
  </si>
  <si>
    <t>E-01/02-7</t>
  </si>
  <si>
    <t>2025/2026-DS10364-14-KII</t>
  </si>
  <si>
    <t>KII</t>
  </si>
  <si>
    <t>WR-060793</t>
  </si>
  <si>
    <t>E-01/02-8</t>
  </si>
  <si>
    <t>2025/2026-DS10364-8-KII</t>
  </si>
  <si>
    <t>WR-060791</t>
  </si>
  <si>
    <t>F-02-4</t>
  </si>
  <si>
    <t>2025/2026-DS10364-11-KIANGOI</t>
  </si>
  <si>
    <t>KIANGOI</t>
  </si>
  <si>
    <t>WR-060792</t>
  </si>
  <si>
    <t>2025/2026-41-6417-KASACH/XCF043</t>
  </si>
  <si>
    <t>KASACH/XCF043</t>
  </si>
  <si>
    <t>2020/2021-002336#0063711</t>
  </si>
  <si>
    <t>W260919A4M</t>
  </si>
  <si>
    <t>2025/2026-41-6418-C/BULK</t>
  </si>
  <si>
    <t>2020/2021-002336#0063712</t>
  </si>
  <si>
    <t>W26091626F</t>
  </si>
  <si>
    <t>2025/2026-41-6421-MESWON/29XCF0057</t>
  </si>
  <si>
    <t>MESWON/29XCF0057</t>
  </si>
  <si>
    <t>2020/2021-002336#0063714</t>
  </si>
  <si>
    <t>W2609198WA</t>
  </si>
  <si>
    <t>2025/2026-41-7014-P/BULK</t>
  </si>
  <si>
    <t>2020/2021-002333#0063558</t>
  </si>
  <si>
    <t>W260918KHD</t>
  </si>
  <si>
    <t>2025/2026-41-5613-47MM0046/MIKUMBUNEFCSMUNANI/XBB6</t>
  </si>
  <si>
    <t>47MM0046/MIKUMBUNEFCSMUNANI/XBB64F01</t>
  </si>
  <si>
    <t>2020/2021-002335#0063686</t>
  </si>
  <si>
    <t>W260921P45</t>
  </si>
  <si>
    <t>2025/2026-41-5620-49MM1001/P/BULK</t>
  </si>
  <si>
    <t>2020/2021-002335#0063687</t>
  </si>
  <si>
    <t>W260921WS8</t>
  </si>
  <si>
    <t>2025/2026-41-5634-49KP0201/ADEQUATEVENTURESLTD/46E</t>
  </si>
  <si>
    <t>2020/2021-002335#0063692</t>
  </si>
  <si>
    <t>W260921CQH</t>
  </si>
  <si>
    <t>2025/2026-41-5641-49KP0134/NGIBUNYICOFFEEFARM/44EB</t>
  </si>
  <si>
    <t>49KP0134/NGIBUNYICOFFEEFARM/44EB007</t>
  </si>
  <si>
    <t>2020/2021-002335#0063693</t>
  </si>
  <si>
    <t>W2609215QX</t>
  </si>
  <si>
    <t>2025/2026-23-5973-LOPINOESTATE/EB.0031</t>
  </si>
  <si>
    <t>LOPINOESTATE/EB.0031</t>
  </si>
  <si>
    <t>2020/2021-002167#0059411</t>
  </si>
  <si>
    <t>W260323DUH</t>
  </si>
  <si>
    <t>2025/2026-41-3324-46KK0021/SOMBOFCS/XCE17F01</t>
  </si>
  <si>
    <t>46KK0021/SOMBOFCS/XCE17F01</t>
  </si>
  <si>
    <t>2020/2021-002334#0063570</t>
  </si>
  <si>
    <t>W260827SS8</t>
  </si>
  <si>
    <t>2025/2026-41-3512-49LE0056/KIKAIFCS/XDA023F01</t>
  </si>
  <si>
    <t>49LE0056/KIKAIFCS/XDA023F01</t>
  </si>
  <si>
    <t>2020/2021-002334#0063607</t>
  </si>
  <si>
    <t>W260918FBP</t>
  </si>
  <si>
    <t>2025/2026-41-3707-49FH1001/P/BULK</t>
  </si>
  <si>
    <t>49FH1001/P/BULK</t>
  </si>
  <si>
    <t>2020/2021-002334#0063608</t>
  </si>
  <si>
    <t>W260921SBV</t>
  </si>
  <si>
    <t>2025/2026-41-4307-KAPSACHOFCS/XDA48]F01</t>
  </si>
  <si>
    <t>KAPSACHOFCS/XDA48]F01</t>
  </si>
  <si>
    <t>2020/2021-002334#0063622</t>
  </si>
  <si>
    <t>W260919836</t>
  </si>
  <si>
    <t>2025/2026-41-4309-MENUFCS/XDA13F01</t>
  </si>
  <si>
    <t>2020/2021-002334#0063623</t>
  </si>
  <si>
    <t>W260918VSC</t>
  </si>
  <si>
    <t>2025/2026-41-4329-MWAIMWAIFCS/XDA49F01</t>
  </si>
  <si>
    <t>MWAIMWAIFCS/XDA49F01</t>
  </si>
  <si>
    <t>2020/2021-002334#0063633</t>
  </si>
  <si>
    <t>W260919A5R</t>
  </si>
  <si>
    <t>2025/2026-41-5930-CHANIAESTATE/AB.0021</t>
  </si>
  <si>
    <t>2020/2021-002334#0063637</t>
  </si>
  <si>
    <t>W260918ENF</t>
  </si>
  <si>
    <t>2025/2026-41-6616-P/BULK</t>
  </si>
  <si>
    <t>2020/2021-002334#0063654</t>
  </si>
  <si>
    <t>W260919KZS</t>
  </si>
  <si>
    <t>2025/2026-41-7012-RIASAKAMIESTATE/EB0095</t>
  </si>
  <si>
    <t>2020/2021-002334#0063665</t>
  </si>
  <si>
    <t>W2609155C3</t>
  </si>
  <si>
    <t>2025/2026-41-7371-NTHIMBIRIFCS-NTONGORO/XBB42F01</t>
  </si>
  <si>
    <t>2020/2021-002334#0063679</t>
  </si>
  <si>
    <t>W2609219LF</t>
  </si>
  <si>
    <t>2025/2026-41-6416-P/BULK</t>
  </si>
  <si>
    <t>2020/2021-002336#0063710</t>
  </si>
  <si>
    <t>W2609172C5</t>
  </si>
  <si>
    <t>2025/2026-41-6420-LELU/XCE.044</t>
  </si>
  <si>
    <t>LELU/XCE.044</t>
  </si>
  <si>
    <t>2020/2021-002336#0063713</t>
  </si>
  <si>
    <t>W2609195GC</t>
  </si>
  <si>
    <t>2025/2026-41-6615-P/BULK</t>
  </si>
  <si>
    <t>2020/2021-002333#0063552</t>
  </si>
  <si>
    <t>W260918WSZ</t>
  </si>
  <si>
    <t>2025/2026-41-8012-SHALOM/AB.0728</t>
  </si>
  <si>
    <t>SHALOM/AB.0728</t>
  </si>
  <si>
    <t>2020/2021-002333#0063561</t>
  </si>
  <si>
    <t>W260918K2H</t>
  </si>
  <si>
    <t>2025/2026-41-3510-48LE0015/CHESKAKIFCS/XDA002F01</t>
  </si>
  <si>
    <t>48LE0015/CHESKAKIFCS/XDA002F01</t>
  </si>
  <si>
    <t>2020/2021-002337#0063722</t>
  </si>
  <si>
    <t>W260921GKD</t>
  </si>
  <si>
    <t>2025/2026-41-4903-C/BULK</t>
  </si>
  <si>
    <t>2020/2021-002337#0063725</t>
  </si>
  <si>
    <t>W260918P2A</t>
  </si>
  <si>
    <t>2025/2026-41-8009-LELGOKIPLANGAT/ZA.020</t>
  </si>
  <si>
    <t>2020/2021-002337#0063728</t>
  </si>
  <si>
    <t>W260921Z2C</t>
  </si>
  <si>
    <t>2025/2026-41-8306-48GR0002/HIGHLANDCOFFEEESTATE/</t>
  </si>
  <si>
    <t>2020/2021-002337#0063730</t>
  </si>
  <si>
    <t>W260921D89</t>
  </si>
  <si>
    <t>2025/2026-41-8307-49KK0015/TORCHASISESTATE/35CE024</t>
  </si>
  <si>
    <t>49KK0015/TORCHASISESTATE/35CE0242</t>
  </si>
  <si>
    <t>2020/2021-002337#0063731</t>
  </si>
  <si>
    <t>W260921XFB</t>
  </si>
  <si>
    <t>2025/2026-41-8308-49KK0013/CHBARUSFCS/XCEXCE88F01</t>
  </si>
  <si>
    <t>2020/2021-002337#0063732</t>
  </si>
  <si>
    <t>W260921C4A</t>
  </si>
  <si>
    <t>2025/2026-41-5621-C/BULK</t>
  </si>
  <si>
    <t>2020/2021-002335#0063688</t>
  </si>
  <si>
    <t>W260921Q6S</t>
  </si>
  <si>
    <t>2025/2026-41-5622-35MM0070/GITARENIFCSKIAMUCHI/XBC</t>
  </si>
  <si>
    <t>35MM0070/GITARENIFCSKIAMUCHI/XBC22F01</t>
  </si>
  <si>
    <t>2020/2021-002335#0063689</t>
  </si>
  <si>
    <t>W260921CAF</t>
  </si>
  <si>
    <t>2025/2026-41-5624-48MM0031/NTAMICHUESTATE/BA0011</t>
  </si>
  <si>
    <t>48MM0031/NTAMICHUESTATE/BA0011</t>
  </si>
  <si>
    <t>2020/2021-002335#0063690</t>
  </si>
  <si>
    <t>W2609216T6</t>
  </si>
  <si>
    <t>2025/2026-41-5626-49KP0098/NYABIKONDOFCS/XEB12F01</t>
  </si>
  <si>
    <t>49KP0098/NYABIKONDOFCS/XEB12F01</t>
  </si>
  <si>
    <t>2020/2021-002335#0063691</t>
  </si>
  <si>
    <t>W2609214ZW</t>
  </si>
  <si>
    <t>2025/2026-40-3510-48LE0016/CHESKAKIFCS/XDA02F01</t>
  </si>
  <si>
    <t>48LE0016/CHESKAKIFCS/XDA02F01</t>
  </si>
  <si>
    <t>W260911RH6</t>
  </si>
  <si>
    <t>XXStay Away--XXStay Away</t>
  </si>
  <si>
    <t>10010
(AA Top)</t>
  </si>
  <si>
    <t>B-06-1</t>
  </si>
  <si>
    <t>KCS8007-CLEAN 1</t>
  </si>
  <si>
    <t>KCS8008-CLEAN 1</t>
  </si>
  <si>
    <t>C-05-1</t>
  </si>
  <si>
    <t>KCS8374-CLEAN 1</t>
  </si>
  <si>
    <t>B-01/02-1</t>
  </si>
  <si>
    <t>KCS8343-CLEAN 1</t>
  </si>
  <si>
    <t>C-09-1</t>
  </si>
  <si>
    <t>KCS8259-CLEAN 1</t>
  </si>
  <si>
    <t>KCS8412-CLEAN 1</t>
  </si>
  <si>
    <t>C-08-1</t>
  </si>
  <si>
    <t>KCS8372-CLEAN 1</t>
  </si>
  <si>
    <t>3279</t>
  </si>
  <si>
    <t>3787706</t>
  </si>
  <si>
    <t>KCS8388-CLEAN 1</t>
  </si>
  <si>
    <t>D-05/06-1</t>
  </si>
  <si>
    <t>KCS8378-CLEAN 1</t>
  </si>
  <si>
    <t>KCS8352-CLEAN 1</t>
  </si>
  <si>
    <t>G-07-1</t>
  </si>
  <si>
    <t>KCS8413-CLEAN 1</t>
  </si>
  <si>
    <t>A-10-1</t>
  </si>
  <si>
    <t>KCS8409-CLEAN 1</t>
  </si>
  <si>
    <t>B-06/07-1</t>
  </si>
  <si>
    <t>KCS8383-CLEAN 1</t>
  </si>
  <si>
    <t>KCS8379-CLEAN 1</t>
  </si>
  <si>
    <t>3289</t>
  </si>
  <si>
    <t>3787581</t>
  </si>
  <si>
    <t>C/D-13/14-1</t>
  </si>
  <si>
    <t>KCS8408-CLEAN 1</t>
  </si>
  <si>
    <t>3290</t>
  </si>
  <si>
    <t>3787681</t>
  </si>
  <si>
    <t>D-06-1</t>
  </si>
  <si>
    <t>KCS8304-CLEAN 1</t>
  </si>
  <si>
    <t>KCS8373-CLEAN 1</t>
  </si>
  <si>
    <t>D-13/14-1</t>
  </si>
  <si>
    <t>KCS8414-CLEAN 1</t>
  </si>
  <si>
    <t>KCS8369-CLEAN 1</t>
  </si>
  <si>
    <t>KCS8314-CLEAN 1</t>
  </si>
  <si>
    <t>10076
(C above 15 colour colour sorted)</t>
  </si>
  <si>
    <t>KCS8346-CLEAN 1</t>
  </si>
  <si>
    <t>C-06-1</t>
  </si>
  <si>
    <t>KCS8377-CLEAN 1</t>
  </si>
  <si>
    <t>KCS8345-CLEAN 1</t>
  </si>
  <si>
    <t>D-10-1</t>
  </si>
  <si>
    <t>KCS8390-CLEAN 1</t>
  </si>
  <si>
    <t>A-04/05-1</t>
  </si>
  <si>
    <t>KCS8246-CLEAN 1</t>
  </si>
  <si>
    <t>A-05/06-1</t>
  </si>
  <si>
    <t>KCS8341-CLEAN 1</t>
  </si>
  <si>
    <t>A-05-1</t>
  </si>
  <si>
    <t>KCS8415-CLEAN 1</t>
  </si>
  <si>
    <t>RAINFOREST ALLIANCE, CAFÉ PRACTICES, EUDR Aligned</t>
  </si>
  <si>
    <t>KCS8248-CLEAN 1</t>
  </si>
  <si>
    <t>KCS8267-CLEAN 1</t>
  </si>
  <si>
    <t>B-08-1</t>
  </si>
  <si>
    <t>KCS8180-CLEAN 1</t>
  </si>
  <si>
    <t>B-10-2</t>
  </si>
  <si>
    <t>KCS8417-CLEAN 1</t>
  </si>
  <si>
    <t>KCS8375-CLEAN 1</t>
  </si>
  <si>
    <t>C-05/06-1</t>
  </si>
  <si>
    <t>KCS8249-CLEAN 1</t>
  </si>
  <si>
    <t>KCS8129-CLEAN 1</t>
  </si>
  <si>
    <t>KCS8247-CLEAN 1</t>
  </si>
  <si>
    <t>EUDR Aligned</t>
  </si>
  <si>
    <t>KCS8269-CLEAN 1</t>
  </si>
  <si>
    <t>KCS8376-CLEAN 1</t>
  </si>
  <si>
    <t>C-10-1</t>
  </si>
  <si>
    <t>KCS8327-CLEAN 1</t>
  </si>
  <si>
    <t>10091
(AA Minus Colour sorted)</t>
  </si>
  <si>
    <t>C-08-2</t>
  </si>
  <si>
    <t>KCS8406-CLEAN 1</t>
  </si>
  <si>
    <t>3283</t>
  </si>
  <si>
    <t>3787701</t>
  </si>
  <si>
    <t>C-08-3</t>
  </si>
  <si>
    <t>KCS8407-CLEAN 1</t>
  </si>
  <si>
    <t>C-09-2</t>
  </si>
  <si>
    <t>KCS8389-CLEAN 1</t>
  </si>
  <si>
    <t>KCS8410-CLEAN 1</t>
  </si>
  <si>
    <t>KCS8399-CLEAN 1</t>
  </si>
  <si>
    <t>KCS8397-CLEAN 1</t>
  </si>
  <si>
    <t>KCS8398-CLEAN 1</t>
  </si>
  <si>
    <t>KCS8402-CLEAN 1</t>
  </si>
  <si>
    <t>C-13/14-1</t>
  </si>
  <si>
    <t>KCS8386-CLEAN 1</t>
  </si>
  <si>
    <t>KCS8387-CLEAN 1</t>
  </si>
  <si>
    <t>KCS8400-CLEAN 1</t>
  </si>
  <si>
    <t>E-05/06-1</t>
  </si>
  <si>
    <t>KCS8363-CLEAN 1</t>
  </si>
  <si>
    <t>KCS8266-CLEAN 1</t>
  </si>
  <si>
    <t>B-07-3</t>
  </si>
  <si>
    <t>KCS8268-CLEAN 1.1</t>
  </si>
  <si>
    <t>KCS8403-CLEAN 1</t>
  </si>
  <si>
    <t>B-08/09-1</t>
  </si>
  <si>
    <t>KCS8394-CLEAN 1</t>
  </si>
  <si>
    <t>KCS8393-CLEAN 1</t>
  </si>
  <si>
    <t>B/C-05-1</t>
  </si>
  <si>
    <t>KCS8054-CLEAN 1</t>
  </si>
  <si>
    <t>3212</t>
  </si>
  <si>
    <t>3787613</t>
  </si>
  <si>
    <t>3211</t>
  </si>
  <si>
    <t>3787612</t>
  </si>
  <si>
    <t>KCS8384-CLEAN 1</t>
  </si>
  <si>
    <t>KCS8385-CLEAN 1</t>
  </si>
  <si>
    <t>C/D-03/04-1</t>
  </si>
  <si>
    <t>KCS8055-CLEAN 1</t>
  </si>
  <si>
    <t>C-06-2</t>
  </si>
  <si>
    <t>KCS8157-CLEAN 1</t>
  </si>
  <si>
    <t>KCS8050-CLEAN 1</t>
  </si>
  <si>
    <t>KCS8072-CLEAN 1</t>
  </si>
  <si>
    <t>A-04-1</t>
  </si>
  <si>
    <t>KCS8283-CLEAN 1</t>
  </si>
  <si>
    <t>KCS8252-CLEAN 1</t>
  </si>
  <si>
    <t>KCS8253-CLEAN 1</t>
  </si>
  <si>
    <t>C-06-3</t>
  </si>
  <si>
    <t>KCS8330-CLEAN 1</t>
  </si>
  <si>
    <t>C-07-3</t>
  </si>
  <si>
    <t>KCS8332-CLEAN 1</t>
  </si>
  <si>
    <t>KCS8070-CLEAN 1</t>
  </si>
  <si>
    <t>F-06-2</t>
  </si>
  <si>
    <t>KCS6890-CLEAN 1</t>
  </si>
  <si>
    <t>D-11-1</t>
  </si>
  <si>
    <t>KCS8279-CLEAN 1</t>
  </si>
  <si>
    <t>2025/2026-40-6517-KEVOTE/XBD.007F01</t>
  </si>
  <si>
    <t>KEVOTE/XBD.007F01</t>
  </si>
  <si>
    <t>W260914H7Q</t>
  </si>
  <si>
    <t>E=--E=</t>
  </si>
  <si>
    <t>C-04-1</t>
  </si>
  <si>
    <t>2025/2026-40-6516-HE/BULK</t>
  </si>
  <si>
    <t>HE/BULK</t>
  </si>
  <si>
    <t>W2609145LJ</t>
  </si>
  <si>
    <t>10075
(AB Below 17)</t>
  </si>
  <si>
    <t>B-08-2</t>
  </si>
  <si>
    <t>KGT2824-LIGHTS</t>
  </si>
  <si>
    <t>50 KG JUTE BAG</t>
  </si>
  <si>
    <t>KGT2816-LIGHTS</t>
  </si>
  <si>
    <t>B-07-2</t>
  </si>
  <si>
    <t>KGT2817-LIGHTS</t>
  </si>
  <si>
    <t>KGT2820-LIGHTS</t>
  </si>
  <si>
    <t>KGT2825-LIGHTS</t>
  </si>
  <si>
    <t>KGT2826-LIGHTS</t>
  </si>
  <si>
    <t>C-10-4</t>
  </si>
  <si>
    <t>KGT2818-LIGHTS</t>
  </si>
  <si>
    <t>C-05/06-3</t>
  </si>
  <si>
    <t>KGT2810-LIGHTS</t>
  </si>
  <si>
    <t>KGT2813-LIGHTS</t>
  </si>
  <si>
    <t>KGT2819-LIGHTS</t>
  </si>
  <si>
    <t>KGT2812-LIGHTS</t>
  </si>
  <si>
    <t>C-10-2</t>
  </si>
  <si>
    <t>KGT2814-LIGHTS</t>
  </si>
  <si>
    <t>C-10-3</t>
  </si>
  <si>
    <t>KGT2815-LIGHTS</t>
  </si>
  <si>
    <t>D-10-5</t>
  </si>
  <si>
    <t>KGT2822-LIGHTS</t>
  </si>
  <si>
    <t>2025/2026-21-6302-GICHATHAINI/XAC09F01</t>
  </si>
  <si>
    <t>GICHATHAINI/XAC09F01</t>
  </si>
  <si>
    <t>2020/2021-002109#0057656</t>
  </si>
  <si>
    <t>W260309PHL</t>
  </si>
  <si>
    <t>MH1--MH1</t>
  </si>
  <si>
    <t>2025/2026-27-7605-KAPKIYAIFCS</t>
  </si>
  <si>
    <t>KAPKIYAIFCS</t>
  </si>
  <si>
    <t>2020/2021-002194#0060351</t>
  </si>
  <si>
    <t>W2604205T4</t>
  </si>
  <si>
    <t>2025/2026-41-4328-P-BULK/PARCHMENTBULK</t>
  </si>
  <si>
    <t>2020/2021-002334#0063632</t>
  </si>
  <si>
    <t>W260918TBX</t>
  </si>
  <si>
    <t>2025/2026-41-6046-KIGANJO/XAA25F01</t>
  </si>
  <si>
    <t>KIGANJO/XAA25F01</t>
  </si>
  <si>
    <t>2020/2021-002334#0063647</t>
  </si>
  <si>
    <t>W260921CZW</t>
  </si>
  <si>
    <t>2025/2026-DS9822-9-GATHUGU/XAC64F04</t>
  </si>
  <si>
    <t>GATHUGU/XAC64F04</t>
  </si>
  <si>
    <t>2020/2021-002127#0058376</t>
  </si>
  <si>
    <t>MUGAGA F.C.SOC LTD</t>
  </si>
  <si>
    <t>1665,XAC64, KARATINA, NYERI, KENYA</t>
  </si>
  <si>
    <t>70314</t>
  </si>
  <si>
    <t>2025/2026-DS9964-4-KIANJIRU</t>
  </si>
  <si>
    <t>KIANJIRU</t>
  </si>
  <si>
    <t>2020/2021-002155#0059100</t>
  </si>
  <si>
    <t>70536-</t>
  </si>
  <si>
    <t>2025/2026-DS9964-6-BARAGWI</t>
  </si>
  <si>
    <t>BARAGWI</t>
  </si>
  <si>
    <t>2020/2021-002155#0059102</t>
  </si>
  <si>
    <t>70540-</t>
  </si>
  <si>
    <t>2025/2026-24-5774-MBUNIBULK</t>
  </si>
  <si>
    <t>MBUNIBULK</t>
  </si>
  <si>
    <t>2020/2021-002117#0057961</t>
  </si>
  <si>
    <t>W2603309MB</t>
  </si>
  <si>
    <t>10150
(ML)</t>
  </si>
  <si>
    <t>2025/2026-DS10002-1-BARAGWIKARUMANDI</t>
  </si>
  <si>
    <t>BARAGWIKARUMANDI</t>
  </si>
  <si>
    <t>2020/2021-002185#0059980</t>
  </si>
  <si>
    <t>70612-</t>
  </si>
  <si>
    <t>10025
(GRINDER - H CLASS)</t>
  </si>
  <si>
    <t>2025/2026-40-6066-GITHEMBE/XAA25F02</t>
  </si>
  <si>
    <t>GITHEMBE/XAA25F02</t>
  </si>
  <si>
    <t>W260911MP2</t>
  </si>
  <si>
    <t>H--H</t>
  </si>
  <si>
    <t>2025/2026-22-3395-KIPKSINENDE</t>
  </si>
  <si>
    <t>KIPKSINENDE</t>
  </si>
  <si>
    <t>2020/2021-002150#0058806</t>
  </si>
  <si>
    <t>W2603162PP</t>
  </si>
  <si>
    <t>ML1--ML1</t>
  </si>
  <si>
    <t>B-03-1</t>
  </si>
  <si>
    <t>2025/2026-32-3537-40LE4011/S/BULK</t>
  </si>
  <si>
    <t>40LE4011/S/BULK</t>
  </si>
  <si>
    <t>W260720C87</t>
  </si>
  <si>
    <t>2025/2026-41-4327-P-BULK/PARCHMENTBULK</t>
  </si>
  <si>
    <t>2020/2021-002334#0063631</t>
  </si>
  <si>
    <t>W2609182D9</t>
  </si>
  <si>
    <t>B-11-1</t>
  </si>
  <si>
    <t>2025/2026-40-7351-KEMMY/ZA0020KEMMY</t>
  </si>
  <si>
    <t>KEMMY/ZA0020KEMMY</t>
  </si>
  <si>
    <t>W260910BF7</t>
  </si>
  <si>
    <t>C-02-1</t>
  </si>
  <si>
    <t>2020/2021-002327#0063510</t>
  </si>
  <si>
    <t>10211
(NATURAL Light )</t>
  </si>
  <si>
    <t>2025/2026-32-6011-KUNDUFARM/026CB256</t>
  </si>
  <si>
    <t>KUNDUFARM/026CB256</t>
  </si>
  <si>
    <t>W260717FGH</t>
  </si>
  <si>
    <t>2025/2026-32-5750-20KP0002/CIANDAESTATE/AI.0008</t>
  </si>
  <si>
    <t>20KP0002/CIANDAESTATE/AI.0008</t>
  </si>
  <si>
    <t>W260720244</t>
  </si>
  <si>
    <t>2025/2026-DS10284-3-KIANJIRU</t>
  </si>
  <si>
    <t>2020/2021-002294#0062597</t>
  </si>
  <si>
    <t>38029</t>
  </si>
  <si>
    <t>A-14-2</t>
  </si>
  <si>
    <t>2025/2026-DS10362-6-KIANGOI</t>
  </si>
  <si>
    <t>WR-060797</t>
  </si>
  <si>
    <t>A-14-4</t>
  </si>
  <si>
    <t>2025/2026-DS10362-3-KARIMIKUI</t>
  </si>
  <si>
    <t>WR-060796</t>
  </si>
  <si>
    <t>D-01-1</t>
  </si>
  <si>
    <t>2025/2026-DS10362-12-KII</t>
  </si>
  <si>
    <t>WR-060800</t>
  </si>
  <si>
    <t>D-01-2</t>
  </si>
  <si>
    <t>2025/2026-DS10362-9-KII</t>
  </si>
  <si>
    <t>WR-060798</t>
  </si>
  <si>
    <t>2025/2026-22-7333-PB/CLEANBULK</t>
  </si>
  <si>
    <t>PB/CLEANBULK</t>
  </si>
  <si>
    <t>2020/2021-002150#0059056</t>
  </si>
  <si>
    <t>W260316ZKS</t>
  </si>
  <si>
    <t>2025/2026-41-3372-49KK2007/C/BULK</t>
  </si>
  <si>
    <t>49KK2007/C/BULK</t>
  </si>
  <si>
    <t>2020/2021-002334#0063593</t>
  </si>
  <si>
    <t>W260921SV4</t>
  </si>
  <si>
    <t>2025/2026-41-3374-49KK0097/BWOGO/29CF00140</t>
  </si>
  <si>
    <t>49KK0097/BWOGO/29CF00140</t>
  </si>
  <si>
    <t>2020/2021-002334#0063594</t>
  </si>
  <si>
    <t>W260921XUQ</t>
  </si>
  <si>
    <t>2025/2026-41-3377-49KK0081/CHOMISIANFCS/XCE142F01</t>
  </si>
  <si>
    <t>2020/2021-002334#0063595</t>
  </si>
  <si>
    <t>W260919C66</t>
  </si>
  <si>
    <t>2025/2026-41-3378-49KK0061/KAPIASFCS/XCE84F01</t>
  </si>
  <si>
    <t>2020/2021-002334#0063596</t>
  </si>
  <si>
    <t>W260919W7G</t>
  </si>
  <si>
    <t>2025/2026-41-3379-49KK0074/SIWOTFCS/XCE29F01</t>
  </si>
  <si>
    <t>2020/2021-002334#0063597</t>
  </si>
  <si>
    <t>W260919XGL</t>
  </si>
  <si>
    <t>2025/2026-41-3382-49KK0084/CHEBILATFACTORY/XCE08F0</t>
  </si>
  <si>
    <t>49KK0084/CHEBILATFACTORY/XCE08F02</t>
  </si>
  <si>
    <t>2020/2021-002334#0063598</t>
  </si>
  <si>
    <t>W2609198YQ</t>
  </si>
  <si>
    <t>2025/2026-41-3383-49KK0040/SERENGFCS/XCE37F01</t>
  </si>
  <si>
    <t>2020/2021-002334#0063599</t>
  </si>
  <si>
    <t>W260919MHQ</t>
  </si>
  <si>
    <t>2025/2026-41-3388-49KK0070/KOISAGATFCS/XCE32F01</t>
  </si>
  <si>
    <t>49KK0070/KOISAGATFCS/XCE32F01</t>
  </si>
  <si>
    <t>2020/2021-002334#0063600</t>
  </si>
  <si>
    <t>W260919X5P</t>
  </si>
  <si>
    <t>2025/2026-41-3389-49KK0024/TOROCHMWAIFCS/XCE95F01</t>
  </si>
  <si>
    <t>49KK0024/TOROCHMWAIFCS/XCE95F01</t>
  </si>
  <si>
    <t>2020/2021-002334#0063601</t>
  </si>
  <si>
    <t>W260919P3V</t>
  </si>
  <si>
    <t>2025/2026-41-4314-P-BULK/PARCHMENTBULK</t>
  </si>
  <si>
    <t>2020/2021-002334#0063626</t>
  </si>
  <si>
    <t>W260919URP</t>
  </si>
  <si>
    <t>2025/2026-41-4315-MENUFCS/XDA13F01</t>
  </si>
  <si>
    <t>2020/2021-002334#0063627</t>
  </si>
  <si>
    <t>W26091929B</t>
  </si>
  <si>
    <t>2025/2026-41-4316-KAPSACHOFCS/XDA48]F01</t>
  </si>
  <si>
    <t>2020/2021-002334#0063628</t>
  </si>
  <si>
    <t>W2609197UD</t>
  </si>
  <si>
    <t>2025/2026-41-6000-KAIMBU/XAA03F09</t>
  </si>
  <si>
    <t>KAIMBU/XAA03F09</t>
  </si>
  <si>
    <t>2020/2021-002334#0063646</t>
  </si>
  <si>
    <t>W260921TRV</t>
  </si>
  <si>
    <t>2025/2026-41-6062-PB/BULK</t>
  </si>
  <si>
    <t>PB/BULK</t>
  </si>
  <si>
    <t>2020/2021-002334#0063648</t>
  </si>
  <si>
    <t>W260918FX3</t>
  </si>
  <si>
    <t>2025/2026-41-6647-PB/CLEANBULK</t>
  </si>
  <si>
    <t>2020/2021-002334#0063659</t>
  </si>
  <si>
    <t>W2609194TW</t>
  </si>
  <si>
    <t>2025/2026-41-6648-PB/CLEANBULK</t>
  </si>
  <si>
    <t>2020/2021-002334#0063660</t>
  </si>
  <si>
    <t>W260919RX6</t>
  </si>
  <si>
    <t>2025/2026-41-6650-PB/CLEANBULK</t>
  </si>
  <si>
    <t>2020/2021-002334#0063661</t>
  </si>
  <si>
    <t>W260919Q4E</t>
  </si>
  <si>
    <t>2025/2026-41-6652-KONYU/XAD02F02</t>
  </si>
  <si>
    <t>KONYU/XAD02F02</t>
  </si>
  <si>
    <t>2020/2021-002334#0063662</t>
  </si>
  <si>
    <t>W260919GFE</t>
  </si>
  <si>
    <t>2025/2026-41-7342-MUCHOMBA/BB0102</t>
  </si>
  <si>
    <t>MUCHOMBA/BB0102</t>
  </si>
  <si>
    <t>2020/2021-002334#0063677</t>
  </si>
  <si>
    <t>W260917XR3</t>
  </si>
  <si>
    <t>2026/2027-DS10423-1-MARACOFFEE</t>
  </si>
  <si>
    <t>CC-90592( PB)</t>
  </si>
  <si>
    <t>B-02/03-1</t>
  </si>
  <si>
    <t>2025/2026-40-8315-48KK0063/KONDARMAKETFCS/XCE150F0</t>
  </si>
  <si>
    <t>W260914WB2</t>
  </si>
  <si>
    <t>C-11-1</t>
  </si>
  <si>
    <t>2025/2026-40-8319-48KK0007/BISTAFARM/29ZA0-072</t>
  </si>
  <si>
    <t>48KK0007/BISTAFARM/29ZA0-072</t>
  </si>
  <si>
    <t>W260914NLR</t>
  </si>
  <si>
    <t>C-11-4</t>
  </si>
  <si>
    <t>2025/2026-40-4910-PB/BULK</t>
  </si>
  <si>
    <t>W26091073W</t>
  </si>
  <si>
    <t>2025/2026-41-6433-MESWON/29XCF0057</t>
  </si>
  <si>
    <t>2020/2021-002336#0063719</t>
  </si>
  <si>
    <t>W260919X5H</t>
  </si>
  <si>
    <t>2025/2026-41-6435-PB/BULK</t>
  </si>
  <si>
    <t>2020/2021-002336#0063720</t>
  </si>
  <si>
    <t>W260916S36</t>
  </si>
  <si>
    <t>2025/2026-41-6436-GITWA/XBD.020F01</t>
  </si>
  <si>
    <t>GITWA/XBD.020F01</t>
  </si>
  <si>
    <t>2020/2021-002336#0063721</t>
  </si>
  <si>
    <t>W260917FHF</t>
  </si>
  <si>
    <t>2025/2026-41-8318-49KK0013/CHBARUSFCS/XCEXCE88F01</t>
  </si>
  <si>
    <t>2020/2021-002337#0063735</t>
  </si>
  <si>
    <t>W260921LYJ</t>
  </si>
  <si>
    <t>2025/2026-16-3904-GATHAGEFCS/XAA12F01</t>
  </si>
  <si>
    <t>GATHAGEFCS/XAA12F01</t>
  </si>
  <si>
    <t>2020/2021-002001#0053799</t>
  </si>
  <si>
    <t>W260202LWX</t>
  </si>
  <si>
    <t>2025/2026-20-5707-C/BULK</t>
  </si>
  <si>
    <t>2020/2021-002059#0055564</t>
  </si>
  <si>
    <t>2025/2026-41-5690-49KP0201/ADEQUATEVENTURESLTD/46E</t>
  </si>
  <si>
    <t>2020/2021-002335#0063701</t>
  </si>
  <si>
    <t>W2609217Z7</t>
  </si>
  <si>
    <t>2025/2026-41-3371-48KK2004/C/BULK</t>
  </si>
  <si>
    <t>48KK2004/C/BULK</t>
  </si>
  <si>
    <t>2020/2021-002334#0063592</t>
  </si>
  <si>
    <t>W260921LYU</t>
  </si>
  <si>
    <t>2025/2026-41-4143-KAGURUFCSKAGURU/XBB30F01</t>
  </si>
  <si>
    <t>KAGURUFCSKAGURU/XBB30F01</t>
  </si>
  <si>
    <t>2020/2021-002334#0063617</t>
  </si>
  <si>
    <t>W260918USB</t>
  </si>
  <si>
    <t>2025/2026-41-4145-CLEANBULKCLEANBULK/CBULK</t>
  </si>
  <si>
    <t>CLEANBULKCLEANBULK/CBULK</t>
  </si>
  <si>
    <t>2020/2021-002334#0063618</t>
  </si>
  <si>
    <t>W2609177SJ</t>
  </si>
  <si>
    <t>2025/2026-41-6063-MUHUGU/AA.0050</t>
  </si>
  <si>
    <t>MUHUGU/AA.0050</t>
  </si>
  <si>
    <t>2020/2021-002334#0063649</t>
  </si>
  <si>
    <t>W2609186ET</t>
  </si>
  <si>
    <t>2025/2026-41-7035-BULK</t>
  </si>
  <si>
    <t>2020/2021-002334#0063666</t>
  </si>
  <si>
    <t>W260921VG2</t>
  </si>
  <si>
    <t>2025/2026-41-6431-PB/BULK</t>
  </si>
  <si>
    <t>2020/2021-002336#0063717</t>
  </si>
  <si>
    <t>W260916M89</t>
  </si>
  <si>
    <t>2025/2026-41-6432-PB/BULK</t>
  </si>
  <si>
    <t>2020/2021-002336#0063718</t>
  </si>
  <si>
    <t>W2609167UW</t>
  </si>
  <si>
    <t>B-07-4</t>
  </si>
  <si>
    <t>KCS8408-REJECTS</t>
  </si>
  <si>
    <t>B-07-5</t>
  </si>
  <si>
    <t>KCS8404-REJECTS</t>
  </si>
  <si>
    <t>KCS8383-REJECTS</t>
  </si>
  <si>
    <t>KCS8390-REJECTS</t>
  </si>
  <si>
    <t>KCS8401-REJECTS</t>
  </si>
  <si>
    <t>KCS8417-REJECTS</t>
  </si>
  <si>
    <t>KCS8373-REJECTS</t>
  </si>
  <si>
    <t>KCS8402-REJECTS</t>
  </si>
  <si>
    <t>KCS8406-REJECTS</t>
  </si>
  <si>
    <t>KCS8412-REJECTS</t>
  </si>
  <si>
    <t>B-08-3</t>
  </si>
  <si>
    <t>KCS8391-REJECTS</t>
  </si>
  <si>
    <t>KCS8407-REJECTS</t>
  </si>
  <si>
    <t>KCS8409-REJECTS</t>
  </si>
  <si>
    <t>KCS8413-REJECTS</t>
  </si>
  <si>
    <t>B-08-5</t>
  </si>
  <si>
    <t>KCS8414-REJECTS</t>
  </si>
  <si>
    <t>C-05/06-5</t>
  </si>
  <si>
    <t>KCS8369-REJECTS</t>
  </si>
  <si>
    <t>KCS8370-REJECTS</t>
  </si>
  <si>
    <t>KCS8372-REJECTS</t>
  </si>
  <si>
    <t>KCS8388-REJECTS</t>
  </si>
  <si>
    <t>KCS8374-REJECTS</t>
  </si>
  <si>
    <t>KCS8419-REJECTS</t>
  </si>
  <si>
    <t>KCS8405-REJECTS</t>
  </si>
  <si>
    <t>KCS8410-REJECTS</t>
  </si>
  <si>
    <t>KCS8415-REJECTS</t>
  </si>
  <si>
    <t>KCS8376-REJECTS</t>
  </si>
  <si>
    <t>KCS8375-REJECTS</t>
  </si>
  <si>
    <t>D-09-3</t>
  </si>
  <si>
    <t>KCS8378-REJECTS</t>
  </si>
  <si>
    <t>D-09-4</t>
  </si>
  <si>
    <t>KCS8377-REJECTS</t>
  </si>
  <si>
    <t>KCS8379-REJECTS</t>
  </si>
  <si>
    <t>B-05-5</t>
  </si>
  <si>
    <t>KCS8362-REJECTS</t>
  </si>
  <si>
    <t>B-07-9</t>
  </si>
  <si>
    <t>KCS8366-REJECTS</t>
  </si>
  <si>
    <t>KCS8382-REJECTS</t>
  </si>
  <si>
    <t>KCS8395-REJECTS</t>
  </si>
  <si>
    <t>KCS8399-REJECTS</t>
  </si>
  <si>
    <t>KCS8396-REJECTS</t>
  </si>
  <si>
    <t>KCS8418-REJECTS</t>
  </si>
  <si>
    <t>B-08-4</t>
  </si>
  <si>
    <t>KCS8392-REJECTS</t>
  </si>
  <si>
    <t>C-05-3</t>
  </si>
  <si>
    <t>KCS8364-REJECTS</t>
  </si>
  <si>
    <t>KCS8358-REJECTS</t>
  </si>
  <si>
    <t>C-07-2</t>
  </si>
  <si>
    <t>KCS8359-REJECTS</t>
  </si>
  <si>
    <t>KCS8389-REJECTS</t>
  </si>
  <si>
    <t>KCS8411-REJECTS</t>
  </si>
  <si>
    <t>KCS8403-REJECTS</t>
  </si>
  <si>
    <t>KCS8398-REJECTS</t>
  </si>
  <si>
    <t>KCS8397-REJECTS</t>
  </si>
  <si>
    <t>KCS8380-REJECTS</t>
  </si>
  <si>
    <t>D-09-5</t>
  </si>
  <si>
    <t>KCS8384-REJECTS</t>
  </si>
  <si>
    <t>D-09-6</t>
  </si>
  <si>
    <t>KCS8385-REJECTS</t>
  </si>
  <si>
    <t>B-06-4</t>
  </si>
  <si>
    <t>KCS8400-REJECTS</t>
  </si>
  <si>
    <t>KCS8386-REJECTS</t>
  </si>
  <si>
    <t>KCS8381-REJECTS</t>
  </si>
  <si>
    <t>KCS8387-REJECTS</t>
  </si>
  <si>
    <t>KCS8393-REJECTS</t>
  </si>
  <si>
    <t>KCS8394-REJECTS</t>
  </si>
  <si>
    <t>2025/2026-40-6506-GITHAKA/AB.0234</t>
  </si>
  <si>
    <t>W260914BY7</t>
  </si>
  <si>
    <t>B-11-2</t>
  </si>
  <si>
    <t>2025/2026-36-4105-CLEANBULKCLEANBULK/CBULK</t>
  </si>
  <si>
    <t>W260817Y49</t>
  </si>
  <si>
    <t>2025/2026-41-3306-49KK0045/SOMBOFCS/XCE17F01</t>
  </si>
  <si>
    <t>49KK0045/SOMBOFCS/XCE17F01</t>
  </si>
  <si>
    <t>2020/2021-002334#0063562</t>
  </si>
  <si>
    <t>W260919GWC</t>
  </si>
  <si>
    <t>E+--E+</t>
  </si>
  <si>
    <t>2025/2026-41-6606-P/BULK</t>
  </si>
  <si>
    <t>2020/2021-002334#0063651</t>
  </si>
  <si>
    <t>W260919VEQ</t>
  </si>
  <si>
    <t>2025/2026-41-6407-T/BULK</t>
  </si>
  <si>
    <t>T/BULK</t>
  </si>
  <si>
    <t>2020/2021-002336#0063707</t>
  </si>
  <si>
    <t>W26091795K</t>
  </si>
  <si>
    <t>2025/2026-32-4103-CLEANBULK-CLEANBULK/C.BULK</t>
  </si>
  <si>
    <t>CLEANBULK-CLEANBULK/C.BULK</t>
  </si>
  <si>
    <t>2020/2021-002244#0061188</t>
  </si>
  <si>
    <t>W260720KE2</t>
  </si>
  <si>
    <t>E--E</t>
  </si>
  <si>
    <t>2025/2026-41-3307-49KK0020/SOIMOIFCS/XCE111F01</t>
  </si>
  <si>
    <t>2020/2021-002334#0063563</t>
  </si>
  <si>
    <t>W260919XMU</t>
  </si>
  <si>
    <t>2025/2026-41-4301-P-BULK/PARCHMENTBULK</t>
  </si>
  <si>
    <t>2020/2021-002334#0063620</t>
  </si>
  <si>
    <t>W260918QTC</t>
  </si>
  <si>
    <t>2025/2026-41-6602-GAKUYU-INI/XAD16F01</t>
  </si>
  <si>
    <t>2020/2021-002334#0063650</t>
  </si>
  <si>
    <t>W260919D5K</t>
  </si>
  <si>
    <t>2025/2026-41-6405-T/BULK</t>
  </si>
  <si>
    <t>2020/2021-002336#0063706</t>
  </si>
  <si>
    <t>W26091694V</t>
  </si>
  <si>
    <t>2025/2026-41-6601-NGORANO/XAD05F03</t>
  </si>
  <si>
    <t>NGORANO/XAD05F03</t>
  </si>
  <si>
    <t>2020/2021-002333#0063551</t>
  </si>
  <si>
    <t>W260918DKX</t>
  </si>
  <si>
    <t>2025/2026-41-7002-MENUFCS/XDA13</t>
  </si>
  <si>
    <t>2020/2021-002333#0063557</t>
  </si>
  <si>
    <t>W260918L23</t>
  </si>
  <si>
    <t>2025/2026-40-5906-NDARUGUHEIGHTS/AB.0039</t>
  </si>
  <si>
    <t>NDARUGUHEIGHTS/AB.0039</t>
  </si>
  <si>
    <t>W2609108B6</t>
  </si>
  <si>
    <t>2025/2026-40-7001-BULK</t>
  </si>
  <si>
    <t>W260910MZ7</t>
  </si>
  <si>
    <t>C-12-3</t>
  </si>
  <si>
    <t>2025/2026-40-5911-KANGOCHO/XAC09F03</t>
  </si>
  <si>
    <t>KANGOCHO/XAC09F03</t>
  </si>
  <si>
    <t>W260911LPP</t>
  </si>
  <si>
    <t>E-02-1</t>
  </si>
  <si>
    <t>2025/2026-40-7344-EAAGADS/AC0028</t>
  </si>
  <si>
    <t>EAAGADS/AC0028</t>
  </si>
  <si>
    <t>W2609102M6</t>
  </si>
  <si>
    <t>2025/2026-41-4901-T/BULK</t>
  </si>
  <si>
    <t>2020/2021-002337#0063724</t>
  </si>
  <si>
    <t>W260918ZKB</t>
  </si>
  <si>
    <t>2025/2026-41-5602-T/BULK</t>
  </si>
  <si>
    <t>2020/2021-002335#0063684</t>
  </si>
  <si>
    <t>W2609217DG</t>
  </si>
  <si>
    <t>2025/2026-41-5744-49KP1009/P/BULK</t>
  </si>
  <si>
    <t>2020/2021-002335#0063703</t>
  </si>
  <si>
    <t>W26092178V</t>
  </si>
  <si>
    <t>2025/2026-41-5747-T/BULK</t>
  </si>
  <si>
    <t>2020/2021-002335#0063704</t>
  </si>
  <si>
    <t>W260921EWM</t>
  </si>
  <si>
    <t>2025/2026-41-6613-TT/CLEANBULK</t>
  </si>
  <si>
    <t>TT/CLEANBULK</t>
  </si>
  <si>
    <t>2020/2021-002334#0063652</t>
  </si>
  <si>
    <t>W260919DLC</t>
  </si>
  <si>
    <t>2025/2026-41-3311-49KK2011/C/BULK</t>
  </si>
  <si>
    <t>49KK2011/C/BULK</t>
  </si>
  <si>
    <t>2020/2021-002334#0063565</t>
  </si>
  <si>
    <t>W260919CUH</t>
  </si>
  <si>
    <t>2025/2026-41-3312-48KK2011/C/BULK</t>
  </si>
  <si>
    <t>48KK2011/C/BULK</t>
  </si>
  <si>
    <t>2020/2021-002334#0063566</t>
  </si>
  <si>
    <t>W260921SWM</t>
  </si>
  <si>
    <t>2025/2026-41-6614-TT/CLEANBULK</t>
  </si>
  <si>
    <t>2020/2021-002334#0063653</t>
  </si>
  <si>
    <t>W260919E5Y</t>
  </si>
  <si>
    <t>2026/2027-DS10423-3-MARACOFFEE</t>
  </si>
  <si>
    <t>CC-90592 (TT)</t>
  </si>
  <si>
    <t>2025/2026-41-6413-TT/BULK</t>
  </si>
  <si>
    <t>TT/BULK</t>
  </si>
  <si>
    <t>2020/2021-002336#0063709</t>
  </si>
  <si>
    <t>W2609166VG</t>
  </si>
  <si>
    <t>2025/2026-41-5611-TT/BULK</t>
  </si>
  <si>
    <t>2020/2021-002335#0063685</t>
  </si>
  <si>
    <t>W260921EF7</t>
  </si>
  <si>
    <t>2025/2026-41-3310-49KK2001/C/BULK</t>
  </si>
  <si>
    <t>49KK2001/C/BULK</t>
  </si>
  <si>
    <t>2020/2021-002334#0063564</t>
  </si>
  <si>
    <t>W260921GBN</t>
  </si>
  <si>
    <t>2025/2026-41-4303-P-BULK/PARCHMENTBULK</t>
  </si>
  <si>
    <t>2020/2021-002334#0063621</t>
  </si>
  <si>
    <t>W260918GL7</t>
  </si>
  <si>
    <t>2025/2026-41-6411-TT/BULK</t>
  </si>
  <si>
    <t>2020/2021-002336#0063708</t>
  </si>
  <si>
    <t>W260916ZKJ</t>
  </si>
  <si>
    <t>2025/2026-41-7366-NATUI/27CJ130</t>
  </si>
  <si>
    <t>NATUI/27CJ130</t>
  </si>
  <si>
    <t>2020/2021-002333#0063560</t>
  </si>
  <si>
    <t>W260921YUR</t>
  </si>
  <si>
    <t>2025/2026-27-5944-MASIMAPROGRESSVENTURES/EB.0104</t>
  </si>
  <si>
    <t>MASIMAPROGRESSVENTURES/EB.0104</t>
  </si>
  <si>
    <t>2020/2021-002194#0060316</t>
  </si>
  <si>
    <t>W260420K9G</t>
  </si>
  <si>
    <t>2025/2026-27-5945-MASIMAPROGRESSVENTURES/EB.0104</t>
  </si>
  <si>
    <t>2020/2021-002194#0060317</t>
  </si>
  <si>
    <t>W260420UD6</t>
  </si>
  <si>
    <t>2025/2026-41-4326-P-BULK/PARCHMENTBULK</t>
  </si>
  <si>
    <t>2020/2021-002334#0063630</t>
  </si>
  <si>
    <t>W260918MFQ</t>
  </si>
  <si>
    <t>2025/2026-41-6677-P/BULK</t>
  </si>
  <si>
    <t>2020/2021-002334#0063664</t>
  </si>
  <si>
    <t>W2609195CT</t>
  </si>
  <si>
    <t>2025/2026-41-7624-CHEPSANGORFCS</t>
  </si>
  <si>
    <t>CHEPSANGORFCS</t>
  </si>
  <si>
    <t>2020/2021-002334#0063681</t>
  </si>
  <si>
    <t>W260917LJA</t>
  </si>
  <si>
    <t>2025/2026-41-8025-UKWELIFARM/14BD145</t>
  </si>
  <si>
    <t>UKWELIFARM/14BD145</t>
  </si>
  <si>
    <t>2020/2021-002334#0063683</t>
  </si>
  <si>
    <t>W260921HGW</t>
  </si>
  <si>
    <t>2025/2026-41-6675-KII/XAD14F01</t>
  </si>
  <si>
    <t>KII/XAD14F01</t>
  </si>
  <si>
    <t>2020/2021-002333#0063555</t>
  </si>
  <si>
    <t>W2609183AQ</t>
  </si>
  <si>
    <t>2025/2026-41-3549-48LE0023/NGOMANOFCS/XBE033F01</t>
  </si>
  <si>
    <t>48LE0023/NGOMANOFCS/XBE033F01</t>
  </si>
  <si>
    <t>2020/2021-002337#0063723</t>
  </si>
  <si>
    <t>W260921V2N</t>
  </si>
  <si>
    <t>2025/2026-41-3727-50FH1001/P/BULK</t>
  </si>
  <si>
    <t>50FH1001/P/BULK</t>
  </si>
  <si>
    <t>2020/2021-002334#0063610</t>
  </si>
  <si>
    <t>W26092175H</t>
  </si>
  <si>
    <t>2025/2026-41-3728-50FH1002/P/BULK</t>
  </si>
  <si>
    <t>50FH1002/P/BULK</t>
  </si>
  <si>
    <t>2020/2021-002334#0063611</t>
  </si>
  <si>
    <t>W260921MH4</t>
  </si>
  <si>
    <t>2025/2026-41-4150-P/BULKPARCHMENTBULK/PBULK</t>
  </si>
  <si>
    <t>2020/2021-002334#0063619</t>
  </si>
  <si>
    <t>W260917SF3</t>
  </si>
  <si>
    <t>E-01/02-1</t>
  </si>
  <si>
    <t>2025/2026-DS10266-1-RUNGETOBULK</t>
  </si>
  <si>
    <t>RUNGETOBULK</t>
  </si>
  <si>
    <t>WR-060385</t>
  </si>
  <si>
    <t>E---E-</t>
  </si>
  <si>
    <t>E-02-2</t>
  </si>
  <si>
    <t>2025/2026-40-6681-P/BULK</t>
  </si>
  <si>
    <t>W260912K4C</t>
  </si>
  <si>
    <t>A-01-1</t>
  </si>
  <si>
    <t>KCH1002-10027-001</t>
  </si>
  <si>
    <t>2607</t>
  </si>
  <si>
    <t>3786965</t>
  </si>
  <si>
    <t>KCH1002-10027-002</t>
  </si>
  <si>
    <t>KCH1002-10027-003</t>
  </si>
  <si>
    <t>KCH1002-10027-004</t>
  </si>
  <si>
    <t>KCH1002-10027-005</t>
  </si>
  <si>
    <t>Batch No.</t>
  </si>
  <si>
    <t>Instruction No.</t>
  </si>
  <si>
    <t>UNITS</t>
  </si>
  <si>
    <t>C-06/07-1</t>
  </si>
  <si>
    <t>KGR1948-ABOVE</t>
  </si>
  <si>
    <t>KGT2823</t>
  </si>
  <si>
    <t>KGR1944-ABOVE</t>
  </si>
  <si>
    <t>KDI6177</t>
  </si>
  <si>
    <t>KGT2802-BOLD</t>
  </si>
  <si>
    <t>A-12-1</t>
  </si>
  <si>
    <t>2025/2026-40-6629-KONYU/XAD02F02</t>
  </si>
  <si>
    <t>KGR1958</t>
  </si>
  <si>
    <t>2025/2026-40-7312-MUTETHIAFCSANKAMIA/XBA36F02</t>
  </si>
  <si>
    <t>2025/2026-40-6622-MBOGATCOFFEEESTATE/BD0135</t>
  </si>
  <si>
    <t>2025/2026-40-5658-48SM1004/PARCHBULK</t>
  </si>
  <si>
    <t>2025/2026-40-3332-49KK0002/WINCHITFCS/ZA020-29</t>
  </si>
  <si>
    <t>2025/2026-40-3515-48LE0014/KHACHONGEFCS/XDA10F01</t>
  </si>
  <si>
    <t>B-02/03-7</t>
  </si>
  <si>
    <t>2025/2026-40-4318-KAPKURONGOFCS/XDA19F01</t>
  </si>
  <si>
    <t>B-02-1</t>
  </si>
  <si>
    <t>2025/2026-40-6442-NGURUERI/XBD.006F02</t>
  </si>
  <si>
    <t>B-02-3</t>
  </si>
  <si>
    <t>2025/2026-40-3309-49KK0038/KIGIRGEIFCS/XCF17F01</t>
  </si>
  <si>
    <t>B-02-4</t>
  </si>
  <si>
    <t>2025/2026-40-7313-KIANJURIFCSNTHUNGU/XBB05F07</t>
  </si>
  <si>
    <t>B-02-5</t>
  </si>
  <si>
    <t>2025/2026-40-3329-48KK0049/METIBELIONFCS/XCE137F01</t>
  </si>
  <si>
    <t>2025/2026-40-3311-48KK0005/CHEPSAINESTATE/35CE149</t>
  </si>
  <si>
    <t>2025/2026-40-3328-48KK0055/COFFEELANDOUTGROWRS/29C</t>
  </si>
  <si>
    <t>2025/2026-40-3422-44KK0020/KIPTEBESFCS</t>
  </si>
  <si>
    <t>2025/2026-40-5652-KAGAARINORTHFCSOCLTDKATHANDE/XBD</t>
  </si>
  <si>
    <t>2025/2026-40-5653-47SM0027/KAGAARINORTHFCSMBUINJER</t>
  </si>
  <si>
    <t>2025/2026-40-5662-46SM1004/PARCHBULK</t>
  </si>
  <si>
    <t>2025/2026-40-7311-MUKWEGONE/BA0040</t>
  </si>
  <si>
    <t>B-12-2</t>
  </si>
  <si>
    <t>2025/2026-40-3323-48KK0082/SOBADIGITAL/ZA.0020SOBA</t>
  </si>
  <si>
    <t>2025/2026-40-3325-48KK0033/URAFIKIFCS/XCE20F01</t>
  </si>
  <si>
    <t>2025/2026-40-4309-P-BULK/PARCHMENTBULK</t>
  </si>
  <si>
    <t>2025/2026-40-4317-KUTEREFCS/XDA52F01</t>
  </si>
  <si>
    <t>2025/2026-40-5937-P/BULK</t>
  </si>
  <si>
    <t>B-12-3</t>
  </si>
  <si>
    <t>2025/2026-40-5948-SORWOT/XCE26F01</t>
  </si>
  <si>
    <t>B-12-4</t>
  </si>
  <si>
    <t>2025/2026-40-3324-48KK0027/RWANDITFCS/XCE77F01</t>
  </si>
  <si>
    <t>2025/2026-40-3708-47FH0010/GACHU/AB.801</t>
  </si>
  <si>
    <t>B-13-1</t>
  </si>
  <si>
    <t>2025/2026-40-3333-48KK0073/SIWOTFCS/XCE29F01</t>
  </si>
  <si>
    <t>B-13-2</t>
  </si>
  <si>
    <t>2025/2026-40-3706-47FH0019/KARUYA/XAB34F06</t>
  </si>
  <si>
    <t>B-13-3</t>
  </si>
  <si>
    <t>2025/2026-40-4313-CHEPKUBEFCS/XDA04F01</t>
  </si>
  <si>
    <t>C-03/04-1</t>
  </si>
  <si>
    <t>2025/2026-40-6621-P/BULK</t>
  </si>
  <si>
    <t>C-03/04-2</t>
  </si>
  <si>
    <t>2025/2026-40-6430-CHEBICH/XDA33F01</t>
  </si>
  <si>
    <t>C-03/04-3</t>
  </si>
  <si>
    <t>2025/2026-40-5645-49KP1002/NEWGATUKUYUBULK</t>
  </si>
  <si>
    <t>KCS8416</t>
  </si>
  <si>
    <t>C-03/04-4</t>
  </si>
  <si>
    <t>2025/2026-40-5654-48KP1003/TINDIRETBULK/35CE098</t>
  </si>
  <si>
    <t>C-03/04-5</t>
  </si>
  <si>
    <t>2025/2026-40-5649-47KP0088/KIKIMAFCSLTDNZAINI/XBE0</t>
  </si>
  <si>
    <t>C-03/04-6</t>
  </si>
  <si>
    <t>2025/2026-40-5659-48SM1005/PARCHBULK</t>
  </si>
  <si>
    <t>2025/2026-40-7307-YARA/AI0012</t>
  </si>
  <si>
    <t>C-03/04-7</t>
  </si>
  <si>
    <t>2025/2026-40-5635-47MM0065/KIANJURIFCSNGONYI/XBB05</t>
  </si>
  <si>
    <t>C-03/04-8</t>
  </si>
  <si>
    <t>2025/2026-40-5661-45KP0019/KAMBUSUFCSOCLTDKAUKISWA</t>
  </si>
  <si>
    <t>KCS8344-CLEAN 1</t>
  </si>
  <si>
    <t>KCS8392-CLEAN 1</t>
  </si>
  <si>
    <t>KDI6173</t>
  </si>
  <si>
    <t>KCS8382-CLEAN 1</t>
  </si>
  <si>
    <t>KDI6174</t>
  </si>
  <si>
    <t>KCS8096-CLEAN 1</t>
  </si>
  <si>
    <t>KDI6172</t>
  </si>
  <si>
    <t>KCS8418-CLEAN 1</t>
  </si>
  <si>
    <t>C/D-05/06-1</t>
  </si>
  <si>
    <t>KCS8405-CLEAN 1</t>
  </si>
  <si>
    <t>KCS8419-CLEAN 1</t>
  </si>
  <si>
    <t>C-13-1</t>
  </si>
  <si>
    <t>KCS8366-CLEAN 1</t>
  </si>
  <si>
    <t>KCS8245-CLEAN 1</t>
  </si>
  <si>
    <t>KCS8391-CLEAN 1</t>
  </si>
  <si>
    <t>KCS8411-CLEAN 1</t>
  </si>
  <si>
    <t>F-10-1</t>
  </si>
  <si>
    <t>KCS8404-CLEAN 1</t>
  </si>
  <si>
    <t>KCS8288-CLEAN 1</t>
  </si>
  <si>
    <t>KGR1954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</si>
</sst>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dd\-mmm\-yyyy"/>
    <numFmt numFmtId="167" formatCode="[$-409]d\-mmm\-yy;@"/>
    <numFmt numFmtId="168" formatCode="_(* #,##0.0_);_(* \(#,##0.0\);_(* &quot;-&quot;??_);_(@_)"/>
    <numFmt numFmtId="169" formatCode="_(* #,##0.000_);_(* \(#,##0.000\);_(* &quot;-&quot;??_);_(@_)"/>
    <numFmt numFmtId="170" formatCode="#,##0;[Red]\(#,##0\)"/>
  </numFmts>
  <fonts count="65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Candara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  <font>
      <b/>
      <sz val="15"/>
      <color theme="3"/>
      <name val="Candara"/>
      <family val="2"/>
    </font>
    <font>
      <b/>
      <sz val="13"/>
      <color theme="3"/>
      <name val="Candara"/>
      <family val="2"/>
    </font>
    <font>
      <b/>
      <sz val="11"/>
      <color theme="3"/>
      <name val="Candara"/>
      <family val="2"/>
    </font>
    <font>
      <sz val="10"/>
      <color rgb="FF006100"/>
      <name val="Candara"/>
      <family val="2"/>
    </font>
    <font>
      <sz val="10"/>
      <color rgb="FF9C0006"/>
      <name val="Candara"/>
      <family val="2"/>
    </font>
    <font>
      <sz val="10"/>
      <color rgb="FF9C5700"/>
      <name val="Candara"/>
      <family val="2"/>
    </font>
    <font>
      <sz val="10"/>
      <color rgb="FF3F3F76"/>
      <name val="Candara"/>
      <family val="2"/>
    </font>
    <font>
      <b/>
      <sz val="10"/>
      <color rgb="FF3F3F3F"/>
      <name val="Candara"/>
      <family val="2"/>
    </font>
    <font>
      <b/>
      <sz val="10"/>
      <color rgb="FFFA7D00"/>
      <name val="Candara"/>
      <family val="2"/>
    </font>
    <font>
      <sz val="10"/>
      <color rgb="FFFA7D00"/>
      <name val="Candara"/>
      <family val="2"/>
    </font>
    <font>
      <b/>
      <sz val="10"/>
      <color theme="0"/>
      <name val="Candara"/>
      <family val="2"/>
    </font>
    <font>
      <sz val="10"/>
      <color rgb="FFFF0000"/>
      <name val="Candara"/>
      <family val="2"/>
    </font>
    <font>
      <i/>
      <sz val="10"/>
      <color rgb="FF7F7F7F"/>
      <name val="Candara"/>
      <family val="2"/>
    </font>
    <font>
      <b/>
      <sz val="10"/>
      <color theme="1"/>
      <name val="Candara"/>
      <family val="2"/>
    </font>
    <font>
      <sz val="10"/>
      <color theme="0"/>
      <name val="Candara"/>
      <family val="2"/>
    </font>
    <font>
      <sz val="10"/>
      <name val="Arial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  <font>
      <sz val="10"/>
      <name val="Arial"/>
      <family val="2"/>
    </font>
    <font>
      <sz val="36"/>
      <name val="Calibri"/>
      <family val="2"/>
      <scheme val="minor"/>
    </font>
    <font>
      <sz val="10"/>
      <name val="Arial"/>
      <family val="2"/>
    </font>
    <font>
      <sz val="48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rgb="FF000000"/>
      <name val="Calibri"/>
      <family val="2"/>
    </font>
    <font>
      <b/>
      <sz val="10"/>
      <color theme="0"/>
      <name val="Calibri"/>
      <family val="2"/>
    </font>
    <font>
      <sz val="10"/>
      <color theme="0"/>
      <name val="Calibri"/>
      <family val="2"/>
    </font>
    <font>
      <sz val="11"/>
      <color rgb="FF000000"/>
      <name val="Calibri"/>
      <family val="2"/>
    </font>
    <font>
      <sz val="12"/>
      <name val="Arial MT"/>
    </font>
    <font>
      <sz val="12"/>
      <color theme="1"/>
      <name val="Aptos"/>
      <family val="2"/>
    </font>
    <font>
      <sz val="40"/>
      <name val="Calibri"/>
      <family val="2"/>
      <scheme val="minor"/>
    </font>
    <font>
      <b/>
      <sz val="40"/>
      <color theme="0"/>
      <name val="Calibri"/>
      <family val="2"/>
      <scheme val="minor"/>
    </font>
    <font>
      <b/>
      <sz val="40"/>
      <color rgb="FFFF0000"/>
      <name val="Calibri"/>
      <family val="2"/>
      <scheme val="minor"/>
    </font>
    <font>
      <b/>
      <sz val="40"/>
      <name val="Calibri"/>
      <family val="2"/>
      <scheme val="minor"/>
    </font>
    <font>
      <sz val="40"/>
      <color theme="0"/>
      <name val="Calibri"/>
      <family val="2"/>
      <scheme val="minor"/>
    </font>
    <font>
      <sz val="40"/>
      <color rgb="FF00B050"/>
      <name val="Calibri"/>
      <family val="2"/>
      <scheme val="minor"/>
    </font>
    <font>
      <sz val="40"/>
      <color rgb="FFFF0000"/>
      <name val="Calibri"/>
      <family val="2"/>
      <scheme val="minor"/>
    </font>
    <font>
      <sz val="40"/>
      <color rgb="FF002060"/>
      <name val="Calibri"/>
      <family val="2"/>
      <scheme val="minor"/>
    </font>
    <font>
      <sz val="48"/>
      <name val="Aptos Narrow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2440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31869B"/>
        <bgColor indexed="64"/>
      </patternFill>
    </fill>
    <fill>
      <patternFill patternType="solid">
        <fgColor rgb="FFFFFF00"/>
        <bgColor indexed="64"/>
      </patternFill>
    </fill>
  </fills>
  <borders count="6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hair">
        <color auto="1"/>
      </right>
      <top style="medium">
        <color auto="1"/>
      </top>
      <bottom/>
      <diagonal/>
    </border>
    <border>
      <left/>
      <right style="thin">
        <color theme="0"/>
      </right>
      <top style="medium">
        <color auto="1"/>
      </top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/>
      <right style="thin">
        <color theme="0"/>
      </right>
      <top style="medium">
        <color auto="1"/>
      </top>
      <bottom/>
      <diagonal/>
    </border>
    <border>
      <left style="thin">
        <color theme="0"/>
      </left>
      <right/>
      <top style="medium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medium">
        <color auto="1"/>
      </bottom>
      <diagonal/>
    </border>
    <border>
      <left style="thin">
        <color theme="0"/>
      </left>
      <right/>
      <top style="medium">
        <color auto="1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theme="0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auto="1"/>
      </top>
      <bottom style="thin">
        <color indexed="64"/>
      </bottom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 style="thick">
        <color auto="1"/>
      </right>
      <top style="medium">
        <color auto="1"/>
      </top>
      <bottom/>
      <diagonal/>
    </border>
    <border>
      <left/>
      <right style="thick">
        <color auto="1"/>
      </right>
      <top style="medium">
        <color auto="1"/>
      </top>
      <bottom style="medium">
        <color indexed="64"/>
      </bottom>
      <diagonal/>
    </border>
    <border>
      <left style="thin">
        <color indexed="64"/>
      </left>
      <right style="thick">
        <color auto="1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hair">
        <color auto="1"/>
      </right>
      <top style="medium">
        <color auto="1"/>
      </top>
      <bottom/>
      <diagonal/>
    </border>
    <border>
      <left style="thick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</borders>
  <cellStyleXfs count="201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43" fontId="3" fillId="0" borderId="0" applyFont="0" applyFill="0" applyBorder="0" applyAlignment="0" applyProtection="0"/>
    <xf numFmtId="0" fontId="20" fillId="0" borderId="0"/>
    <xf numFmtId="0" fontId="20" fillId="0" borderId="0"/>
    <xf numFmtId="0" fontId="21" fillId="0" borderId="0"/>
    <xf numFmtId="43" fontId="3" fillId="0" borderId="0" applyFont="0" applyFill="0" applyBorder="0" applyAlignment="0" applyProtection="0"/>
    <xf numFmtId="0" fontId="20" fillId="0" borderId="0">
      <alignment vertical="top"/>
    </xf>
    <xf numFmtId="43" fontId="20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4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20" borderId="0" applyNumberFormat="0" applyBorder="0" applyAlignment="0" applyProtection="0"/>
    <xf numFmtId="0" fontId="3" fillId="24" borderId="0" applyNumberFormat="0" applyBorder="0" applyAlignment="0" applyProtection="0"/>
    <xf numFmtId="0" fontId="3" fillId="28" borderId="0" applyNumberFormat="0" applyBorder="0" applyAlignment="0" applyProtection="0"/>
    <xf numFmtId="0" fontId="3" fillId="32" borderId="0" applyNumberFormat="0" applyBorder="0" applyAlignment="0" applyProtection="0"/>
    <xf numFmtId="0" fontId="27" fillId="0" borderId="0" applyNumberFormat="0" applyFill="0" applyBorder="0" applyAlignment="0" applyProtection="0"/>
    <xf numFmtId="0" fontId="25" fillId="0" borderId="1" applyNumberFormat="0" applyFill="0" applyAlignment="0" applyProtection="0"/>
    <xf numFmtId="0" fontId="34" fillId="0" borderId="6" applyNumberFormat="0" applyFill="0" applyAlignment="0" applyProtection="0"/>
    <xf numFmtId="0" fontId="33" fillId="6" borderId="4" applyNumberFormat="0" applyAlignment="0" applyProtection="0"/>
    <xf numFmtId="0" fontId="32" fillId="6" borderId="5" applyNumberFormat="0" applyAlignment="0" applyProtection="0"/>
    <xf numFmtId="0" fontId="31" fillId="5" borderId="4" applyNumberFormat="0" applyAlignment="0" applyProtection="0"/>
    <xf numFmtId="0" fontId="35" fillId="7" borderId="7" applyNumberFormat="0" applyAlignment="0" applyProtection="0"/>
    <xf numFmtId="0" fontId="38" fillId="0" borderId="9" applyNumberFormat="0" applyFill="0" applyAlignment="0" applyProtection="0"/>
    <xf numFmtId="0" fontId="28" fillId="2" borderId="0" applyNumberFormat="0" applyBorder="0" applyAlignment="0" applyProtection="0"/>
    <xf numFmtId="0" fontId="30" fillId="4" borderId="0" applyNumberFormat="0" applyBorder="0" applyAlignment="0" applyProtection="0"/>
    <xf numFmtId="0" fontId="26" fillId="0" borderId="2" applyNumberFormat="0" applyFill="0" applyAlignment="0" applyProtection="0"/>
    <xf numFmtId="0" fontId="37" fillId="0" borderId="0" applyNumberFormat="0" applyFill="0" applyBorder="0" applyAlignment="0" applyProtection="0"/>
    <xf numFmtId="0" fontId="29" fillId="3" borderId="0" applyNumberFormat="0" applyBorder="0" applyAlignment="0" applyProtection="0"/>
    <xf numFmtId="0" fontId="2" fillId="8" borderId="8" applyNumberFormat="0" applyFont="0" applyAlignment="0" applyProtection="0"/>
    <xf numFmtId="0" fontId="2" fillId="0" borderId="0"/>
    <xf numFmtId="0" fontId="27" fillId="0" borderId="3" applyNumberFormat="0" applyFill="0" applyAlignment="0" applyProtection="0"/>
    <xf numFmtId="0" fontId="36" fillId="0" borderId="0" applyNumberFormat="0" applyFill="0" applyBorder="0" applyAlignment="0" applyProtection="0"/>
    <xf numFmtId="0" fontId="2" fillId="14" borderId="0" applyNumberFormat="0" applyBorder="0" applyAlignment="0" applyProtection="0"/>
    <xf numFmtId="0" fontId="2" fillId="32" borderId="0" applyNumberFormat="0" applyBorder="0" applyAlignment="0" applyProtection="0"/>
    <xf numFmtId="0" fontId="2" fillId="26" borderId="0" applyNumberFormat="0" applyBorder="0" applyAlignment="0" applyProtection="0"/>
    <xf numFmtId="0" fontId="2" fillId="20" borderId="0" applyNumberFormat="0" applyBorder="0" applyAlignment="0" applyProtection="0"/>
    <xf numFmtId="0" fontId="39" fillId="13" borderId="0" applyNumberFormat="0" applyBorder="0" applyAlignment="0" applyProtection="0"/>
    <xf numFmtId="0" fontId="2" fillId="31" borderId="0" applyNumberFormat="0" applyBorder="0" applyAlignment="0" applyProtection="0"/>
    <xf numFmtId="0" fontId="39" fillId="25" borderId="0" applyNumberFormat="0" applyBorder="0" applyAlignment="0" applyProtection="0"/>
    <xf numFmtId="0" fontId="2" fillId="19" borderId="0" applyNumberFormat="0" applyBorder="0" applyAlignment="0" applyProtection="0"/>
    <xf numFmtId="0" fontId="2" fillId="12" borderId="0" applyNumberFormat="0" applyBorder="0" applyAlignment="0" applyProtection="0"/>
    <xf numFmtId="0" fontId="2" fillId="30" borderId="0" applyNumberFormat="0" applyBorder="0" applyAlignment="0" applyProtection="0"/>
    <xf numFmtId="0" fontId="2" fillId="24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39" fillId="29" borderId="0" applyNumberFormat="0" applyBorder="0" applyAlignment="0" applyProtection="0"/>
    <xf numFmtId="0" fontId="2" fillId="23" borderId="0" applyNumberFormat="0" applyBorder="0" applyAlignment="0" applyProtection="0"/>
    <xf numFmtId="0" fontId="39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28" borderId="0" applyNumberFormat="0" applyBorder="0" applyAlignment="0" applyProtection="0"/>
    <xf numFmtId="0" fontId="2" fillId="22" borderId="0" applyNumberFormat="0" applyBorder="0" applyAlignment="0" applyProtection="0"/>
    <xf numFmtId="0" fontId="2" fillId="16" borderId="0" applyNumberFormat="0" applyBorder="0" applyAlignment="0" applyProtection="0"/>
    <xf numFmtId="0" fontId="39" fillId="9" borderId="0" applyNumberFormat="0" applyBorder="0" applyAlignment="0" applyProtection="0"/>
    <xf numFmtId="0" fontId="2" fillId="27" borderId="0" applyNumberFormat="0" applyBorder="0" applyAlignment="0" applyProtection="0"/>
    <xf numFmtId="0" fontId="39" fillId="21" borderId="0" applyNumberFormat="0" applyBorder="0" applyAlignment="0" applyProtection="0"/>
    <xf numFmtId="0" fontId="2" fillId="15" borderId="0" applyNumberFormat="0" applyBorder="0" applyAlignment="0" applyProtection="0"/>
    <xf numFmtId="0" fontId="10" fillId="4" borderId="0" applyNumberFormat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20" fillId="0" borderId="0"/>
    <xf numFmtId="0" fontId="19" fillId="20" borderId="0" applyNumberFormat="0" applyBorder="0" applyAlignment="0" applyProtection="0"/>
    <xf numFmtId="0" fontId="19" fillId="16" borderId="0" applyNumberFormat="0" applyBorder="0" applyAlignment="0" applyProtection="0"/>
    <xf numFmtId="0" fontId="19" fillId="24" borderId="0" applyNumberFormat="0" applyBorder="0" applyAlignment="0" applyProtection="0"/>
    <xf numFmtId="0" fontId="19" fillId="32" borderId="0" applyNumberFormat="0" applyBorder="0" applyAlignment="0" applyProtection="0"/>
    <xf numFmtId="0" fontId="19" fillId="12" borderId="0" applyNumberFormat="0" applyBorder="0" applyAlignment="0" applyProtection="0"/>
    <xf numFmtId="0" fontId="19" fillId="28" borderId="0" applyNumberFormat="0" applyBorder="0" applyAlignment="0" applyProtection="0"/>
    <xf numFmtId="0" fontId="3" fillId="0" borderId="0"/>
    <xf numFmtId="0" fontId="3" fillId="8" borderId="8" applyNumberFormat="0" applyFont="0" applyAlignment="0" applyProtection="0"/>
    <xf numFmtId="0" fontId="20" fillId="0" borderId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4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20" fillId="0" borderId="0"/>
    <xf numFmtId="0" fontId="20" fillId="0" borderId="0">
      <alignment vertical="top"/>
    </xf>
    <xf numFmtId="0" fontId="2" fillId="8" borderId="8" applyNumberFormat="0" applyFont="0" applyAlignment="0" applyProtection="0"/>
    <xf numFmtId="0" fontId="2" fillId="14" borderId="0" applyNumberFormat="0" applyBorder="0" applyAlignment="0" applyProtection="0"/>
    <xf numFmtId="0" fontId="2" fillId="26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30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23" borderId="0" applyNumberFormat="0" applyBorder="0" applyAlignment="0" applyProtection="0"/>
    <xf numFmtId="0" fontId="2" fillId="10" borderId="0" applyNumberFormat="0" applyBorder="0" applyAlignment="0" applyProtection="0"/>
    <xf numFmtId="0" fontId="2" fillId="22" borderId="0" applyNumberFormat="0" applyBorder="0" applyAlignment="0" applyProtection="0"/>
    <xf numFmtId="0" fontId="2" fillId="27" borderId="0" applyNumberFormat="0" applyBorder="0" applyAlignment="0" applyProtection="0"/>
    <xf numFmtId="0" fontId="2" fillId="15" borderId="0" applyNumberFormat="0" applyBorder="0" applyAlignment="0" applyProtection="0"/>
    <xf numFmtId="164" fontId="3" fillId="0" borderId="0" applyFont="0" applyFill="0" applyBorder="0" applyAlignment="0" applyProtection="0"/>
    <xf numFmtId="164" fontId="20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0" fillId="0" borderId="0"/>
    <xf numFmtId="0" fontId="41" fillId="0" borderId="0"/>
    <xf numFmtId="43" fontId="41" fillId="0" borderId="0" applyFont="0" applyFill="0" applyBorder="0" applyAlignment="0" applyProtection="0"/>
    <xf numFmtId="0" fontId="43" fillId="0" borderId="0"/>
    <xf numFmtId="0" fontId="41" fillId="0" borderId="0"/>
    <xf numFmtId="0" fontId="3" fillId="0" borderId="0"/>
    <xf numFmtId="43" fontId="41" fillId="0" borderId="0" applyFont="0" applyFill="0" applyBorder="0" applyAlignment="0" applyProtection="0"/>
    <xf numFmtId="0" fontId="45" fillId="0" borderId="0"/>
    <xf numFmtId="0" fontId="3" fillId="0" borderId="0"/>
    <xf numFmtId="9" fontId="20" fillId="0" borderId="0" applyFont="0" applyFill="0" applyBorder="0" applyAlignment="0" applyProtection="0"/>
    <xf numFmtId="0" fontId="47" fillId="0" borderId="0"/>
    <xf numFmtId="0" fontId="48" fillId="0" borderId="0"/>
    <xf numFmtId="0" fontId="49" fillId="0" borderId="0"/>
    <xf numFmtId="164" fontId="20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53" fillId="0" borderId="0" applyNumberFormat="0" applyBorder="0" applyAlignment="0"/>
    <xf numFmtId="167" fontId="54" fillId="0" borderId="0">
      <alignment vertical="top"/>
    </xf>
    <xf numFmtId="43" fontId="20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20" fillId="0" borderId="0"/>
    <xf numFmtId="0" fontId="20" fillId="0" borderId="0"/>
    <xf numFmtId="9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20" fillId="0" borderId="0"/>
    <xf numFmtId="167" fontId="54" fillId="0" borderId="0">
      <alignment vertical="top"/>
    </xf>
    <xf numFmtId="0" fontId="20" fillId="0" borderId="0"/>
    <xf numFmtId="0" fontId="20" fillId="0" borderId="0"/>
    <xf numFmtId="0" fontId="3" fillId="0" borderId="0"/>
    <xf numFmtId="9" fontId="20" fillId="0" borderId="0" applyFont="0" applyFill="0" applyBorder="0" applyAlignment="0" applyProtection="0"/>
    <xf numFmtId="0" fontId="3" fillId="0" borderId="0"/>
    <xf numFmtId="0" fontId="20" fillId="0" borderId="0"/>
    <xf numFmtId="0" fontId="20" fillId="0" borderId="0"/>
    <xf numFmtId="43" fontId="3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20" fillId="0" borderId="0"/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</cellStyleXfs>
  <cellXfs count="195">
    <xf numFmtId="0" fontId="0" fillId="0" borderId="0" xfId="0"/>
    <xf numFmtId="0" fontId="50" fillId="0" borderId="0" xfId="0" applyFont="1" applyAlignment="1">
      <alignment vertical="center"/>
    </xf>
    <xf numFmtId="165" fontId="46" fillId="0" borderId="19" xfId="42" applyNumberFormat="1" applyFont="1" applyFill="1" applyBorder="1"/>
    <xf numFmtId="165" fontId="46" fillId="0" borderId="32" xfId="42" applyNumberFormat="1" applyFont="1" applyFill="1" applyBorder="1"/>
    <xf numFmtId="165" fontId="46" fillId="0" borderId="40" xfId="42" applyNumberFormat="1" applyFont="1" applyFill="1" applyBorder="1"/>
    <xf numFmtId="165" fontId="46" fillId="0" borderId="41" xfId="42" applyNumberFormat="1" applyFont="1" applyFill="1" applyBorder="1"/>
    <xf numFmtId="43" fontId="46" fillId="0" borderId="40" xfId="42" applyFont="1" applyFill="1" applyBorder="1"/>
    <xf numFmtId="43" fontId="46" fillId="0" borderId="19" xfId="42" applyFont="1" applyFill="1" applyBorder="1"/>
    <xf numFmtId="43" fontId="46" fillId="0" borderId="32" xfId="42" applyFont="1" applyFill="1" applyBorder="1"/>
    <xf numFmtId="0" fontId="51" fillId="37" borderId="25" xfId="0" applyFont="1" applyFill="1" applyBorder="1" applyAlignment="1">
      <alignment horizontal="center" vertical="center"/>
    </xf>
    <xf numFmtId="0" fontId="52" fillId="37" borderId="0" xfId="0" applyFont="1" applyFill="1" applyAlignment="1">
      <alignment vertical="center"/>
    </xf>
    <xf numFmtId="165" fontId="46" fillId="0" borderId="45" xfId="42" applyNumberFormat="1" applyFont="1" applyFill="1" applyBorder="1"/>
    <xf numFmtId="0" fontId="55" fillId="0" borderId="0" xfId="0" applyFont="1"/>
    <xf numFmtId="0" fontId="56" fillId="33" borderId="0" xfId="0" applyFont="1" applyFill="1"/>
    <xf numFmtId="165" fontId="56" fillId="0" borderId="0" xfId="42" applyNumberFormat="1" applyFont="1" applyFill="1"/>
    <xf numFmtId="43" fontId="56" fillId="33" borderId="0" xfId="42" applyFont="1" applyFill="1"/>
    <xf numFmtId="165" fontId="56" fillId="33" borderId="0" xfId="42" applyNumberFormat="1" applyFont="1" applyFill="1"/>
    <xf numFmtId="0" fontId="56" fillId="33" borderId="13" xfId="0" applyFont="1" applyFill="1" applyBorder="1"/>
    <xf numFmtId="43" fontId="57" fillId="39" borderId="44" xfId="42" applyFont="1" applyFill="1" applyBorder="1" applyAlignment="1">
      <alignment horizontal="center" vertical="center" wrapText="1"/>
    </xf>
    <xf numFmtId="0" fontId="57" fillId="39" borderId="11" xfId="0" applyFont="1" applyFill="1" applyBorder="1" applyAlignment="1">
      <alignment horizontal="centerContinuous" vertical="center" wrapText="1"/>
    </xf>
    <xf numFmtId="0" fontId="57" fillId="39" borderId="35" xfId="0" applyFont="1" applyFill="1" applyBorder="1" applyAlignment="1">
      <alignment horizontal="centerContinuous" vertical="center" wrapText="1"/>
    </xf>
    <xf numFmtId="43" fontId="57" fillId="35" borderId="33" xfId="42" applyFont="1" applyFill="1" applyBorder="1" applyAlignment="1">
      <alignment horizontal="centerContinuous" vertical="center" wrapText="1"/>
    </xf>
    <xf numFmtId="0" fontId="57" fillId="35" borderId="11" xfId="0" applyFont="1" applyFill="1" applyBorder="1" applyAlignment="1">
      <alignment horizontal="centerContinuous" vertical="center" wrapText="1"/>
    </xf>
    <xf numFmtId="0" fontId="57" fillId="35" borderId="34" xfId="0" applyFont="1" applyFill="1" applyBorder="1" applyAlignment="1">
      <alignment horizontal="centerContinuous" vertical="center" wrapText="1"/>
    </xf>
    <xf numFmtId="0" fontId="57" fillId="35" borderId="35" xfId="0" applyFont="1" applyFill="1" applyBorder="1" applyAlignment="1">
      <alignment horizontal="centerContinuous" vertical="center" wrapText="1"/>
    </xf>
    <xf numFmtId="43" fontId="57" fillId="36" borderId="33" xfId="42" applyFont="1" applyFill="1" applyBorder="1" applyAlignment="1">
      <alignment horizontal="centerContinuous" vertical="center" wrapText="1"/>
    </xf>
    <xf numFmtId="43" fontId="57" fillId="35" borderId="35" xfId="42" applyFont="1" applyFill="1" applyBorder="1" applyAlignment="1">
      <alignment horizontal="centerContinuous" vertical="center" wrapText="1"/>
    </xf>
    <xf numFmtId="43" fontId="57" fillId="35" borderId="36" xfId="42" applyFont="1" applyFill="1" applyBorder="1" applyAlignment="1">
      <alignment horizontal="centerContinuous" vertical="center" wrapText="1"/>
    </xf>
    <xf numFmtId="43" fontId="57" fillId="35" borderId="37" xfId="42" applyFont="1" applyFill="1" applyBorder="1" applyAlignment="1">
      <alignment horizontal="centerContinuous" vertical="center" wrapText="1"/>
    </xf>
    <xf numFmtId="43" fontId="57" fillId="35" borderId="11" xfId="42" applyFont="1" applyFill="1" applyBorder="1" applyAlignment="1">
      <alignment horizontal="centerContinuous" vertical="center" wrapText="1"/>
    </xf>
    <xf numFmtId="43" fontId="57" fillId="35" borderId="34" xfId="42" applyFont="1" applyFill="1" applyBorder="1" applyAlignment="1">
      <alignment horizontal="centerContinuous" vertical="center" wrapText="1"/>
    </xf>
    <xf numFmtId="43" fontId="57" fillId="35" borderId="39" xfId="42" applyFont="1" applyFill="1" applyBorder="1" applyAlignment="1">
      <alignment horizontal="center" vertical="center" wrapText="1"/>
    </xf>
    <xf numFmtId="43" fontId="57" fillId="35" borderId="36" xfId="42" applyFont="1" applyFill="1" applyBorder="1" applyAlignment="1">
      <alignment horizontal="center" vertical="center" wrapText="1"/>
    </xf>
    <xf numFmtId="0" fontId="57" fillId="35" borderId="20" xfId="0" applyFont="1" applyFill="1" applyBorder="1" applyAlignment="1">
      <alignment horizontal="center" vertical="center" wrapText="1"/>
    </xf>
    <xf numFmtId="0" fontId="57" fillId="38" borderId="26" xfId="0" applyFont="1" applyFill="1" applyBorder="1" applyAlignment="1">
      <alignment horizontal="center" vertical="center"/>
    </xf>
    <xf numFmtId="0" fontId="57" fillId="38" borderId="27" xfId="0" applyFont="1" applyFill="1" applyBorder="1" applyAlignment="1">
      <alignment horizontal="center" vertical="center"/>
    </xf>
    <xf numFmtId="43" fontId="57" fillId="38" borderId="47" xfId="42" applyFont="1" applyFill="1" applyBorder="1" applyAlignment="1">
      <alignment horizontal="center" vertical="center" wrapText="1"/>
    </xf>
    <xf numFmtId="43" fontId="57" fillId="38" borderId="27" xfId="42" applyFont="1" applyFill="1" applyBorder="1" applyAlignment="1">
      <alignment horizontal="center" vertical="center" wrapText="1"/>
    </xf>
    <xf numFmtId="43" fontId="57" fillId="35" borderId="38" xfId="42" applyFont="1" applyFill="1" applyBorder="1" applyAlignment="1">
      <alignment horizontal="center" vertical="center" wrapText="1"/>
    </xf>
    <xf numFmtId="43" fontId="58" fillId="35" borderId="34" xfId="42" applyFont="1" applyFill="1" applyBorder="1" applyAlignment="1">
      <alignment horizontal="center" vertical="center" wrapText="1"/>
    </xf>
    <xf numFmtId="43" fontId="57" fillId="35" borderId="42" xfId="42" applyFont="1" applyFill="1" applyBorder="1" applyAlignment="1">
      <alignment horizontal="center" vertical="center" wrapText="1"/>
    </xf>
    <xf numFmtId="43" fontId="57" fillId="35" borderId="27" xfId="42" applyFont="1" applyFill="1" applyBorder="1" applyAlignment="1">
      <alignment horizontal="center" vertical="center" wrapText="1"/>
    </xf>
    <xf numFmtId="43" fontId="58" fillId="35" borderId="28" xfId="42" applyFont="1" applyFill="1" applyBorder="1" applyAlignment="1">
      <alignment horizontal="center" vertical="center" wrapText="1"/>
    </xf>
    <xf numFmtId="43" fontId="57" fillId="35" borderId="26" xfId="42" applyFont="1" applyFill="1" applyBorder="1" applyAlignment="1">
      <alignment horizontal="center" vertical="center" wrapText="1"/>
    </xf>
    <xf numFmtId="43" fontId="57" fillId="35" borderId="11" xfId="42" applyFont="1" applyFill="1" applyBorder="1" applyAlignment="1">
      <alignment horizontal="center" vertical="center" wrapText="1"/>
    </xf>
    <xf numFmtId="0" fontId="58" fillId="35" borderId="43" xfId="0" applyFont="1" applyFill="1" applyBorder="1" applyAlignment="1">
      <alignment horizontal="center" vertical="center" wrapText="1"/>
    </xf>
    <xf numFmtId="0" fontId="59" fillId="33" borderId="0" xfId="0" applyFont="1" applyFill="1" applyAlignment="1">
      <alignment vertical="center"/>
    </xf>
    <xf numFmtId="165" fontId="56" fillId="0" borderId="31" xfId="42" applyNumberFormat="1" applyFont="1" applyFill="1" applyBorder="1" applyAlignment="1"/>
    <xf numFmtId="165" fontId="56" fillId="0" borderId="31" xfId="42" applyNumberFormat="1" applyFont="1" applyFill="1" applyBorder="1"/>
    <xf numFmtId="165" fontId="56" fillId="0" borderId="17" xfId="42" applyNumberFormat="1" applyFont="1" applyFill="1" applyBorder="1"/>
    <xf numFmtId="165" fontId="56" fillId="0" borderId="16" xfId="42" applyNumberFormat="1" applyFont="1" applyFill="1" applyBorder="1"/>
    <xf numFmtId="43" fontId="56" fillId="0" borderId="16" xfId="42" applyFont="1" applyFill="1" applyBorder="1"/>
    <xf numFmtId="0" fontId="57" fillId="35" borderId="0" xfId="0" applyFont="1" applyFill="1"/>
    <xf numFmtId="165" fontId="57" fillId="35" borderId="0" xfId="42" applyNumberFormat="1" applyFont="1" applyFill="1" applyBorder="1"/>
    <xf numFmtId="165" fontId="57" fillId="35" borderId="13" xfId="42" applyNumberFormat="1" applyFont="1" applyFill="1" applyBorder="1"/>
    <xf numFmtId="165" fontId="57" fillId="35" borderId="22" xfId="42" applyNumberFormat="1" applyFont="1" applyFill="1" applyBorder="1" applyAlignment="1"/>
    <xf numFmtId="0" fontId="59" fillId="34" borderId="0" xfId="0" applyFont="1" applyFill="1"/>
    <xf numFmtId="0" fontId="56" fillId="33" borderId="15" xfId="0" applyFont="1" applyFill="1" applyBorder="1"/>
    <xf numFmtId="165" fontId="56" fillId="0" borderId="15" xfId="42" applyNumberFormat="1" applyFont="1" applyFill="1" applyBorder="1"/>
    <xf numFmtId="43" fontId="56" fillId="33" borderId="15" xfId="42" applyFont="1" applyFill="1" applyBorder="1"/>
    <xf numFmtId="165" fontId="56" fillId="33" borderId="15" xfId="42" applyNumberFormat="1" applyFont="1" applyFill="1" applyBorder="1"/>
    <xf numFmtId="165" fontId="56" fillId="33" borderId="22" xfId="42" applyNumberFormat="1" applyFont="1" applyFill="1" applyBorder="1"/>
    <xf numFmtId="0" fontId="57" fillId="35" borderId="0" xfId="45" applyFont="1" applyFill="1"/>
    <xf numFmtId="0" fontId="57" fillId="35" borderId="0" xfId="45" applyFont="1" applyFill="1" applyAlignment="1">
      <alignment horizontal="center"/>
    </xf>
    <xf numFmtId="43" fontId="57" fillId="35" borderId="0" xfId="42" applyFont="1" applyFill="1" applyBorder="1" applyAlignment="1">
      <alignment horizontal="center"/>
    </xf>
    <xf numFmtId="43" fontId="57" fillId="35" borderId="0" xfId="42" applyFont="1" applyFill="1" applyBorder="1" applyAlignment="1">
      <alignment horizontal="right"/>
    </xf>
    <xf numFmtId="165" fontId="57" fillId="35" borderId="0" xfId="42" applyNumberFormat="1" applyFont="1" applyFill="1" applyBorder="1" applyAlignment="1">
      <alignment horizontal="right"/>
    </xf>
    <xf numFmtId="43" fontId="60" fillId="35" borderId="13" xfId="42" applyFont="1" applyFill="1" applyBorder="1" applyAlignment="1">
      <alignment horizontal="center" vertical="center"/>
    </xf>
    <xf numFmtId="0" fontId="56" fillId="33" borderId="13" xfId="0" applyFont="1" applyFill="1" applyBorder="1" applyAlignment="1">
      <alignment horizontal="center"/>
    </xf>
    <xf numFmtId="0" fontId="56" fillId="33" borderId="0" xfId="0" applyFont="1" applyFill="1" applyAlignment="1">
      <alignment horizontal="center"/>
    </xf>
    <xf numFmtId="43" fontId="56" fillId="0" borderId="0" xfId="42" applyFont="1" applyBorder="1" applyAlignment="1">
      <alignment horizontal="left" vertical="top"/>
    </xf>
    <xf numFmtId="43" fontId="56" fillId="33" borderId="0" xfId="42" applyFont="1" applyFill="1" applyAlignment="1">
      <alignment horizontal="left" vertical="top"/>
    </xf>
    <xf numFmtId="43" fontId="61" fillId="0" borderId="0" xfId="42" applyFont="1" applyBorder="1" applyAlignment="1">
      <alignment horizontal="left" vertical="top"/>
    </xf>
    <xf numFmtId="165" fontId="56" fillId="0" borderId="0" xfId="42" applyNumberFormat="1" applyFont="1" applyBorder="1" applyAlignment="1">
      <alignment horizontal="left" vertical="top"/>
    </xf>
    <xf numFmtId="43" fontId="56" fillId="0" borderId="13" xfId="42" applyFont="1" applyBorder="1" applyAlignment="1">
      <alignment horizontal="left" vertical="top"/>
    </xf>
    <xf numFmtId="43" fontId="56" fillId="0" borderId="12" xfId="42" applyFont="1" applyBorder="1" applyAlignment="1">
      <alignment horizontal="left" vertical="top"/>
    </xf>
    <xf numFmtId="0" fontId="56" fillId="33" borderId="13" xfId="0" applyFont="1" applyFill="1" applyBorder="1" applyAlignment="1">
      <alignment horizontal="left" vertical="top"/>
    </xf>
    <xf numFmtId="0" fontId="56" fillId="33" borderId="0" xfId="0" applyFont="1" applyFill="1" applyAlignment="1">
      <alignment horizontal="left" vertical="top"/>
    </xf>
    <xf numFmtId="43" fontId="62" fillId="0" borderId="0" xfId="42" applyFont="1" applyBorder="1" applyAlignment="1">
      <alignment horizontal="left" vertical="top"/>
    </xf>
    <xf numFmtId="43" fontId="58" fillId="0" borderId="13" xfId="42" applyFont="1" applyBorder="1" applyAlignment="1">
      <alignment horizontal="left" vertical="top"/>
    </xf>
    <xf numFmtId="43" fontId="58" fillId="0" borderId="12" xfId="42" applyFont="1" applyBorder="1" applyAlignment="1">
      <alignment horizontal="left" vertical="top"/>
    </xf>
    <xf numFmtId="43" fontId="58" fillId="0" borderId="0" xfId="42" applyFont="1" applyBorder="1" applyAlignment="1">
      <alignment horizontal="left" vertical="top"/>
    </xf>
    <xf numFmtId="43" fontId="56" fillId="0" borderId="18" xfId="42" applyFont="1" applyBorder="1" applyAlignment="1"/>
    <xf numFmtId="165" fontId="56" fillId="0" borderId="31" xfId="42" applyNumberFormat="1" applyFont="1" applyFill="1" applyBorder="1" applyAlignment="1">
      <alignment horizontal="left"/>
    </xf>
    <xf numFmtId="165" fontId="56" fillId="0" borderId="31" xfId="42" applyNumberFormat="1" applyFont="1" applyBorder="1" applyAlignment="1">
      <alignment horizontal="left"/>
    </xf>
    <xf numFmtId="43" fontId="56" fillId="0" borderId="31" xfId="42" applyFont="1" applyBorder="1" applyAlignment="1">
      <alignment horizontal="left"/>
    </xf>
    <xf numFmtId="43" fontId="56" fillId="0" borderId="0" xfId="42" applyFont="1" applyBorder="1" applyAlignment="1"/>
    <xf numFmtId="43" fontId="56" fillId="0" borderId="0" xfId="42" applyFont="1" applyBorder="1" applyAlignment="1">
      <alignment horizontal="center"/>
    </xf>
    <xf numFmtId="165" fontId="56" fillId="0" borderId="0" xfId="42" applyNumberFormat="1" applyFont="1" applyFill="1" applyBorder="1"/>
    <xf numFmtId="43" fontId="56" fillId="0" borderId="0" xfId="42" applyFont="1" applyBorder="1" applyAlignment="1">
      <alignment horizontal="left"/>
    </xf>
    <xf numFmtId="165" fontId="56" fillId="0" borderId="0" xfId="42" applyNumberFormat="1" applyFont="1" applyBorder="1" applyAlignment="1">
      <alignment horizontal="left"/>
    </xf>
    <xf numFmtId="9" fontId="56" fillId="0" borderId="0" xfId="171" applyFont="1" applyBorder="1" applyAlignment="1">
      <alignment horizontal="left"/>
    </xf>
    <xf numFmtId="165" fontId="57" fillId="37" borderId="18" xfId="42" applyNumberFormat="1" applyFont="1" applyFill="1" applyBorder="1" applyAlignment="1"/>
    <xf numFmtId="165" fontId="57" fillId="37" borderId="31" xfId="42" applyNumberFormat="1" applyFont="1" applyFill="1" applyBorder="1" applyAlignment="1">
      <alignment horizontal="left"/>
    </xf>
    <xf numFmtId="165" fontId="57" fillId="37" borderId="31" xfId="42" applyNumberFormat="1" applyFont="1" applyFill="1" applyBorder="1" applyAlignment="1">
      <alignment horizontal="right"/>
    </xf>
    <xf numFmtId="165" fontId="56" fillId="0" borderId="0" xfId="42" applyNumberFormat="1" applyFont="1" applyFill="1" applyBorder="1" applyAlignment="1">
      <alignment horizontal="right"/>
    </xf>
    <xf numFmtId="165" fontId="56" fillId="0" borderId="29" xfId="42" applyNumberFormat="1" applyFont="1" applyBorder="1" applyAlignment="1"/>
    <xf numFmtId="165" fontId="56" fillId="0" borderId="30" xfId="42" applyNumberFormat="1" applyFont="1" applyFill="1" applyBorder="1" applyAlignment="1">
      <alignment horizontal="left"/>
    </xf>
    <xf numFmtId="165" fontId="56" fillId="0" borderId="0" xfId="42" applyNumberFormat="1" applyFont="1" applyFill="1" applyBorder="1" applyAlignment="1">
      <alignment horizontal="left"/>
    </xf>
    <xf numFmtId="43" fontId="63" fillId="0" borderId="0" xfId="42" applyFont="1" applyBorder="1" applyAlignment="1">
      <alignment horizontal="left"/>
    </xf>
    <xf numFmtId="165" fontId="56" fillId="0" borderId="10" xfId="42" applyNumberFormat="1" applyFont="1" applyBorder="1" applyAlignment="1">
      <alignment vertical="center"/>
    </xf>
    <xf numFmtId="165" fontId="56" fillId="0" borderId="11" xfId="42" applyNumberFormat="1" applyFont="1" applyBorder="1" applyAlignment="1">
      <alignment horizontal="left" vertical="center"/>
    </xf>
    <xf numFmtId="165" fontId="56" fillId="0" borderId="20" xfId="42" applyNumberFormat="1" applyFont="1" applyFill="1" applyBorder="1" applyAlignment="1">
      <alignment horizontal="left" vertical="center"/>
    </xf>
    <xf numFmtId="165" fontId="56" fillId="0" borderId="0" xfId="42" applyNumberFormat="1" applyFont="1" applyFill="1" applyBorder="1" applyAlignment="1">
      <alignment horizontal="left" vertical="center"/>
    </xf>
    <xf numFmtId="0" fontId="56" fillId="33" borderId="22" xfId="0" applyFont="1" applyFill="1" applyBorder="1"/>
    <xf numFmtId="0" fontId="56" fillId="33" borderId="23" xfId="0" applyFont="1" applyFill="1" applyBorder="1"/>
    <xf numFmtId="43" fontId="64" fillId="0" borderId="0" xfId="42" applyFont="1" applyBorder="1" applyAlignment="1">
      <alignment horizontal="left" vertical="top"/>
    </xf>
    <xf numFmtId="0" fontId="55" fillId="0" borderId="0" xfId="0" applyFont="1" applyAlignment="1">
      <alignment horizontal="center"/>
    </xf>
    <xf numFmtId="166" fontId="51" fillId="36" borderId="25" xfId="0" applyNumberFormat="1" applyFont="1" applyFill="1" applyBorder="1" applyAlignment="1">
      <alignment horizontal="center" vertical="center"/>
    </xf>
    <xf numFmtId="0" fontId="51" fillId="36" borderId="25" xfId="0" applyFont="1" applyFill="1" applyBorder="1" applyAlignment="1">
      <alignment horizontal="center" vertical="center"/>
    </xf>
    <xf numFmtId="0" fontId="52" fillId="36" borderId="0" xfId="0" applyFont="1" applyFill="1" applyAlignment="1">
      <alignment vertical="center"/>
    </xf>
    <xf numFmtId="0" fontId="46" fillId="0" borderId="32" xfId="0" applyFont="1" applyBorder="1"/>
    <xf numFmtId="0" fontId="46" fillId="0" borderId="40" xfId="0" applyFont="1" applyBorder="1" applyAlignment="1">
      <alignment wrapText="1"/>
    </xf>
    <xf numFmtId="0" fontId="44" fillId="0" borderId="0" xfId="0" applyFont="1"/>
    <xf numFmtId="0" fontId="56" fillId="0" borderId="16" xfId="0" applyFont="1" applyBorder="1" applyAlignment="1">
      <alignment wrapText="1"/>
    </xf>
    <xf numFmtId="0" fontId="56" fillId="0" borderId="0" xfId="0" applyFont="1"/>
    <xf numFmtId="0" fontId="46" fillId="0" borderId="24" xfId="0" applyFont="1" applyBorder="1"/>
    <xf numFmtId="0" fontId="46" fillId="0" borderId="41" xfId="0" applyFont="1" applyBorder="1"/>
    <xf numFmtId="43" fontId="57" fillId="35" borderId="0" xfId="42" applyFont="1" applyFill="1" applyBorder="1"/>
    <xf numFmtId="43" fontId="57" fillId="35" borderId="13" xfId="42" applyFont="1" applyFill="1" applyBorder="1"/>
    <xf numFmtId="43" fontId="56" fillId="0" borderId="31" xfId="42" applyFont="1" applyFill="1" applyBorder="1" applyAlignment="1">
      <alignment horizontal="left"/>
    </xf>
    <xf numFmtId="1" fontId="55" fillId="0" borderId="0" xfId="0" applyNumberFormat="1" applyFont="1" applyAlignment="1">
      <alignment horizontal="center"/>
    </xf>
    <xf numFmtId="165" fontId="46" fillId="0" borderId="48" xfId="42" applyNumberFormat="1" applyFont="1" applyFill="1" applyBorder="1"/>
    <xf numFmtId="165" fontId="46" fillId="0" borderId="24" xfId="42" applyNumberFormat="1" applyFont="1" applyFill="1" applyBorder="1"/>
    <xf numFmtId="165" fontId="46" fillId="0" borderId="49" xfId="42" applyNumberFormat="1" applyFont="1" applyFill="1" applyBorder="1"/>
    <xf numFmtId="165" fontId="46" fillId="0" borderId="50" xfId="42" applyNumberFormat="1" applyFont="1" applyFill="1" applyBorder="1"/>
    <xf numFmtId="165" fontId="46" fillId="0" borderId="21" xfId="42" applyNumberFormat="1" applyFont="1" applyFill="1" applyBorder="1"/>
    <xf numFmtId="165" fontId="46" fillId="0" borderId="16" xfId="42" applyNumberFormat="1" applyFont="1" applyFill="1" applyBorder="1"/>
    <xf numFmtId="0" fontId="57" fillId="35" borderId="10" xfId="0" applyFont="1" applyFill="1" applyBorder="1" applyAlignment="1">
      <alignment horizontal="centerContinuous" vertical="center" wrapText="1"/>
    </xf>
    <xf numFmtId="43" fontId="57" fillId="35" borderId="35" xfId="42" applyFont="1" applyFill="1" applyBorder="1" applyAlignment="1"/>
    <xf numFmtId="43" fontId="57" fillId="35" borderId="46" xfId="42" applyFont="1" applyFill="1" applyBorder="1" applyAlignment="1"/>
    <xf numFmtId="168" fontId="56" fillId="0" borderId="31" xfId="42" applyNumberFormat="1" applyFont="1" applyFill="1" applyBorder="1" applyAlignment="1">
      <alignment horizontal="left"/>
    </xf>
    <xf numFmtId="168" fontId="64" fillId="0" borderId="0" xfId="42" applyNumberFormat="1" applyFont="1" applyFill="1" applyBorder="1" applyAlignment="1">
      <alignment horizontal="left" vertical="top"/>
    </xf>
    <xf numFmtId="168" fontId="64" fillId="33" borderId="0" xfId="42" applyNumberFormat="1" applyFont="1" applyFill="1" applyAlignment="1">
      <alignment horizontal="left" vertical="top"/>
    </xf>
    <xf numFmtId="168" fontId="64" fillId="0" borderId="0" xfId="42" applyNumberFormat="1" applyFont="1" applyBorder="1" applyAlignment="1">
      <alignment horizontal="left" vertical="top"/>
    </xf>
    <xf numFmtId="168" fontId="64" fillId="0" borderId="0" xfId="42" applyNumberFormat="1" applyFont="1" applyBorder="1" applyAlignment="1">
      <alignment horizontal="center" vertical="top"/>
    </xf>
    <xf numFmtId="168" fontId="62" fillId="0" borderId="0" xfId="42" applyNumberFormat="1" applyFont="1" applyFill="1" applyBorder="1" applyAlignment="1">
      <alignment horizontal="left" vertical="top"/>
    </xf>
    <xf numFmtId="168" fontId="56" fillId="33" borderId="0" xfId="42" applyNumberFormat="1" applyFont="1" applyFill="1" applyAlignment="1">
      <alignment horizontal="left" vertical="top"/>
    </xf>
    <xf numFmtId="168" fontId="56" fillId="0" borderId="0" xfId="42" applyNumberFormat="1" applyFont="1" applyBorder="1" applyAlignment="1">
      <alignment horizontal="left" vertical="top"/>
    </xf>
    <xf numFmtId="168" fontId="56" fillId="0" borderId="0" xfId="42" applyNumberFormat="1" applyFont="1" applyBorder="1" applyAlignment="1">
      <alignment horizontal="center" vertical="top"/>
    </xf>
    <xf numFmtId="43" fontId="57" fillId="35" borderId="51" xfId="42" applyFont="1" applyFill="1" applyBorder="1" applyAlignment="1">
      <alignment horizontal="centerContinuous" vertical="center" wrapText="1"/>
    </xf>
    <xf numFmtId="0" fontId="57" fillId="35" borderId="52" xfId="0" applyFont="1" applyFill="1" applyBorder="1" applyAlignment="1">
      <alignment horizontal="centerContinuous" vertical="center" wrapText="1"/>
    </xf>
    <xf numFmtId="43" fontId="58" fillId="35" borderId="53" xfId="42" applyFont="1" applyFill="1" applyBorder="1" applyAlignment="1">
      <alignment horizontal="center" vertical="center" wrapText="1"/>
    </xf>
    <xf numFmtId="165" fontId="46" fillId="0" borderId="54" xfId="42" applyNumberFormat="1" applyFont="1" applyFill="1" applyBorder="1"/>
    <xf numFmtId="165" fontId="46" fillId="0" borderId="55" xfId="42" applyNumberFormat="1" applyFont="1" applyFill="1" applyBorder="1"/>
    <xf numFmtId="43" fontId="57" fillId="39" borderId="11" xfId="42" applyFont="1" applyFill="1" applyBorder="1" applyAlignment="1">
      <alignment horizontal="center" vertical="center" wrapText="1"/>
    </xf>
    <xf numFmtId="43" fontId="57" fillId="35" borderId="56" xfId="42" applyFont="1" applyFill="1" applyBorder="1" applyAlignment="1">
      <alignment horizontal="centerContinuous" vertical="center" wrapText="1"/>
    </xf>
    <xf numFmtId="43" fontId="57" fillId="35" borderId="57" xfId="42" applyFont="1" applyFill="1" applyBorder="1" applyAlignment="1">
      <alignment horizontal="center" vertical="center" wrapText="1"/>
    </xf>
    <xf numFmtId="165" fontId="46" fillId="0" borderId="58" xfId="42" applyNumberFormat="1" applyFont="1" applyFill="1" applyBorder="1"/>
    <xf numFmtId="165" fontId="56" fillId="0" borderId="59" xfId="42" applyNumberFormat="1" applyFont="1" applyFill="1" applyBorder="1"/>
    <xf numFmtId="165" fontId="56" fillId="0" borderId="45" xfId="42" applyNumberFormat="1" applyFont="1" applyFill="1" applyBorder="1"/>
    <xf numFmtId="165" fontId="56" fillId="0" borderId="60" xfId="42" applyNumberFormat="1" applyFont="1" applyFill="1" applyBorder="1"/>
    <xf numFmtId="169" fontId="56" fillId="0" borderId="31" xfId="42" applyNumberFormat="1" applyFont="1" applyBorder="1" applyAlignment="1">
      <alignment horizontal="center"/>
    </xf>
    <xf numFmtId="169" fontId="56" fillId="0" borderId="31" xfId="42" applyNumberFormat="1" applyFont="1" applyFill="1" applyBorder="1" applyAlignment="1">
      <alignment horizontal="left"/>
    </xf>
    <xf numFmtId="165" fontId="46" fillId="0" borderId="61" xfId="42" applyNumberFormat="1" applyFont="1" applyFill="1" applyBorder="1"/>
    <xf numFmtId="165" fontId="56" fillId="0" borderId="18" xfId="42" applyNumberFormat="1" applyFont="1" applyFill="1" applyBorder="1"/>
    <xf numFmtId="165" fontId="46" fillId="0" borderId="62" xfId="42" applyNumberFormat="1" applyFont="1" applyFill="1" applyBorder="1"/>
    <xf numFmtId="165" fontId="46" fillId="0" borderId="17" xfId="42" applyNumberFormat="1" applyFont="1" applyFill="1" applyBorder="1"/>
    <xf numFmtId="43" fontId="57" fillId="35" borderId="51" xfId="42" applyFont="1" applyFill="1" applyBorder="1" applyAlignment="1">
      <alignment horizontal="center" vertical="center" wrapText="1"/>
    </xf>
    <xf numFmtId="43" fontId="57" fillId="35" borderId="32" xfId="42" applyFont="1" applyFill="1" applyBorder="1"/>
    <xf numFmtId="43" fontId="56" fillId="0" borderId="14" xfId="42" applyFont="1" applyFill="1" applyBorder="1" applyAlignment="1">
      <alignment horizontal="left"/>
    </xf>
    <xf numFmtId="43" fontId="56" fillId="0" borderId="12" xfId="42" applyFont="1" applyFill="1" applyBorder="1" applyAlignment="1">
      <alignment horizontal="left"/>
    </xf>
    <xf numFmtId="43" fontId="56" fillId="0" borderId="0" xfId="42" applyFont="1" applyFill="1" applyBorder="1" applyAlignment="1">
      <alignment horizontal="left"/>
    </xf>
    <xf numFmtId="43" fontId="64" fillId="0" borderId="0" xfId="42" applyFont="1" applyFill="1" applyBorder="1" applyAlignment="1">
      <alignment horizontal="left" vertical="top"/>
    </xf>
    <xf numFmtId="168" fontId="64" fillId="0" borderId="0" xfId="42" applyNumberFormat="1" applyFont="1" applyFill="1" applyAlignment="1">
      <alignment horizontal="left" vertical="top"/>
    </xf>
    <xf numFmtId="168" fontId="64" fillId="0" borderId="0" xfId="42" applyNumberFormat="1" applyFont="1" applyFill="1" applyBorder="1" applyAlignment="1">
      <alignment horizontal="center" vertical="top"/>
    </xf>
    <xf numFmtId="0" fontId="56" fillId="0" borderId="0" xfId="0" applyFont="1" applyAlignment="1">
      <alignment horizontal="left" vertical="top"/>
    </xf>
    <xf numFmtId="43" fontId="62" fillId="0" borderId="0" xfId="42" applyFont="1" applyFill="1" applyBorder="1" applyAlignment="1">
      <alignment horizontal="left" vertical="top"/>
    </xf>
    <xf numFmtId="43" fontId="56" fillId="0" borderId="13" xfId="42" applyFont="1" applyFill="1" applyBorder="1" applyAlignment="1">
      <alignment horizontal="centerContinuous" vertical="top"/>
    </xf>
    <xf numFmtId="43" fontId="56" fillId="0" borderId="12" xfId="42" applyFont="1" applyFill="1" applyBorder="1" applyAlignment="1">
      <alignment horizontal="left" vertical="top"/>
    </xf>
    <xf numFmtId="43" fontId="56" fillId="0" borderId="0" xfId="42" applyFont="1" applyFill="1" applyBorder="1" applyAlignment="1">
      <alignment horizontal="left" vertical="top"/>
    </xf>
    <xf numFmtId="0" fontId="56" fillId="0" borderId="13" xfId="0" applyFont="1" applyBorder="1" applyAlignment="1">
      <alignment horizontal="left" vertical="top"/>
    </xf>
    <xf numFmtId="168" fontId="56" fillId="0" borderId="0" xfId="0" applyNumberFormat="1" applyFont="1" applyAlignment="1">
      <alignment horizontal="left" vertical="top"/>
    </xf>
    <xf numFmtId="43" fontId="61" fillId="0" borderId="0" xfId="42" applyFont="1" applyFill="1" applyBorder="1" applyAlignment="1">
      <alignment horizontal="left" vertical="top"/>
    </xf>
    <xf numFmtId="43" fontId="56" fillId="0" borderId="0" xfId="42" applyFont="1" applyFill="1" applyAlignment="1">
      <alignment horizontal="left" vertical="top"/>
    </xf>
    <xf numFmtId="165" fontId="56" fillId="0" borderId="0" xfId="42" applyNumberFormat="1" applyFont="1" applyFill="1" applyBorder="1" applyAlignment="1">
      <alignment horizontal="left" vertical="top"/>
    </xf>
    <xf numFmtId="43" fontId="56" fillId="0" borderId="13" xfId="42" applyFont="1" applyFill="1" applyBorder="1" applyAlignment="1">
      <alignment horizontal="left" vertical="top"/>
    </xf>
    <xf numFmtId="0" fontId="64" fillId="0" borderId="0" xfId="45" applyFont="1" applyAlignment="1">
      <alignment horizontal="left" vertical="top"/>
    </xf>
    <xf numFmtId="165" fontId="56" fillId="0" borderId="0" xfId="0" applyNumberFormat="1" applyFont="1" applyAlignment="1">
      <alignment horizontal="left" vertical="top"/>
    </xf>
    <xf numFmtId="0" fontId="55" fillId="0" borderId="0" xfId="0" applyFont="1" applyAlignment="1">
      <alignment horizontal="right"/>
    </xf>
    <xf numFmtId="0" fontId="0" fillId="0" borderId="45" xfId="0" applyBorder="1"/>
    <xf numFmtId="0" fontId="18" fillId="0" borderId="45" xfId="0" applyFont="1" applyBorder="1"/>
    <xf numFmtId="165" fontId="56" fillId="33" borderId="0" xfId="0" applyNumberFormat="1" applyFont="1" applyFill="1" applyAlignment="1">
      <alignment horizontal="left" vertical="top"/>
    </xf>
    <xf numFmtId="0" fontId="50" fillId="0" borderId="25" xfId="0" applyFont="1" applyBorder="1" applyAlignment="1">
      <alignment vertical="center"/>
    </xf>
    <xf numFmtId="0" fontId="50" fillId="0" borderId="25" xfId="0" applyFont="1" applyBorder="1" applyAlignment="1">
      <alignment vertical="center" wrapText="1"/>
    </xf>
    <xf numFmtId="40" fontId="50" fillId="0" borderId="25" xfId="0" applyNumberFormat="1" applyFont="1" applyBorder="1" applyAlignment="1">
      <alignment vertical="center"/>
    </xf>
    <xf numFmtId="170" fontId="50" fillId="0" borderId="25" xfId="0" applyNumberFormat="1" applyFont="1" applyBorder="1" applyAlignment="1">
      <alignment vertical="center"/>
    </xf>
    <xf numFmtId="38" fontId="50" fillId="0" borderId="25" xfId="0" applyNumberFormat="1" applyFont="1" applyBorder="1" applyAlignment="1">
      <alignment vertical="center"/>
    </xf>
    <xf numFmtId="166" fontId="50" fillId="0" borderId="25" xfId="0" applyNumberFormat="1" applyFont="1" applyBorder="1" applyAlignment="1">
      <alignment horizontal="center" vertical="center"/>
    </xf>
    <xf numFmtId="38" fontId="50" fillId="0" borderId="25" xfId="0" applyNumberFormat="1" applyFont="1" applyBorder="1" applyAlignment="1">
      <alignment horizontal="center" vertical="center"/>
    </xf>
    <xf numFmtId="1" fontId="18" fillId="0" borderId="45" xfId="0" applyNumberFormat="1" applyFont="1" applyBorder="1"/>
    <xf numFmtId="1" fontId="0" fillId="40" borderId="45" xfId="0" applyNumberFormat="1" applyFill="1" applyBorder="1"/>
    <xf numFmtId="38" fontId="50" fillId="0" borderId="0" xfId="0" applyNumberFormat="1" applyFont="1" applyAlignment="1">
      <alignment vertical="center"/>
    </xf>
    <xf numFmtId="43" fontId="62" fillId="0" borderId="0" xfId="42" applyFont="1" applyFill="1" applyBorder="1" applyAlignment="1">
      <alignment horizontal="left" vertical="top"/>
    </xf>
    <xf numFmtId="43" fontId="57" fillId="35" borderId="35" xfId="42" applyFont="1" applyFill="1" applyBorder="1" applyAlignment="1">
      <alignment horizontal="center"/>
    </xf>
  </cellXfs>
  <cellStyles count="201">
    <cellStyle name="=D:\WINNT\SYSTEM32\COMMAND.COM" xfId="196" xr:uid="{C6D7D07F-C50D-40B4-B7F6-2A9E91AA6339}"/>
    <cellStyle name="20% - Accent1" xfId="19" builtinId="30" customBuiltin="1"/>
    <cellStyle name="20% - Accent1 2" xfId="91" xr:uid="{00000000-0005-0000-0000-000001000000}"/>
    <cellStyle name="20% - Accent1 2 2" xfId="150" xr:uid="{00000000-0005-0000-0000-000002000000}"/>
    <cellStyle name="20% - Accent1 2 3" xfId="119" xr:uid="{00000000-0005-0000-0000-000003000000}"/>
    <cellStyle name="20% - Accent2" xfId="23" builtinId="34" customBuiltin="1"/>
    <cellStyle name="20% - Accent2 2" xfId="75" xr:uid="{00000000-0005-0000-0000-000005000000}"/>
    <cellStyle name="20% - Accent2 2 2" xfId="142" xr:uid="{00000000-0005-0000-0000-000006000000}"/>
    <cellStyle name="20% - Accent2 2 3" xfId="121" xr:uid="{00000000-0005-0000-0000-000007000000}"/>
    <cellStyle name="20% - Accent3" xfId="27" builtinId="38" customBuiltin="1"/>
    <cellStyle name="20% - Accent3 2" xfId="86" xr:uid="{00000000-0005-0000-0000-000009000000}"/>
    <cellStyle name="20% - Accent3 2 2" xfId="147" xr:uid="{00000000-0005-0000-0000-00000A000000}"/>
    <cellStyle name="20% - Accent3 2 3" xfId="123" xr:uid="{00000000-0005-0000-0000-00000B000000}"/>
    <cellStyle name="20% - Accent4" xfId="31" builtinId="42" customBuiltin="1"/>
    <cellStyle name="20% - Accent4 2" xfId="93" xr:uid="{00000000-0005-0000-0000-00000D000000}"/>
    <cellStyle name="20% - Accent4 2 2" xfId="151" xr:uid="{00000000-0005-0000-0000-00000E000000}"/>
    <cellStyle name="20% - Accent4 2 3" xfId="125" xr:uid="{00000000-0005-0000-0000-00000F000000}"/>
    <cellStyle name="20% - Accent5" xfId="35" builtinId="46" customBuiltin="1"/>
    <cellStyle name="20% - Accent5 2" xfId="77" xr:uid="{00000000-0005-0000-0000-000011000000}"/>
    <cellStyle name="20% - Accent5 2 2" xfId="143" xr:uid="{00000000-0005-0000-0000-000012000000}"/>
    <cellStyle name="20% - Accent5 2 3" xfId="127" xr:uid="{00000000-0005-0000-0000-000013000000}"/>
    <cellStyle name="20% - Accent6" xfId="39" builtinId="50" customBuiltin="1"/>
    <cellStyle name="20% - Accent6 2" xfId="84" xr:uid="{00000000-0005-0000-0000-000015000000}"/>
    <cellStyle name="20% - Accent6 2 2" xfId="146" xr:uid="{00000000-0005-0000-0000-000016000000}"/>
    <cellStyle name="20% - Accent6 2 3" xfId="129" xr:uid="{00000000-0005-0000-0000-000017000000}"/>
    <cellStyle name="40% - Accent1" xfId="20" builtinId="31" customBuiltin="1"/>
    <cellStyle name="40% - Accent1 2" xfId="87" xr:uid="{00000000-0005-0000-0000-000019000000}"/>
    <cellStyle name="40% - Accent1 2 2" xfId="148" xr:uid="{00000000-0005-0000-0000-00001A000000}"/>
    <cellStyle name="40% - Accent1 2 3" xfId="120" xr:uid="{00000000-0005-0000-0000-00001B000000}"/>
    <cellStyle name="40% - Accent2" xfId="24" builtinId="35" customBuiltin="1"/>
    <cellStyle name="40% - Accent2 2" xfId="98" xr:uid="{00000000-0005-0000-0000-00001D000000}"/>
    <cellStyle name="40% - Accent2 2 2" xfId="153" xr:uid="{00000000-0005-0000-0000-00001E000000}"/>
    <cellStyle name="40% - Accent2 2 3" xfId="122" xr:uid="{00000000-0005-0000-0000-00001F000000}"/>
    <cellStyle name="40% - Accent3" xfId="28" builtinId="39" customBuiltin="1"/>
    <cellStyle name="40% - Accent3 2" xfId="82" xr:uid="{00000000-0005-0000-0000-000021000000}"/>
    <cellStyle name="40% - Accent3 2 2" xfId="145" xr:uid="{00000000-0005-0000-0000-000022000000}"/>
    <cellStyle name="40% - Accent3 2 3" xfId="124" xr:uid="{00000000-0005-0000-0000-000023000000}"/>
    <cellStyle name="40% - Accent4" xfId="32" builtinId="43" customBuiltin="1"/>
    <cellStyle name="40% - Accent4 2" xfId="89" xr:uid="{00000000-0005-0000-0000-000025000000}"/>
    <cellStyle name="40% - Accent4 2 2" xfId="149" xr:uid="{00000000-0005-0000-0000-000026000000}"/>
    <cellStyle name="40% - Accent4 2 3" xfId="126" xr:uid="{00000000-0005-0000-0000-000027000000}"/>
    <cellStyle name="40% - Accent5" xfId="36" builtinId="47" customBuiltin="1"/>
    <cellStyle name="40% - Accent5 2" xfId="96" xr:uid="{00000000-0005-0000-0000-000029000000}"/>
    <cellStyle name="40% - Accent5 2 2" xfId="152" xr:uid="{00000000-0005-0000-0000-00002A000000}"/>
    <cellStyle name="40% - Accent5 2 3" xfId="128" xr:uid="{00000000-0005-0000-0000-00002B000000}"/>
    <cellStyle name="40% - Accent6" xfId="40" builtinId="51" customBuiltin="1"/>
    <cellStyle name="40% - Accent6 2" xfId="80" xr:uid="{00000000-0005-0000-0000-00002D000000}"/>
    <cellStyle name="40% - Accent6 2 2" xfId="144" xr:uid="{00000000-0005-0000-0000-00002E000000}"/>
    <cellStyle name="40% - Accent6 2 3" xfId="130" xr:uid="{00000000-0005-0000-0000-00002F000000}"/>
    <cellStyle name="60% - Accent1" xfId="21" builtinId="32" customBuiltin="1"/>
    <cellStyle name="60% - Accent1 2" xfId="52" xr:uid="{00000000-0005-0000-0000-000031000000}"/>
    <cellStyle name="60% - Accent1 3" xfId="83" xr:uid="{00000000-0005-0000-0000-000032000000}"/>
    <cellStyle name="60% - Accent1 4" xfId="103" xr:uid="{00000000-0005-0000-0000-000033000000}"/>
    <cellStyle name="60% - Accent1 5" xfId="114" xr:uid="{00000000-0005-0000-0000-000034000000}"/>
    <cellStyle name="60% - Accent1 6" xfId="133" xr:uid="{00000000-0005-0000-0000-000035000000}"/>
    <cellStyle name="60% - Accent2" xfId="25" builtinId="36" customBuiltin="1"/>
    <cellStyle name="60% - Accent2 2" xfId="53" xr:uid="{00000000-0005-0000-0000-000037000000}"/>
    <cellStyle name="60% - Accent2 3" xfId="94" xr:uid="{00000000-0005-0000-0000-000038000000}"/>
    <cellStyle name="60% - Accent2 4" xfId="104" xr:uid="{00000000-0005-0000-0000-000039000000}"/>
    <cellStyle name="60% - Accent2 5" xfId="111" xr:uid="{00000000-0005-0000-0000-00003A000000}"/>
    <cellStyle name="60% - Accent2 6" xfId="134" xr:uid="{00000000-0005-0000-0000-00003B000000}"/>
    <cellStyle name="60% - Accent3" xfId="29" builtinId="40" customBuiltin="1"/>
    <cellStyle name="60% - Accent3 2" xfId="54" xr:uid="{00000000-0005-0000-0000-00003D000000}"/>
    <cellStyle name="60% - Accent3 3" xfId="78" xr:uid="{00000000-0005-0000-0000-00003E000000}"/>
    <cellStyle name="60% - Accent3 4" xfId="105" xr:uid="{00000000-0005-0000-0000-00003F000000}"/>
    <cellStyle name="60% - Accent3 5" xfId="110" xr:uid="{00000000-0005-0000-0000-000040000000}"/>
    <cellStyle name="60% - Accent3 6" xfId="135" xr:uid="{00000000-0005-0000-0000-000041000000}"/>
    <cellStyle name="60% - Accent4" xfId="33" builtinId="44" customBuiltin="1"/>
    <cellStyle name="60% - Accent4 2" xfId="55" xr:uid="{00000000-0005-0000-0000-000043000000}"/>
    <cellStyle name="60% - Accent4 3" xfId="85" xr:uid="{00000000-0005-0000-0000-000044000000}"/>
    <cellStyle name="60% - Accent4 4" xfId="106" xr:uid="{00000000-0005-0000-0000-000045000000}"/>
    <cellStyle name="60% - Accent4 5" xfId="112" xr:uid="{00000000-0005-0000-0000-000046000000}"/>
    <cellStyle name="60% - Accent4 6" xfId="136" xr:uid="{00000000-0005-0000-0000-000047000000}"/>
    <cellStyle name="60% - Accent5" xfId="37" builtinId="48" customBuiltin="1"/>
    <cellStyle name="60% - Accent5 2" xfId="56" xr:uid="{00000000-0005-0000-0000-000049000000}"/>
    <cellStyle name="60% - Accent5 3" xfId="92" xr:uid="{00000000-0005-0000-0000-00004A000000}"/>
    <cellStyle name="60% - Accent5 4" xfId="107" xr:uid="{00000000-0005-0000-0000-00004B000000}"/>
    <cellStyle name="60% - Accent5 5" xfId="115" xr:uid="{00000000-0005-0000-0000-00004C000000}"/>
    <cellStyle name="60% - Accent5 6" xfId="137" xr:uid="{00000000-0005-0000-0000-00004D000000}"/>
    <cellStyle name="60% - Accent6" xfId="41" builtinId="52" customBuiltin="1"/>
    <cellStyle name="60% - Accent6 2" xfId="57" xr:uid="{00000000-0005-0000-0000-00004F000000}"/>
    <cellStyle name="60% - Accent6 3" xfId="76" xr:uid="{00000000-0005-0000-0000-000050000000}"/>
    <cellStyle name="60% - Accent6 4" xfId="108" xr:uid="{00000000-0005-0000-0000-000051000000}"/>
    <cellStyle name="60% - Accent6 5" xfId="113" xr:uid="{00000000-0005-0000-0000-000052000000}"/>
    <cellStyle name="60% - Accent6 6" xfId="138" xr:uid="{00000000-0005-0000-0000-000053000000}"/>
    <cellStyle name="Accent1" xfId="18" builtinId="29" customBuiltin="1"/>
    <cellStyle name="Accent1 2" xfId="95" xr:uid="{00000000-0005-0000-0000-000055000000}"/>
    <cellStyle name="Accent2" xfId="22" builtinId="33" customBuiltin="1"/>
    <cellStyle name="Accent2 2" xfId="79" xr:uid="{00000000-0005-0000-0000-000057000000}"/>
    <cellStyle name="Accent3" xfId="26" builtinId="37" customBuiltin="1"/>
    <cellStyle name="Accent3 2" xfId="90" xr:uid="{00000000-0005-0000-0000-000059000000}"/>
    <cellStyle name="Accent4" xfId="30" builtinId="41" customBuiltin="1"/>
    <cellStyle name="Accent4 2" xfId="97" xr:uid="{00000000-0005-0000-0000-00005B000000}"/>
    <cellStyle name="Accent5" xfId="34" builtinId="45" customBuiltin="1"/>
    <cellStyle name="Accent5 2" xfId="81" xr:uid="{00000000-0005-0000-0000-00005D000000}"/>
    <cellStyle name="Accent6" xfId="38" builtinId="49" customBuiltin="1"/>
    <cellStyle name="Accent6 2" xfId="88" xr:uid="{00000000-0005-0000-0000-00005F000000}"/>
    <cellStyle name="Bad" xfId="7" builtinId="27" customBuiltin="1"/>
    <cellStyle name="Bad 2" xfId="70" xr:uid="{00000000-0005-0000-0000-000061000000}"/>
    <cellStyle name="Calculation" xfId="11" builtinId="22" customBuiltin="1"/>
    <cellStyle name="Calculation 2" xfId="61" xr:uid="{00000000-0005-0000-0000-000063000000}"/>
    <cellStyle name="Check Cell" xfId="13" builtinId="23" customBuiltin="1"/>
    <cellStyle name="Check Cell 2" xfId="64" xr:uid="{00000000-0005-0000-0000-000065000000}"/>
    <cellStyle name="Comma" xfId="42" builtinId="3"/>
    <cellStyle name="Comma 12 2" xfId="175" xr:uid="{A741DFB1-B79F-4DD1-A9CF-9E9969E5F0E1}"/>
    <cellStyle name="Comma 2" xfId="46" xr:uid="{00000000-0005-0000-0000-000067000000}"/>
    <cellStyle name="Comma 2 2" xfId="48" xr:uid="{00000000-0005-0000-0000-000068000000}"/>
    <cellStyle name="Comma 2 3" xfId="155" xr:uid="{23204AC6-2D63-420A-8CC7-EE433D9DEFFC}"/>
    <cellStyle name="Comma 2 4" xfId="177" xr:uid="{750F6700-EB48-4952-91C4-6FA517ABFBA2}"/>
    <cellStyle name="Comma 3" xfId="156" xr:uid="{78E41F92-18F4-4540-8601-F17F84AD78B5}"/>
    <cellStyle name="Comma 3 2" xfId="163" xr:uid="{FF0AA9B9-2536-4E2E-9E65-26F0308C048D}"/>
    <cellStyle name="Comma 3 3" xfId="182" xr:uid="{41973B23-39BD-4B12-9364-0BC4D5BF7F14}"/>
    <cellStyle name="Comma 4" xfId="154" xr:uid="{7268D4D2-64ED-40E5-99BA-E5E39934DECA}"/>
    <cellStyle name="Comma 4 2" xfId="193" xr:uid="{0141C5F4-A37B-4CE5-B5F4-2D56E24BD219}"/>
    <cellStyle name="Comma 5" xfId="159" xr:uid="{63406DF2-0F47-4679-833A-5B3C082CFD82}"/>
    <cellStyle name="Comma 6" xfId="170" xr:uid="{9F2CF83F-6871-463F-820A-91DCC029DB9E}"/>
    <cellStyle name="Explanatory Text" xfId="16" builtinId="53" customBuiltin="1"/>
    <cellStyle name="Explanatory Text 2" xfId="69" xr:uid="{00000000-0005-0000-0000-00006C000000}"/>
    <cellStyle name="Good" xfId="6" builtinId="26" customBuiltin="1"/>
    <cellStyle name="Good 2" xfId="66" xr:uid="{00000000-0005-0000-0000-00006E000000}"/>
    <cellStyle name="Heading 1" xfId="2" builtinId="16" customBuiltin="1"/>
    <cellStyle name="Heading 1 2" xfId="59" xr:uid="{00000000-0005-0000-0000-000070000000}"/>
    <cellStyle name="Heading 2" xfId="3" builtinId="17" customBuiltin="1"/>
    <cellStyle name="Heading 2 2" xfId="68" xr:uid="{00000000-0005-0000-0000-000072000000}"/>
    <cellStyle name="Heading 3" xfId="4" builtinId="18" customBuiltin="1"/>
    <cellStyle name="Heading 3 2" xfId="73" xr:uid="{00000000-0005-0000-0000-000074000000}"/>
    <cellStyle name="Heading 4" xfId="5" builtinId="19" customBuiltin="1"/>
    <cellStyle name="Heading 4 2" xfId="58" xr:uid="{00000000-0005-0000-0000-000076000000}"/>
    <cellStyle name="Input" xfId="9" builtinId="20" customBuiltin="1"/>
    <cellStyle name="Input 2" xfId="63" xr:uid="{00000000-0005-0000-0000-000078000000}"/>
    <cellStyle name="Linked Cell" xfId="12" builtinId="24" customBuiltin="1"/>
    <cellStyle name="Linked Cell 2" xfId="60" xr:uid="{00000000-0005-0000-0000-00007A000000}"/>
    <cellStyle name="Neutral" xfId="8" builtinId="28" customBuiltin="1"/>
    <cellStyle name="Neutral 2" xfId="51" xr:uid="{00000000-0005-0000-0000-00007C000000}"/>
    <cellStyle name="Neutral 3" xfId="67" xr:uid="{00000000-0005-0000-0000-00007D000000}"/>
    <cellStyle name="Neutral 4" xfId="102" xr:uid="{00000000-0005-0000-0000-00007E000000}"/>
    <cellStyle name="Neutral 5" xfId="99" xr:uid="{00000000-0005-0000-0000-00007F000000}"/>
    <cellStyle name="Neutral 6" xfId="132" xr:uid="{00000000-0005-0000-0000-000080000000}"/>
    <cellStyle name="Normal" xfId="0" builtinId="0"/>
    <cellStyle name="Normal 10" xfId="169" xr:uid="{CF21739A-916D-45DB-9741-56E00C69F9BA}"/>
    <cellStyle name="Normal 10 2" xfId="195" xr:uid="{43734210-FFBB-4670-9F60-835B6EB74AB2}"/>
    <cellStyle name="Normal 11" xfId="172" xr:uid="{5E3CBC4D-6038-4342-B792-3C19B29A80D8}"/>
    <cellStyle name="Normal 11 2" xfId="197" xr:uid="{DAA5BFAE-2D6D-4D5A-B04B-CFF396C02D06}"/>
    <cellStyle name="Normal 12" xfId="173" xr:uid="{7874F214-7D23-4886-916D-FCC19A65C641}"/>
    <cellStyle name="Normal 12 2" xfId="198" xr:uid="{76A487E1-5373-4E2B-AE29-7DFBF56DD593}"/>
    <cellStyle name="Normal 13" xfId="199" xr:uid="{6FBA9DEB-EBDF-4005-AF24-EF8AC2C2A155}"/>
    <cellStyle name="Normal 14" xfId="200" xr:uid="{A8FE75DF-1435-42B2-91A9-63D9D1153603}"/>
    <cellStyle name="Normal 2" xfId="43" xr:uid="{00000000-0005-0000-0000-000082000000}"/>
    <cellStyle name="Normal 2 2" xfId="47" xr:uid="{00000000-0005-0000-0000-000083000000}"/>
    <cellStyle name="Normal 2 2 2" xfId="140" xr:uid="{00000000-0005-0000-0000-000084000000}"/>
    <cellStyle name="Normal 2 2 2 2" xfId="179" xr:uid="{36FF4CCD-89D8-4CB6-BA23-F3EB048CF0AE}"/>
    <cellStyle name="Normal 2 2 3" xfId="118" xr:uid="{00000000-0005-0000-0000-000085000000}"/>
    <cellStyle name="Normal 2 2 4" xfId="162" xr:uid="{EA064E4F-14AD-4E06-9479-C133380CB0F3}"/>
    <cellStyle name="Normal 2 2 5" xfId="176" xr:uid="{FCCA7087-66B8-4166-B8B8-7030B7DC8700}"/>
    <cellStyle name="Normal 2 3" xfId="49" xr:uid="{00000000-0005-0000-0000-000086000000}"/>
    <cellStyle name="Normal 2 3 2" xfId="109" xr:uid="{00000000-0005-0000-0000-000087000000}"/>
    <cellStyle name="Normal 2 3 3" xfId="185" xr:uid="{C6669499-C7B9-46A0-94E2-3CB25A538A8C}"/>
    <cellStyle name="Normal 2 4" xfId="139" xr:uid="{00000000-0005-0000-0000-000088000000}"/>
    <cellStyle name="Normal 2 4 2" xfId="188" xr:uid="{AFAFA0C6-A533-4F35-9F7C-C6A45AD710F7}"/>
    <cellStyle name="Normal 2 5" xfId="116" xr:uid="{00000000-0005-0000-0000-000089000000}"/>
    <cellStyle name="Normal 2 6" xfId="161" xr:uid="{D5FE3933-5316-4248-8A6E-DCC7E555404C}"/>
    <cellStyle name="Normal 2 7" xfId="167" xr:uid="{63D2CFFE-CD24-43C7-9987-EB74DF497FC3}"/>
    <cellStyle name="Normal 25" xfId="184" xr:uid="{C9BA737E-253D-4D37-BD6F-A4F25BC607CB}"/>
    <cellStyle name="Normal 3" xfId="44" xr:uid="{00000000-0005-0000-0000-00008A000000}"/>
    <cellStyle name="Normal 4" xfId="72" xr:uid="{00000000-0005-0000-0000-00008B000000}"/>
    <cellStyle name="Normal 4 2" xfId="190" xr:uid="{1C8916CA-96EF-4ADA-A39C-E92AA5A1779B}"/>
    <cellStyle name="Normal 4 3" xfId="178" xr:uid="{7FAE0994-ED68-40E7-ACFA-B494AD5FE3EE}"/>
    <cellStyle name="Normal 5" xfId="157" xr:uid="{6D1AF730-761D-4B2A-8186-6FAE285EE996}"/>
    <cellStyle name="Normal 5 2" xfId="187" xr:uid="{963A082A-D427-41A6-860D-FF525CC6DA93}"/>
    <cellStyle name="Normal 5 4" xfId="181" xr:uid="{5A2B4B74-59F3-4C20-8E12-4A8EAEE3C6A1}"/>
    <cellStyle name="Normal 6" xfId="158" xr:uid="{FA7923CD-D381-4AF6-B29B-A33FEEDAED6D}"/>
    <cellStyle name="Normal 6 2" xfId="165" xr:uid="{70EDECF4-0B22-49CC-BECF-16E4DCD55DB1}"/>
    <cellStyle name="Normal 6 3" xfId="174" xr:uid="{90420A09-22D7-4EDC-9902-C804CA5F64AF}"/>
    <cellStyle name="Normal 7" xfId="160" xr:uid="{6FDE33DF-2AC0-4B0B-A937-B250E69A2A8D}"/>
    <cellStyle name="Normal 7 2" xfId="191" xr:uid="{A2B0EE15-F8C2-44EB-AE72-5B2AA3B79F30}"/>
    <cellStyle name="Normal 8" xfId="164" xr:uid="{B3BE41A9-FC79-450B-9552-77647F38D1B7}"/>
    <cellStyle name="Normal 8 2" xfId="192" xr:uid="{75CDFC3B-C3DC-4A9E-B9C3-48C8CD5695D7}"/>
    <cellStyle name="Normal 9" xfId="168" xr:uid="{57560128-123A-413B-957D-F6C24ADF1380}"/>
    <cellStyle name="Normal 9 2" xfId="186" xr:uid="{2D49BDF4-7FFA-46B8-8091-5A700A46D38E}"/>
    <cellStyle name="Normal_Dry Leaf Stock Reconcilaition" xfId="45" xr:uid="{00000000-0005-0000-0000-00008D000000}"/>
    <cellStyle name="Note" xfId="15" builtinId="10" customBuiltin="1"/>
    <cellStyle name="Note 2" xfId="71" xr:uid="{00000000-0005-0000-0000-00008F000000}"/>
    <cellStyle name="Note 2 2" xfId="141" xr:uid="{00000000-0005-0000-0000-000090000000}"/>
    <cellStyle name="Note 2 3" xfId="117" xr:uid="{00000000-0005-0000-0000-000091000000}"/>
    <cellStyle name="Output" xfId="10" builtinId="21" customBuiltin="1"/>
    <cellStyle name="Output 2" xfId="62" xr:uid="{00000000-0005-0000-0000-000093000000}"/>
    <cellStyle name="Per cent" xfId="171" builtinId="5"/>
    <cellStyle name="Percent 2" xfId="166" xr:uid="{8A6F2843-B22A-45EC-882A-299E1D4500F0}"/>
    <cellStyle name="Percent 2 2" xfId="194" xr:uid="{6207E03A-E4B1-4736-991F-C37147472BCE}"/>
    <cellStyle name="Percent 2 3" xfId="183" xr:uid="{5F2C857D-DFD7-4527-8B2D-4C5C2F426B17}"/>
    <cellStyle name="Percent 3" xfId="189" xr:uid="{73DE4DDC-4C3F-4703-B990-1AB65CA3D0ED}"/>
    <cellStyle name="Percent 5 4" xfId="180" xr:uid="{1EE11DDA-786C-4C01-999B-EDA11AA76847}"/>
    <cellStyle name="Title" xfId="1" builtinId="15" customBuiltin="1"/>
    <cellStyle name="Title 2" xfId="50" xr:uid="{00000000-0005-0000-0000-000095000000}"/>
    <cellStyle name="Title 3" xfId="101" xr:uid="{00000000-0005-0000-0000-000096000000}"/>
    <cellStyle name="Title 4" xfId="100" xr:uid="{00000000-0005-0000-0000-000097000000}"/>
    <cellStyle name="Title 5" xfId="131" xr:uid="{00000000-0005-0000-0000-000098000000}"/>
    <cellStyle name="Total" xfId="17" builtinId="25" customBuiltin="1"/>
    <cellStyle name="Total 2" xfId="65" xr:uid="{00000000-0005-0000-0000-00009A000000}"/>
    <cellStyle name="Warning Text" xfId="14" builtinId="11" customBuiltin="1"/>
    <cellStyle name="Warning Text 2" xfId="74" xr:uid="{00000000-0005-0000-0000-00009C000000}"/>
  </cellStyles>
  <dxfs count="12">
    <dxf>
      <fill>
        <patternFill patternType="solid">
          <fgColor theme="2" tint="0.59996337778862885"/>
          <bgColor theme="0" tint="-4.9989318521683403E-2"/>
        </patternFill>
      </fill>
    </dxf>
    <dxf>
      <fill>
        <patternFill patternType="solid">
          <fgColor theme="2" tint="0.79995117038483843"/>
          <bgColor theme="2"/>
        </patternFill>
      </fill>
    </dxf>
    <dxf>
      <border>
        <top style="thin">
          <color theme="6" tint="-0.499984740745262"/>
        </top>
      </border>
    </dxf>
    <dxf>
      <font>
        <color theme="2" tint="0.79995117038483843"/>
      </font>
      <fill>
        <patternFill>
          <bgColor theme="6" tint="-0.499984740745262"/>
        </patternFill>
      </fill>
      <border>
        <top style="thick">
          <color theme="0"/>
        </top>
      </border>
    </dxf>
    <dxf>
      <font>
        <b val="0"/>
        <i val="0"/>
        <color auto="1"/>
      </font>
      <fill>
        <patternFill patternType="none">
          <bgColor auto="1"/>
        </patternFill>
      </fill>
      <border diagonalUp="0" diagonalDown="0">
        <left/>
        <right/>
        <top/>
        <bottom style="thin">
          <color theme="6" tint="-0.499984740745262"/>
        </bottom>
        <vertical/>
        <horizontal/>
      </border>
    </dxf>
    <dxf>
      <fill>
        <patternFill patternType="solid">
          <fgColor rgb="FFEDEDED"/>
          <bgColor rgb="FFEDEDED"/>
        </patternFill>
      </fill>
    </dxf>
    <dxf>
      <fill>
        <patternFill patternType="solid">
          <fgColor rgb="FFEDEDED"/>
          <bgColor rgb="FFEDEDED"/>
        </patternFill>
      </fill>
    </dxf>
    <dxf>
      <font>
        <b/>
        <color rgb="FF7B7B7B"/>
      </font>
    </dxf>
    <dxf>
      <font>
        <b/>
        <color rgb="FF7B7B7B"/>
      </font>
    </dxf>
    <dxf>
      <font>
        <b/>
        <color rgb="FF7B7B7B"/>
      </font>
      <border>
        <top style="thin">
          <color rgb="FFA5A5A5"/>
        </top>
      </border>
    </dxf>
    <dxf>
      <font>
        <b/>
        <color rgb="FF7B7B7B"/>
      </font>
      <border>
        <bottom style="thin">
          <color rgb="FFA5A5A5"/>
        </bottom>
      </border>
    </dxf>
    <dxf>
      <font>
        <color rgb="FF7B7B7B"/>
      </font>
      <border>
        <top style="thin">
          <color rgb="FFA5A5A5"/>
        </top>
        <bottom style="thin">
          <color rgb="FFA5A5A5"/>
        </bottom>
      </border>
    </dxf>
  </dxfs>
  <tableStyles count="2" defaultTableStyle="TableStyleMedium2" defaultPivotStyle="PivotStyleLight16">
    <tableStyle name="TableStyleLight4 2" pivot="0" count="7" xr9:uid="{E2E4C9D5-C28E-4408-9C07-373879E2A0C4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  <tableStyle name="Address Book" pivot="0" count="5" xr9:uid="{0B40C6ED-6DD4-4B01-9144-878213B0C7AF}">
      <tableStyleElement type="wholeTable" dxfId="4"/>
      <tableStyleElement type="headerRow" dxfId="3"/>
      <tableStyleElement type="totalRow" dxfId="2"/>
      <tableStyleElement type="firstRowStripe" dxfId="1"/>
      <tableStyleElement type="secondRowStripe" dxfId="0"/>
    </tableStyle>
  </tableStyles>
  <colors>
    <mruColors>
      <color rgb="FF244062"/>
      <color rgb="FF31869B"/>
      <color rgb="FF53802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tkls01\Shared\Group\Leaf%20Planning\Workgroup%20Schedule%20BK.02.LT.01\Reports%20WG.21\SAP%20Reports\others\13-08%20to%2027-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t.sharepoint.com/Group/Leaf%20Planning/Workgroup%20Schedule%20BK.02.LT.01/Reports%20WG.21/Stocks%20Reports/2%20Weekly%20Reports/2008/1%20Weekly%20Dry%20Reports/Dry%20Stocks%20Week%2009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31.228.56\Shared\Group\FINANCE\RECONCILIATIONS%20FI0124\LEAF\2014\Dec\11_146401_M&amp;S_InTransit_Reconciliation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GROUP\KETKPRO\wms\FEB99_MATERIA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-08 to 27-09"/>
      <sheetName val="13-08 to 27-09 (2)"/>
      <sheetName val="Final Rp (2)"/>
      <sheetName val="Sheet1"/>
      <sheetName val="unit Price"/>
      <sheetName val="SAP"/>
      <sheetName val="13-08_to_27-09"/>
      <sheetName val="13-08_to_27-09_(2)"/>
      <sheetName val="Final_Rp_(2)"/>
      <sheetName val="unit_Price"/>
      <sheetName val="Jan LSL "/>
      <sheetName val="Truck loads"/>
      <sheetName val="Workings"/>
      <sheetName val="Clean stocks"/>
      <sheetName val="GLT Summary"/>
      <sheetName val="Summary stocks"/>
      <sheetName val="Pmd Orders"/>
      <sheetName val="GLT Total stocks"/>
      <sheetName val="2018  WK 12"/>
      <sheetName val="2018  "/>
      <sheetName val="2019"/>
      <sheetName val="2020"/>
      <sheetName val="GLT (Q1) 90 day "/>
      <sheetName val="Week 4"/>
      <sheetName val="Week 7"/>
      <sheetName val="Week 8"/>
      <sheetName val="Week 9"/>
      <sheetName val="Week 11"/>
      <sheetName val="Week 12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T K"/>
      <sheetName val="BAT C"/>
      <sheetName val="Alliance Packing"/>
      <sheetName val="Week 09"/>
      <sheetName val="SAP"/>
      <sheetName val="batk"/>
      <sheetName val="AO1 Rems"/>
      <sheetName val="GL"/>
      <sheetName val="CA s"/>
      <sheetName val="GL Sales"/>
      <sheetName val="ADJs"/>
      <sheetName val="Grade Transfer"/>
      <sheetName val="CA Refeeds"/>
      <sheetName val="CA Comps &amp; P"/>
      <sheetName val="Week 08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Fin"/>
      <sheetName val="Jan tran"/>
      <sheetName val="Jan 2012"/>
      <sheetName val="Feb TRAN"/>
      <sheetName val="Feb 2012"/>
      <sheetName val="Mar Tran"/>
      <sheetName val="Mar 2012"/>
      <sheetName val="April Tran"/>
      <sheetName val="April 2012"/>
      <sheetName val="Sheet1"/>
      <sheetName val="May Tran"/>
      <sheetName val="Workings"/>
      <sheetName val="May"/>
      <sheetName val="June"/>
      <sheetName val="July Tran"/>
      <sheetName val="July"/>
      <sheetName val="Aug Tran"/>
      <sheetName val="Receipts fom Processing"/>
      <sheetName val="Aug"/>
      <sheetName val="Print"/>
      <sheetName val="Sep Tran"/>
      <sheetName val="Sep"/>
      <sheetName val="Oct Tran"/>
      <sheetName val="Oct"/>
      <sheetName val="Nov Tran"/>
      <sheetName val="Nov"/>
      <sheetName val="Dec Tran"/>
      <sheetName val="Dec"/>
      <sheetName val="Dec F"/>
      <sheetName val="Jan"/>
      <sheetName val="Sheet2"/>
      <sheetName val="Feb"/>
      <sheetName val="Mar"/>
      <sheetName val="Jul Trans"/>
      <sheetName val="Jul 13"/>
      <sheetName val="Aug Trans"/>
      <sheetName val="Aug 13"/>
      <sheetName val="Sep Trans"/>
      <sheetName val="Sep 13"/>
      <sheetName val="Sep 13F"/>
      <sheetName val="Oct Trans"/>
      <sheetName val="Oct 13"/>
      <sheetName val="Oct 13 F"/>
      <sheetName val="Nov 13F"/>
      <sheetName val="Dec Trans"/>
      <sheetName val="Dec Trans (2)"/>
      <sheetName val="Dec 13"/>
      <sheetName val="Dec 13 F"/>
      <sheetName val="Jan 14"/>
      <sheetName val="Feb Trans14"/>
      <sheetName val="Feb 14"/>
      <sheetName val="Sheet3"/>
      <sheetName val="Mar 14"/>
      <sheetName val="Apr 14"/>
      <sheetName val="Sheet4"/>
      <sheetName val="May 14"/>
      <sheetName val="Jun 14 Trans"/>
      <sheetName val="Jun 14"/>
      <sheetName val="Jul 14 Trans"/>
      <sheetName val="Jul 14"/>
      <sheetName val="Aug Returns"/>
      <sheetName val="Aug 14 Trans"/>
      <sheetName val="SAP Download"/>
      <sheetName val="Aug 14"/>
      <sheetName val="SepReturns_1"/>
      <sheetName val="SepReturns_2"/>
      <sheetName val="Sep 14 Trans"/>
      <sheetName val="SepSAPDownload"/>
      <sheetName val="Sep 14"/>
      <sheetName val="OctReturns"/>
      <sheetName val="Oct 14 Trans"/>
      <sheetName val="OctSAPDownload"/>
      <sheetName val="Oct 14"/>
      <sheetName val="NovReturns"/>
      <sheetName val="Nov 14 Trans"/>
      <sheetName val="NovSAPDownload"/>
      <sheetName val="Nov 1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TC"/>
      <sheetName val="WEEK 1"/>
      <sheetName val="WEEK2"/>
      <sheetName val="week3"/>
      <sheetName val="WEEK4"/>
      <sheetName val="aPR WK2"/>
      <sheetName val="aPR WK3"/>
      <sheetName val="CONGO"/>
      <sheetName val="Sheet1"/>
      <sheetName val="monthly_Plan"/>
      <sheetName val="Share by market"/>
      <sheetName val="CAPEX"/>
      <sheetName val="Areas"/>
      <sheetName val="Field names"/>
      <sheetName val="Auswahllisten"/>
      <sheetName val="Tabelle3"/>
      <sheetName val="07balance sheet(Inpac Int.)"/>
      <sheetName val="Line manager list"/>
      <sheetName val="Configure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505DD-528D-44D0-8F42-EE8192EC1B28}">
  <sheetPr>
    <tabColor theme="9" tint="-0.249977111117893"/>
    <pageSetUpPr fitToPage="1"/>
  </sheetPr>
  <dimension ref="B1:AG595"/>
  <sheetViews>
    <sheetView tabSelected="1" zoomScale="25" zoomScaleNormal="25" workbookViewId="0">
      <selection activeCell="T450" sqref="T450"/>
    </sheetView>
  </sheetViews>
  <sheetFormatPr defaultColWidth="9.28515625" defaultRowHeight="51.6"/>
  <cols>
    <col min="1" max="1" width="9.28515625" style="13" customWidth="1"/>
    <col min="2" max="2" width="59.42578125" style="13" customWidth="1"/>
    <col min="3" max="3" width="45.28515625" style="13" customWidth="1"/>
    <col min="4" max="4" width="50.28515625" style="14" customWidth="1"/>
    <col min="5" max="6" width="47.140625" style="14" customWidth="1"/>
    <col min="7" max="7" width="58.42578125" style="15" customWidth="1"/>
    <col min="8" max="8" width="47.5703125" style="15" customWidth="1"/>
    <col min="9" max="9" width="53" style="15" customWidth="1"/>
    <col min="10" max="10" width="54.7109375" style="15" customWidth="1"/>
    <col min="11" max="11" width="53.5703125" style="15" customWidth="1"/>
    <col min="12" max="12" width="50.28515625" style="15" customWidth="1"/>
    <col min="13" max="13" width="54.7109375" style="15" customWidth="1"/>
    <col min="14" max="14" width="47.5703125" style="15" customWidth="1"/>
    <col min="15" max="15" width="50.28515625" style="15" customWidth="1"/>
    <col min="16" max="16" width="52.42578125" style="15" bestFit="1" customWidth="1"/>
    <col min="17" max="17" width="62.140625" style="15" bestFit="1" customWidth="1"/>
    <col min="18" max="18" width="44.7109375" style="15" bestFit="1" customWidth="1"/>
    <col min="19" max="19" width="42.140625" style="15" bestFit="1" customWidth="1"/>
    <col min="20" max="20" width="47.5703125" style="15" bestFit="1" customWidth="1"/>
    <col min="21" max="21" width="40.28515625" style="15" customWidth="1"/>
    <col min="22" max="22" width="45.140625" style="15" customWidth="1"/>
    <col min="23" max="23" width="49.28515625" style="15" customWidth="1"/>
    <col min="24" max="24" width="82.5703125" style="15" customWidth="1"/>
    <col min="25" max="25" width="47.28515625" style="15" customWidth="1"/>
    <col min="26" max="26" width="57.7109375" style="15" customWidth="1"/>
    <col min="27" max="27" width="43.7109375" style="15" customWidth="1"/>
    <col min="28" max="28" width="44.42578125" style="16" customWidth="1"/>
    <col min="29" max="29" width="42.7109375" style="16" bestFit="1" customWidth="1"/>
    <col min="30" max="30" width="66.7109375" style="15" bestFit="1" customWidth="1"/>
    <col min="31" max="31" width="66" style="15" customWidth="1"/>
    <col min="32" max="32" width="49.28515625" style="15" customWidth="1"/>
    <col min="33" max="33" width="115.28515625" style="105" customWidth="1"/>
    <col min="34" max="16384" width="9.28515625" style="13"/>
  </cols>
  <sheetData>
    <row r="1" spans="2:33" ht="52.15" thickBot="1">
      <c r="AG1" s="17"/>
    </row>
    <row r="2" spans="2:33" ht="257.25">
      <c r="B2" s="18" t="s">
        <v>0</v>
      </c>
      <c r="C2" s="19"/>
      <c r="D2" s="19"/>
      <c r="E2" s="20"/>
      <c r="F2" s="20"/>
      <c r="G2" s="146" t="s">
        <v>1</v>
      </c>
      <c r="H2" s="22"/>
      <c r="I2" s="23"/>
      <c r="J2" s="24" t="s">
        <v>2</v>
      </c>
      <c r="K2" s="24"/>
      <c r="L2" s="24"/>
      <c r="M2" s="128" t="s">
        <v>3</v>
      </c>
      <c r="N2" s="24"/>
      <c r="O2" s="141"/>
      <c r="P2" s="140" t="s">
        <v>4</v>
      </c>
      <c r="Q2" s="24"/>
      <c r="R2" s="24"/>
      <c r="S2" s="25" t="s">
        <v>5</v>
      </c>
      <c r="T2" s="26"/>
      <c r="U2" s="27"/>
      <c r="V2" s="21" t="s">
        <v>6</v>
      </c>
      <c r="W2" s="26"/>
      <c r="X2" s="27"/>
      <c r="Y2" s="21" t="s">
        <v>7</v>
      </c>
      <c r="Z2" s="26"/>
      <c r="AA2" s="27"/>
      <c r="AB2" s="28" t="s">
        <v>8</v>
      </c>
      <c r="AC2" s="29"/>
      <c r="AD2" s="30"/>
      <c r="AE2" s="31"/>
      <c r="AF2" s="32"/>
      <c r="AG2" s="33"/>
    </row>
    <row r="3" spans="2:33" s="46" customFormat="1" ht="155.44999999999999" thickBot="1">
      <c r="B3" s="34" t="s">
        <v>9</v>
      </c>
      <c r="C3" s="35" t="s">
        <v>10</v>
      </c>
      <c r="D3" s="36" t="s">
        <v>11</v>
      </c>
      <c r="E3" s="37" t="s">
        <v>12</v>
      </c>
      <c r="F3" s="145" t="s">
        <v>13</v>
      </c>
      <c r="G3" s="147" t="s">
        <v>14</v>
      </c>
      <c r="H3" s="38" t="s">
        <v>15</v>
      </c>
      <c r="I3" s="39" t="s">
        <v>16</v>
      </c>
      <c r="J3" s="158" t="s">
        <v>14</v>
      </c>
      <c r="K3" s="38" t="s">
        <v>15</v>
      </c>
      <c r="L3" s="39" t="s">
        <v>16</v>
      </c>
      <c r="M3" s="38" t="s">
        <v>14</v>
      </c>
      <c r="N3" s="38" t="s">
        <v>15</v>
      </c>
      <c r="O3" s="142" t="s">
        <v>16</v>
      </c>
      <c r="P3" s="38" t="s">
        <v>17</v>
      </c>
      <c r="Q3" s="38" t="s">
        <v>18</v>
      </c>
      <c r="R3" s="39" t="s">
        <v>19</v>
      </c>
      <c r="S3" s="40" t="s">
        <v>20</v>
      </c>
      <c r="T3" s="38" t="s">
        <v>21</v>
      </c>
      <c r="U3" s="39" t="s">
        <v>22</v>
      </c>
      <c r="V3" s="40" t="s">
        <v>23</v>
      </c>
      <c r="W3" s="41" t="s">
        <v>24</v>
      </c>
      <c r="X3" s="42" t="s">
        <v>25</v>
      </c>
      <c r="Y3" s="43" t="s">
        <v>26</v>
      </c>
      <c r="Z3" s="41" t="s">
        <v>27</v>
      </c>
      <c r="AA3" s="42" t="s">
        <v>28</v>
      </c>
      <c r="AB3" s="43" t="s">
        <v>29</v>
      </c>
      <c r="AC3" s="41" t="s">
        <v>30</v>
      </c>
      <c r="AD3" s="42" t="s">
        <v>31</v>
      </c>
      <c r="AE3" s="44" t="s">
        <v>32</v>
      </c>
      <c r="AF3" s="45" t="s">
        <v>33</v>
      </c>
      <c r="AG3" s="33" t="s">
        <v>34</v>
      </c>
    </row>
    <row r="4" spans="2:33" s="113" customFormat="1" ht="61.15">
      <c r="B4" s="116" t="s">
        <v>35</v>
      </c>
      <c r="C4" s="111" t="s">
        <v>36</v>
      </c>
      <c r="D4" s="11">
        <f>SUMIFS('XBS '!T:T,'XBS '!C:C,' General Stock Summary View  '!C4,'XBS '!L:L,' General Stock Summary View  '!B4)</f>
        <v>53.89</v>
      </c>
      <c r="E4" s="2">
        <f>SUMIFS('Blocked for Processing'!P:P,'Blocked for Processing'!I:I,' General Stock Summary View  '!B4,'Blocked for Processing'!C:C,' General Stock Summary View  '!C4)</f>
        <v>0</v>
      </c>
      <c r="F4" s="122">
        <f t="shared" ref="F4:F278" si="0">SUM(D4:E4)</f>
        <v>53.89</v>
      </c>
      <c r="G4" s="148">
        <f>SUMIFS('XBS '!T:T,'XBS '!H:H,' General Stock Summary View  '!$G$2,'XBS '!L:L,' General Stock Summary View  '!B4,'XBS '!C:C,' General Stock Summary View  '!C4)</f>
        <v>53.89</v>
      </c>
      <c r="H4" s="3">
        <f>SUMIFS('PowerApp_Physical count'!H:H,'PowerApp_Physical count'!B:B,' General Stock Summary View  '!$G$2,'PowerApp_Physical count'!C:C,' General Stock Summary View  '!C4,'PowerApp_Physical count'!A:A,' General Stock Summary View  '!B4)</f>
        <v>53.716666666666669</v>
      </c>
      <c r="I4" s="154">
        <f t="shared" ref="I4:I5" si="1">H4-G4</f>
        <v>-0.17333333333333201</v>
      </c>
      <c r="J4" s="11">
        <f>SUMIFS('XBS '!T:T,'XBS '!H:H,' General Stock Summary View  '!$J$2,'XBS '!L:L,' General Stock Summary View  '!B4,'XBS '!C:C,' General Stock Summary View  '!C4)</f>
        <v>0</v>
      </c>
      <c r="K4" s="156">
        <f>SUMIFS('PowerApp_Physical count'!H:H,'PowerApp_Physical count'!B:B,' General Stock Summary View  '!$J$2,'PowerApp_Physical count'!C:C,' General Stock Summary View  '!C4,'PowerApp_Physical count'!A:A,' General Stock Summary View  '!B4)</f>
        <v>0</v>
      </c>
      <c r="L4" s="125">
        <f>K4-J4</f>
        <v>0</v>
      </c>
      <c r="M4" s="123">
        <f t="shared" ref="M4:M278" si="2">J4+G4+E4</f>
        <v>53.89</v>
      </c>
      <c r="N4" s="124">
        <f t="shared" ref="N4:N278" si="3">K4+H4</f>
        <v>53.716666666666669</v>
      </c>
      <c r="O4" s="143">
        <f>N4-M4</f>
        <v>-0.17333333333333201</v>
      </c>
      <c r="P4" s="2">
        <f>SUMIFS('XBS '!T:T,'XBS '!H:H,' General Stock Summary View  '!$P$2,'XBS '!L:L,' General Stock Summary View  '!B4,'XBS '!C:C,' General Stock Summary View  '!C4)</f>
        <v>0</v>
      </c>
      <c r="Q4" s="3">
        <f>SUMIFS('PowerApp_Physical count'!H:H,'PowerApp_Physical count'!B:B,' General Stock Summary View  '!$P$2,'PowerApp_Physical count'!C:C,' General Stock Summary View  '!C4,'PowerApp_Physical count'!A:A,' General Stock Summary View  '!B4)</f>
        <v>0</v>
      </c>
      <c r="R4" s="4">
        <f>Q4-P4</f>
        <v>0</v>
      </c>
      <c r="S4" s="5">
        <f>SUMIFS('XBS '!T:T,'XBS '!L:L,' General Stock Summary View  '!B4,'XBS '!H:H,' General Stock Summary View  '!$S$2,'XBS '!C:C,' General Stock Summary View  '!C4)</f>
        <v>0</v>
      </c>
      <c r="T4" s="3">
        <f>SUMIFS('PowerApp_Physical count'!H:H,'PowerApp_Physical count'!B:B,' General Stock Summary View  '!$S$2,'PowerApp_Physical count'!C:C,' General Stock Summary View  '!C4,'PowerApp_Physical count'!A:A,' General Stock Summary View  '!B4)</f>
        <v>0</v>
      </c>
      <c r="U4" s="4">
        <f t="shared" ref="U4:U278" si="4">T4-S4</f>
        <v>0</v>
      </c>
      <c r="V4" s="2">
        <f>SUMIFS('XBS '!T:T,'XBS '!H:H,' General Stock Summary View  '!$V$2,'XBS '!B:B,' General Stock Summary View  '!C4,'XBS '!L:L,' General Stock Summary View  '!B4)</f>
        <v>0</v>
      </c>
      <c r="W4" s="3">
        <f>SUMIFS('PowerApp_Physical count'!H:H,'PowerApp_Physical count'!B:B,' General Stock Summary View  '!$V$2,'PowerApp_Physical count'!C:C,' General Stock Summary View  '!C4,'PowerApp_Physical count'!A:A,' General Stock Summary View  '!B4)</f>
        <v>0</v>
      </c>
      <c r="X4" s="4">
        <f t="shared" ref="X4" si="5">W4-V4</f>
        <v>0</v>
      </c>
      <c r="Y4" s="5">
        <f>SUMIFS('XBS '!T:T,'XBS '!H:H,' General Stock Summary View  '!$Y$2,'XBS '!B:B,' General Stock Summary View  '!C4,'XBS '!L:L,' General Stock Summary View  '!B4)</f>
        <v>0</v>
      </c>
      <c r="Z4" s="3">
        <f>SUMIFS('PowerApp_Physical count'!H:H,'PowerApp_Physical count'!B:B,' General Stock Summary View  '!$Y$2,'PowerApp_Physical count'!C:C,' General Stock Summary View  '!C4,'PowerApp_Physical count'!A:A,' General Stock Summary View  '!B4)</f>
        <v>0</v>
      </c>
      <c r="AA4" s="4">
        <f t="shared" ref="AA4" si="6">Z4-Y4</f>
        <v>0</v>
      </c>
      <c r="AB4" s="5">
        <f>SUMIFS('XBS '!T:T,'XBS '!H:H,' General Stock Summary View  '!$AB$2,'XBS '!B:B,' General Stock Summary View  '!C4,'XBS '!L:L,' General Stock Summary View  '!B4)</f>
        <v>0</v>
      </c>
      <c r="AC4" s="3">
        <f>SUMIFS('PowerApp_Physical count'!H:H,'PowerApp_Physical count'!B:B,' General Stock Summary View  '!$AB$2,'PowerApp_Physical count'!C:C,' General Stock Summary View  '!C4,'PowerApp_Physical count'!A:A,' General Stock Summary View  '!B4)</f>
        <v>0</v>
      </c>
      <c r="AD4" s="6">
        <f t="shared" ref="AD4" si="7">AC4-AB4</f>
        <v>0</v>
      </c>
      <c r="AE4" s="7">
        <f t="shared" ref="AE4:AE278" si="8">SUM(H4,Q4,T4,W4,Z4,AC4+K4)</f>
        <v>53.716666666666669</v>
      </c>
      <c r="AF4" s="8">
        <f t="shared" ref="AF4:AF278" si="9">AE4-F4</f>
        <v>-0.17333333333333201</v>
      </c>
      <c r="AG4" s="112"/>
    </row>
    <row r="5" spans="2:33" s="113" customFormat="1" ht="61.15">
      <c r="B5" s="117" t="s">
        <v>37</v>
      </c>
      <c r="C5" s="111" t="s">
        <v>36</v>
      </c>
      <c r="D5" s="11">
        <f>SUMIFS('XBS '!T:T,'XBS '!C:C,' General Stock Summary View  '!C5,'XBS '!L:L,' General Stock Summary View  '!B5)</f>
        <v>18.665000000000003</v>
      </c>
      <c r="E5" s="2">
        <f>SUMIFS('Blocked for Processing'!P:P,'Blocked for Processing'!I:I,' General Stock Summary View  '!B5,'Blocked for Processing'!C:C,' General Stock Summary View  '!C5)</f>
        <v>0</v>
      </c>
      <c r="F5" s="122">
        <f t="shared" si="0"/>
        <v>18.665000000000003</v>
      </c>
      <c r="G5" s="148">
        <f>SUMIFS('XBS '!T:T,'XBS '!H:H,' General Stock Summary View  '!$G$2,'XBS '!L:L,' General Stock Summary View  '!B5,'XBS '!C:C,' General Stock Summary View  '!C5)</f>
        <v>18.665000000000003</v>
      </c>
      <c r="H5" s="3">
        <f>SUMIFS('PowerApp_Physical count'!H:H,'PowerApp_Physical count'!B:B,' General Stock Summary View  '!$G$2,'PowerApp_Physical count'!C:C,' General Stock Summary View  '!C5,'PowerApp_Physical count'!A:A,' General Stock Summary View  '!B5)</f>
        <v>18.683333333333334</v>
      </c>
      <c r="I5" s="154">
        <f t="shared" si="1"/>
        <v>1.833333333333087E-2</v>
      </c>
      <c r="J5" s="11">
        <f>SUMIFS('XBS '!T:T,'XBS '!H:H,' General Stock Summary View  '!$J$2,'XBS '!L:L,' General Stock Summary View  '!B5,'XBS '!C:C,' General Stock Summary View  '!C5)</f>
        <v>0</v>
      </c>
      <c r="K5" s="157">
        <f>SUMIFS('PowerApp_Physical count'!H:H,'PowerApp_Physical count'!B:B,' General Stock Summary View  '!$J$2,'PowerApp_Physical count'!C:C,' General Stock Summary View  '!C5,'PowerApp_Physical count'!A:A,' General Stock Summary View  '!B5)</f>
        <v>0</v>
      </c>
      <c r="L5" s="127">
        <f>K5-J5</f>
        <v>0</v>
      </c>
      <c r="M5" s="126">
        <f t="shared" si="2"/>
        <v>18.665000000000003</v>
      </c>
      <c r="N5" s="11">
        <f t="shared" si="3"/>
        <v>18.683333333333334</v>
      </c>
      <c r="O5" s="144">
        <f t="shared" ref="O5:O278" si="10">N5-M5</f>
        <v>1.833333333333087E-2</v>
      </c>
      <c r="P5" s="2">
        <f>SUMIFS('XBS '!T:T,'XBS '!H:H,' General Stock Summary View  '!$P$2,'XBS '!L:L,' General Stock Summary View  '!B5,'XBS '!C:C,' General Stock Summary View  '!C5)</f>
        <v>0</v>
      </c>
      <c r="Q5" s="3">
        <f>SUMIFS('PowerApp_Physical count'!H:H,'PowerApp_Physical count'!B:B,' General Stock Summary View  '!$P$2,'PowerApp_Physical count'!C:C,' General Stock Summary View  '!C5,'PowerApp_Physical count'!A:A,' General Stock Summary View  '!B5)</f>
        <v>0</v>
      </c>
      <c r="R5" s="4">
        <f t="shared" ref="R5:R278" si="11">Q5-P5</f>
        <v>0</v>
      </c>
      <c r="S5" s="5">
        <f>SUMIFS('XBS '!T:T,'XBS '!L:L,' General Stock Summary View  '!B5,'XBS '!H:H,' General Stock Summary View  '!$S$2,'XBS '!C:C,' General Stock Summary View  '!C5)</f>
        <v>0</v>
      </c>
      <c r="T5" s="3">
        <f>SUMIFS('PowerApp_Physical count'!H:H,'PowerApp_Physical count'!B:B,' General Stock Summary View  '!$S$2,'PowerApp_Physical count'!C:C,' General Stock Summary View  '!C5,'PowerApp_Physical count'!A:A,' General Stock Summary View  '!B5)</f>
        <v>0</v>
      </c>
      <c r="U5" s="4">
        <f t="shared" si="4"/>
        <v>0</v>
      </c>
      <c r="V5" s="2">
        <f>SUMIFS('XBS '!T:T,'XBS '!H:H,' General Stock Summary View  '!$V$2,'XBS '!B:B,' General Stock Summary View  '!C5,'XBS '!L:L,' General Stock Summary View  '!B5)</f>
        <v>0</v>
      </c>
      <c r="W5" s="3">
        <f>SUMIFS('PowerApp_Physical count'!H:H,'PowerApp_Physical count'!B:B,' General Stock Summary View  '!$V$2,'PowerApp_Physical count'!C:C,' General Stock Summary View  '!C5,'PowerApp_Physical count'!A:A,' General Stock Summary View  '!B5)</f>
        <v>0</v>
      </c>
      <c r="X5" s="4">
        <f t="shared" ref="X5:X278" si="12">W5-V5</f>
        <v>0</v>
      </c>
      <c r="Y5" s="5">
        <f>SUMIFS('XBS '!T:T,'XBS '!H:H,' General Stock Summary View  '!$Y$2,'XBS '!B:B,' General Stock Summary View  '!C5,'XBS '!L:L,' General Stock Summary View  '!B5)</f>
        <v>0</v>
      </c>
      <c r="Z5" s="3">
        <f>SUMIFS('PowerApp_Physical count'!H:H,'PowerApp_Physical count'!B:B,' General Stock Summary View  '!$Y$2,'PowerApp_Physical count'!C:C,' General Stock Summary View  '!C5,'PowerApp_Physical count'!A:A,' General Stock Summary View  '!B5)</f>
        <v>0</v>
      </c>
      <c r="AA5" s="4">
        <f t="shared" ref="AA5:AA278" si="13">Z5-Y5</f>
        <v>0</v>
      </c>
      <c r="AB5" s="5">
        <f>SUMIFS('XBS '!T:T,'XBS '!H:H,' General Stock Summary View  '!$AB$2,'XBS '!B:B,' General Stock Summary View  '!C5,'XBS '!L:L,' General Stock Summary View  '!B5)</f>
        <v>0</v>
      </c>
      <c r="AC5" s="3">
        <f>SUMIFS('PowerApp_Physical count'!H:H,'PowerApp_Physical count'!B:B,' General Stock Summary View  '!$AB$2,'PowerApp_Physical count'!C:C,' General Stock Summary View  '!C5,'PowerApp_Physical count'!A:A,' General Stock Summary View  '!B5)</f>
        <v>0</v>
      </c>
      <c r="AD5" s="6">
        <f t="shared" ref="AD5:AD278" si="14">AC5-AB5</f>
        <v>0</v>
      </c>
      <c r="AE5" s="7">
        <f t="shared" si="8"/>
        <v>18.683333333333334</v>
      </c>
      <c r="AF5" s="8">
        <f t="shared" si="9"/>
        <v>1.833333333333087E-2</v>
      </c>
      <c r="AG5" s="112"/>
    </row>
    <row r="6" spans="2:33" s="113" customFormat="1" ht="61.15">
      <c r="B6" s="117" t="s">
        <v>38</v>
      </c>
      <c r="C6" s="111" t="s">
        <v>36</v>
      </c>
      <c r="D6" s="11">
        <f>SUMIFS('XBS '!T:T,'XBS '!C:C,' General Stock Summary View  '!C6,'XBS '!L:L,' General Stock Summary View  '!B6)</f>
        <v>12.038333333333332</v>
      </c>
      <c r="E6" s="2">
        <f>SUMIFS('Blocked for Processing'!P:P,'Blocked for Processing'!I:I,' General Stock Summary View  '!B6,'Blocked for Processing'!C:C,' General Stock Summary View  '!C6)</f>
        <v>0</v>
      </c>
      <c r="F6" s="122">
        <f t="shared" si="0"/>
        <v>12.038333333333332</v>
      </c>
      <c r="G6" s="148">
        <f>SUMIFS('XBS '!T:T,'XBS '!H:H,' General Stock Summary View  '!$G$2,'XBS '!L:L,' General Stock Summary View  '!B6,'XBS '!C:C,' General Stock Summary View  '!C6)</f>
        <v>12.038333333333332</v>
      </c>
      <c r="H6" s="3">
        <f>SUMIFS('PowerApp_Physical count'!H:H,'PowerApp_Physical count'!B:B,' General Stock Summary View  '!$G$2,'PowerApp_Physical count'!C:C,' General Stock Summary View  '!C6,'PowerApp_Physical count'!A:A,' General Stock Summary View  '!B6)</f>
        <v>12.116666666666667</v>
      </c>
      <c r="I6" s="154">
        <f>H6-G6</f>
        <v>7.833333333333492E-2</v>
      </c>
      <c r="J6" s="11">
        <f>SUMIFS('XBS '!T:T,'XBS '!H:H,' General Stock Summary View  '!$J$2,'XBS '!L:L,' General Stock Summary View  '!B6,'XBS '!C:C,' General Stock Summary View  '!C6)</f>
        <v>0</v>
      </c>
      <c r="K6" s="157">
        <f>SUMIFS('PowerApp_Physical count'!H:H,'PowerApp_Physical count'!B:B,' General Stock Summary View  '!$J$2,'PowerApp_Physical count'!C:C,' General Stock Summary View  '!C6,'PowerApp_Physical count'!A:A,' General Stock Summary View  '!B6)</f>
        <v>0</v>
      </c>
      <c r="L6" s="127">
        <f t="shared" ref="L6:L278" si="15">K6-J6</f>
        <v>0</v>
      </c>
      <c r="M6" s="126">
        <f t="shared" si="2"/>
        <v>12.038333333333332</v>
      </c>
      <c r="N6" s="11">
        <f t="shared" si="3"/>
        <v>12.116666666666667</v>
      </c>
      <c r="O6" s="144">
        <f t="shared" si="10"/>
        <v>7.833333333333492E-2</v>
      </c>
      <c r="P6" s="2">
        <f>SUMIFS('XBS '!T:T,'XBS '!H:H,' General Stock Summary View  '!$P$2,'XBS '!L:L,' General Stock Summary View  '!B6,'XBS '!C:C,' General Stock Summary View  '!C6)</f>
        <v>0</v>
      </c>
      <c r="Q6" s="3">
        <f>SUMIFS('PowerApp_Physical count'!H:H,'PowerApp_Physical count'!B:B,' General Stock Summary View  '!$P$2,'PowerApp_Physical count'!C:C,' General Stock Summary View  '!C6,'PowerApp_Physical count'!A:A,' General Stock Summary View  '!B6)</f>
        <v>0</v>
      </c>
      <c r="R6" s="4">
        <f t="shared" si="11"/>
        <v>0</v>
      </c>
      <c r="S6" s="5">
        <f>SUMIFS('XBS '!T:T,'XBS '!L:L,' General Stock Summary View  '!B6,'XBS '!H:H,' General Stock Summary View  '!$S$2,'XBS '!C:C,' General Stock Summary View  '!C6)</f>
        <v>0</v>
      </c>
      <c r="T6" s="3">
        <f>SUMIFS('PowerApp_Physical count'!H:H,'PowerApp_Physical count'!B:B,' General Stock Summary View  '!$S$2,'PowerApp_Physical count'!C:C,' General Stock Summary View  '!C6,'PowerApp_Physical count'!A:A,' General Stock Summary View  '!B6)</f>
        <v>0</v>
      </c>
      <c r="U6" s="4">
        <f t="shared" si="4"/>
        <v>0</v>
      </c>
      <c r="V6" s="2">
        <f>SUMIFS('XBS '!T:T,'XBS '!H:H,' General Stock Summary View  '!$V$2,'XBS '!B:B,' General Stock Summary View  '!C6,'XBS '!L:L,' General Stock Summary View  '!B6)</f>
        <v>0</v>
      </c>
      <c r="W6" s="3">
        <f>SUMIFS('PowerApp_Physical count'!H:H,'PowerApp_Physical count'!B:B,' General Stock Summary View  '!$V$2,'PowerApp_Physical count'!C:C,' General Stock Summary View  '!C6,'PowerApp_Physical count'!A:A,' General Stock Summary View  '!B6)</f>
        <v>0</v>
      </c>
      <c r="X6" s="4">
        <f t="shared" si="12"/>
        <v>0</v>
      </c>
      <c r="Y6" s="5">
        <f>SUMIFS('XBS '!T:T,'XBS '!H:H,' General Stock Summary View  '!$Y$2,'XBS '!B:B,' General Stock Summary View  '!C6,'XBS '!L:L,' General Stock Summary View  '!B6)</f>
        <v>0</v>
      </c>
      <c r="Z6" s="3">
        <f>SUMIFS('PowerApp_Physical count'!H:H,'PowerApp_Physical count'!B:B,' General Stock Summary View  '!$Y$2,'PowerApp_Physical count'!C:C,' General Stock Summary View  '!C6,'PowerApp_Physical count'!A:A,' General Stock Summary View  '!B6)</f>
        <v>0</v>
      </c>
      <c r="AA6" s="4">
        <f t="shared" si="13"/>
        <v>0</v>
      </c>
      <c r="AB6" s="5">
        <f>SUMIFS('XBS '!T:T,'XBS '!H:H,' General Stock Summary View  '!$AB$2,'XBS '!B:B,' General Stock Summary View  '!C6,'XBS '!L:L,' General Stock Summary View  '!B6)</f>
        <v>0</v>
      </c>
      <c r="AC6" s="3">
        <f>SUMIFS('PowerApp_Physical count'!H:H,'PowerApp_Physical count'!B:B,' General Stock Summary View  '!$AB$2,'PowerApp_Physical count'!C:C,' General Stock Summary View  '!C6,'PowerApp_Physical count'!A:A,' General Stock Summary View  '!B6)</f>
        <v>0</v>
      </c>
      <c r="AD6" s="6">
        <f t="shared" si="14"/>
        <v>0</v>
      </c>
      <c r="AE6" s="7">
        <f t="shared" si="8"/>
        <v>12.116666666666667</v>
      </c>
      <c r="AF6" s="8">
        <f t="shared" si="9"/>
        <v>7.833333333333492E-2</v>
      </c>
      <c r="AG6" s="112"/>
    </row>
    <row r="7" spans="2:33" s="113" customFormat="1" ht="61.15">
      <c r="B7" s="117" t="s">
        <v>39</v>
      </c>
      <c r="C7" s="111" t="s">
        <v>36</v>
      </c>
      <c r="D7" s="11">
        <f>SUMIFS('XBS '!T:T,'XBS '!C:C,' General Stock Summary View  '!C7,'XBS '!L:L,' General Stock Summary View  '!B7)</f>
        <v>13.656666666666666</v>
      </c>
      <c r="E7" s="2">
        <f>SUMIFS('Blocked for Processing'!P:P,'Blocked for Processing'!I:I,' General Stock Summary View  '!B7,'Blocked for Processing'!C:C,' General Stock Summary View  '!C7)</f>
        <v>0</v>
      </c>
      <c r="F7" s="122">
        <f t="shared" si="0"/>
        <v>13.656666666666666</v>
      </c>
      <c r="G7" s="148">
        <f>SUMIFS('XBS '!T:T,'XBS '!H:H,' General Stock Summary View  '!$G$2,'XBS '!L:L,' General Stock Summary View  '!B7,'XBS '!C:C,' General Stock Summary View  '!C7)</f>
        <v>13.656666666666666</v>
      </c>
      <c r="H7" s="3">
        <f>SUMIFS('PowerApp_Physical count'!H:H,'PowerApp_Physical count'!B:B,' General Stock Summary View  '!$G$2,'PowerApp_Physical count'!C:C,' General Stock Summary View  '!C7,'PowerApp_Physical count'!A:A,' General Stock Summary View  '!B7)</f>
        <v>13.716666666666667</v>
      </c>
      <c r="I7" s="154">
        <f t="shared" ref="I7:I168" si="16">H7-G7</f>
        <v>6.0000000000000497E-2</v>
      </c>
      <c r="J7" s="11">
        <f>SUMIFS('XBS '!T:T,'XBS '!H:H,' General Stock Summary View  '!$J$2,'XBS '!L:L,' General Stock Summary View  '!B7,'XBS '!C:C,' General Stock Summary View  '!C7)</f>
        <v>0</v>
      </c>
      <c r="K7" s="157">
        <f>SUMIFS('PowerApp_Physical count'!H:H,'PowerApp_Physical count'!B:B,' General Stock Summary View  '!$J$2,'PowerApp_Physical count'!C:C,' General Stock Summary View  '!C7,'PowerApp_Physical count'!A:A,' General Stock Summary View  '!B7)</f>
        <v>0</v>
      </c>
      <c r="L7" s="127">
        <f t="shared" si="15"/>
        <v>0</v>
      </c>
      <c r="M7" s="126">
        <f t="shared" si="2"/>
        <v>13.656666666666666</v>
      </c>
      <c r="N7" s="11">
        <f t="shared" si="3"/>
        <v>13.716666666666667</v>
      </c>
      <c r="O7" s="144">
        <f t="shared" si="10"/>
        <v>6.0000000000000497E-2</v>
      </c>
      <c r="P7" s="2">
        <f>SUMIFS('XBS '!T:T,'XBS '!H:H,' General Stock Summary View  '!$P$2,'XBS '!L:L,' General Stock Summary View  '!B7,'XBS '!C:C,' General Stock Summary View  '!C7)</f>
        <v>0</v>
      </c>
      <c r="Q7" s="3">
        <f>SUMIFS('PowerApp_Physical count'!H:H,'PowerApp_Physical count'!B:B,' General Stock Summary View  '!$P$2,'PowerApp_Physical count'!C:C,' General Stock Summary View  '!C7,'PowerApp_Physical count'!A:A,' General Stock Summary View  '!B7)</f>
        <v>0</v>
      </c>
      <c r="R7" s="4">
        <f t="shared" si="11"/>
        <v>0</v>
      </c>
      <c r="S7" s="5">
        <f>SUMIFS('XBS '!T:T,'XBS '!L:L,' General Stock Summary View  '!B7,'XBS '!H:H,' General Stock Summary View  '!$S$2,'XBS '!C:C,' General Stock Summary View  '!C7)</f>
        <v>0</v>
      </c>
      <c r="T7" s="3">
        <f>SUMIFS('PowerApp_Physical count'!H:H,'PowerApp_Physical count'!B:B,' General Stock Summary View  '!$S$2,'PowerApp_Physical count'!C:C,' General Stock Summary View  '!C7,'PowerApp_Physical count'!A:A,' General Stock Summary View  '!B7)</f>
        <v>0</v>
      </c>
      <c r="U7" s="4">
        <f t="shared" si="4"/>
        <v>0</v>
      </c>
      <c r="V7" s="2">
        <f>SUMIFS('XBS '!T:T,'XBS '!H:H,' General Stock Summary View  '!$V$2,'XBS '!B:B,' General Stock Summary View  '!C7,'XBS '!L:L,' General Stock Summary View  '!B7)</f>
        <v>0</v>
      </c>
      <c r="W7" s="3">
        <f>SUMIFS('PowerApp_Physical count'!H:H,'PowerApp_Physical count'!B:B,' General Stock Summary View  '!$V$2,'PowerApp_Physical count'!C:C,' General Stock Summary View  '!C7,'PowerApp_Physical count'!A:A,' General Stock Summary View  '!B7)</f>
        <v>0</v>
      </c>
      <c r="X7" s="4">
        <f t="shared" si="12"/>
        <v>0</v>
      </c>
      <c r="Y7" s="5">
        <f>SUMIFS('XBS '!T:T,'XBS '!H:H,' General Stock Summary View  '!$Y$2,'XBS '!B:B,' General Stock Summary View  '!C7,'XBS '!L:L,' General Stock Summary View  '!B7)</f>
        <v>0</v>
      </c>
      <c r="Z7" s="3">
        <f>SUMIFS('PowerApp_Physical count'!H:H,'PowerApp_Physical count'!B:B,' General Stock Summary View  '!$Y$2,'PowerApp_Physical count'!C:C,' General Stock Summary View  '!C7,'PowerApp_Physical count'!A:A,' General Stock Summary View  '!B7)</f>
        <v>0</v>
      </c>
      <c r="AA7" s="4">
        <f t="shared" si="13"/>
        <v>0</v>
      </c>
      <c r="AB7" s="5">
        <f>SUMIFS('XBS '!T:T,'XBS '!H:H,' General Stock Summary View  '!$AB$2,'XBS '!B:B,' General Stock Summary View  '!C7,'XBS '!L:L,' General Stock Summary View  '!B7)</f>
        <v>0</v>
      </c>
      <c r="AC7" s="3">
        <f>SUMIFS('PowerApp_Physical count'!H:H,'PowerApp_Physical count'!B:B,' General Stock Summary View  '!$AB$2,'PowerApp_Physical count'!C:C,' General Stock Summary View  '!C7,'PowerApp_Physical count'!A:A,' General Stock Summary View  '!B7)</f>
        <v>0</v>
      </c>
      <c r="AD7" s="6">
        <f t="shared" si="14"/>
        <v>0</v>
      </c>
      <c r="AE7" s="7">
        <f t="shared" si="8"/>
        <v>13.716666666666667</v>
      </c>
      <c r="AF7" s="8">
        <f t="shared" si="9"/>
        <v>6.0000000000000497E-2</v>
      </c>
      <c r="AG7" s="112"/>
    </row>
    <row r="8" spans="2:33" s="113" customFormat="1" ht="61.15">
      <c r="B8" s="117" t="s">
        <v>40</v>
      </c>
      <c r="C8" s="111" t="s">
        <v>36</v>
      </c>
      <c r="D8" s="11">
        <f>SUMIFS('XBS '!T:T,'XBS '!C:C,' General Stock Summary View  '!C8,'XBS '!L:L,' General Stock Summary View  '!B8)</f>
        <v>1</v>
      </c>
      <c r="E8" s="2">
        <f>SUMIFS('Blocked for Processing'!P:P,'Blocked for Processing'!I:I,' General Stock Summary View  '!B8,'Blocked for Processing'!C:C,' General Stock Summary View  '!C8)</f>
        <v>0</v>
      </c>
      <c r="F8" s="122">
        <f t="shared" si="0"/>
        <v>1</v>
      </c>
      <c r="G8" s="148">
        <f>SUMIFS('XBS '!T:T,'XBS '!H:H,' General Stock Summary View  '!$G$2,'XBS '!L:L,' General Stock Summary View  '!B8,'XBS '!C:C,' General Stock Summary View  '!C8)</f>
        <v>0</v>
      </c>
      <c r="H8" s="3">
        <f>SUMIFS('PowerApp_Physical count'!H:H,'PowerApp_Physical count'!B:B,' General Stock Summary View  '!$G$2,'PowerApp_Physical count'!C:C,' General Stock Summary View  '!C8,'PowerApp_Physical count'!A:A,' General Stock Summary View  '!B8)</f>
        <v>0</v>
      </c>
      <c r="I8" s="154">
        <f t="shared" si="16"/>
        <v>0</v>
      </c>
      <c r="J8" s="11">
        <f>SUMIFS('XBS '!T:T,'XBS '!H:H,' General Stock Summary View  '!$J$2,'XBS '!L:L,' General Stock Summary View  '!B8,'XBS '!C:C,' General Stock Summary View  '!C8)</f>
        <v>0</v>
      </c>
      <c r="K8" s="157">
        <f>SUMIFS('PowerApp_Physical count'!H:H,'PowerApp_Physical count'!B:B,' General Stock Summary View  '!$J$2,'PowerApp_Physical count'!C:C,' General Stock Summary View  '!C8,'PowerApp_Physical count'!A:A,' General Stock Summary View  '!B8)</f>
        <v>0</v>
      </c>
      <c r="L8" s="127">
        <f t="shared" si="15"/>
        <v>0</v>
      </c>
      <c r="M8" s="126">
        <f t="shared" si="2"/>
        <v>0</v>
      </c>
      <c r="N8" s="11">
        <f t="shared" si="3"/>
        <v>0</v>
      </c>
      <c r="O8" s="144">
        <f t="shared" si="10"/>
        <v>0</v>
      </c>
      <c r="P8" s="2">
        <f>SUMIFS('XBS '!T:T,'XBS '!H:H,' General Stock Summary View  '!$P$2,'XBS '!L:L,' General Stock Summary View  '!B8,'XBS '!C:C,' General Stock Summary View  '!C8)</f>
        <v>1</v>
      </c>
      <c r="Q8" s="3">
        <f>SUMIFS('PowerApp_Physical count'!H:H,'PowerApp_Physical count'!B:B,' General Stock Summary View  '!$P$2,'PowerApp_Physical count'!C:C,' General Stock Summary View  '!C8,'PowerApp_Physical count'!A:A,' General Stock Summary View  '!B8)</f>
        <v>0</v>
      </c>
      <c r="R8" s="4">
        <f t="shared" si="11"/>
        <v>-1</v>
      </c>
      <c r="S8" s="5">
        <f>SUMIFS('XBS '!T:T,'XBS '!L:L,' General Stock Summary View  '!B8,'XBS '!H:H,' General Stock Summary View  '!$S$2,'XBS '!C:C,' General Stock Summary View  '!C8)</f>
        <v>0</v>
      </c>
      <c r="T8" s="3">
        <f>SUMIFS('PowerApp_Physical count'!H:H,'PowerApp_Physical count'!B:B,' General Stock Summary View  '!$S$2,'PowerApp_Physical count'!C:C,' General Stock Summary View  '!C8,'PowerApp_Physical count'!A:A,' General Stock Summary View  '!B8)</f>
        <v>0</v>
      </c>
      <c r="U8" s="4">
        <f t="shared" si="4"/>
        <v>0</v>
      </c>
      <c r="V8" s="2">
        <f>SUMIFS('XBS '!T:T,'XBS '!H:H,' General Stock Summary View  '!$V$2,'XBS '!B:B,' General Stock Summary View  '!C8,'XBS '!L:L,' General Stock Summary View  '!B8)</f>
        <v>0</v>
      </c>
      <c r="W8" s="3">
        <f>SUMIFS('PowerApp_Physical count'!H:H,'PowerApp_Physical count'!B:B,' General Stock Summary View  '!$V$2,'PowerApp_Physical count'!C:C,' General Stock Summary View  '!C8,'PowerApp_Physical count'!A:A,' General Stock Summary View  '!B8)</f>
        <v>0</v>
      </c>
      <c r="X8" s="4">
        <f t="shared" si="12"/>
        <v>0</v>
      </c>
      <c r="Y8" s="5">
        <f>SUMIFS('XBS '!T:T,'XBS '!H:H,' General Stock Summary View  '!$Y$2,'XBS '!B:B,' General Stock Summary View  '!C8,'XBS '!L:L,' General Stock Summary View  '!B8)</f>
        <v>0</v>
      </c>
      <c r="Z8" s="3">
        <f>SUMIFS('PowerApp_Physical count'!H:H,'PowerApp_Physical count'!B:B,' General Stock Summary View  '!$Y$2,'PowerApp_Physical count'!C:C,' General Stock Summary View  '!C8,'PowerApp_Physical count'!A:A,' General Stock Summary View  '!B8)</f>
        <v>0</v>
      </c>
      <c r="AA8" s="4">
        <f t="shared" si="13"/>
        <v>0</v>
      </c>
      <c r="AB8" s="5">
        <f>SUMIFS('XBS '!T:T,'XBS '!H:H,' General Stock Summary View  '!$AB$2,'XBS '!B:B,' General Stock Summary View  '!C8,'XBS '!L:L,' General Stock Summary View  '!B8)</f>
        <v>0</v>
      </c>
      <c r="AC8" s="3">
        <f>SUMIFS('PowerApp_Physical count'!H:H,'PowerApp_Physical count'!B:B,' General Stock Summary View  '!$AB$2,'PowerApp_Physical count'!C:C,' General Stock Summary View  '!C8,'PowerApp_Physical count'!A:A,' General Stock Summary View  '!B8)</f>
        <v>0</v>
      </c>
      <c r="AD8" s="6">
        <f t="shared" si="14"/>
        <v>0</v>
      </c>
      <c r="AE8" s="7">
        <f t="shared" si="8"/>
        <v>0</v>
      </c>
      <c r="AF8" s="8">
        <f t="shared" si="9"/>
        <v>-1</v>
      </c>
      <c r="AG8" s="112"/>
    </row>
    <row r="9" spans="2:33" s="113" customFormat="1" ht="61.15">
      <c r="B9" s="117" t="s">
        <v>41</v>
      </c>
      <c r="C9" s="111" t="s">
        <v>36</v>
      </c>
      <c r="D9" s="11">
        <f>SUMIFS('XBS '!T:T,'XBS '!C:C,' General Stock Summary View  '!C9,'XBS '!L:L,' General Stock Summary View  '!B9)</f>
        <v>3.4333333333333331</v>
      </c>
      <c r="E9" s="2">
        <f>SUMIFS('Blocked for Processing'!P:P,'Blocked for Processing'!I:I,' General Stock Summary View  '!B9,'Blocked for Processing'!C:C,' General Stock Summary View  '!C9)</f>
        <v>0</v>
      </c>
      <c r="F9" s="122">
        <f t="shared" si="0"/>
        <v>3.4333333333333331</v>
      </c>
      <c r="G9" s="148">
        <f>SUMIFS('XBS '!T:T,'XBS '!H:H,' General Stock Summary View  '!$G$2,'XBS '!L:L,' General Stock Summary View  '!B9,'XBS '!C:C,' General Stock Summary View  '!C9)</f>
        <v>0</v>
      </c>
      <c r="H9" s="3">
        <f>SUMIFS('PowerApp_Physical count'!H:H,'PowerApp_Physical count'!B:B,' General Stock Summary View  '!$G$2,'PowerApp_Physical count'!C:C,' General Stock Summary View  '!C9,'PowerApp_Physical count'!A:A,' General Stock Summary View  '!B9)</f>
        <v>0</v>
      </c>
      <c r="I9" s="154">
        <f t="shared" si="16"/>
        <v>0</v>
      </c>
      <c r="J9" s="11">
        <f>SUMIFS('XBS '!T:T,'XBS '!H:H,' General Stock Summary View  '!$J$2,'XBS '!L:L,' General Stock Summary View  '!B9,'XBS '!C:C,' General Stock Summary View  '!C9)</f>
        <v>0</v>
      </c>
      <c r="K9" s="157">
        <f>SUMIFS('PowerApp_Physical count'!H:H,'PowerApp_Physical count'!B:B,' General Stock Summary View  '!$J$2,'PowerApp_Physical count'!C:C,' General Stock Summary View  '!C9,'PowerApp_Physical count'!A:A,' General Stock Summary View  '!B9)</f>
        <v>0</v>
      </c>
      <c r="L9" s="127">
        <f t="shared" si="15"/>
        <v>0</v>
      </c>
      <c r="M9" s="126">
        <f t="shared" si="2"/>
        <v>0</v>
      </c>
      <c r="N9" s="11">
        <f t="shared" si="3"/>
        <v>0</v>
      </c>
      <c r="O9" s="144">
        <f t="shared" si="10"/>
        <v>0</v>
      </c>
      <c r="P9" s="2">
        <f>SUMIFS('XBS '!T:T,'XBS '!H:H,' General Stock Summary View  '!$P$2,'XBS '!L:L,' General Stock Summary View  '!B9,'XBS '!C:C,' General Stock Summary View  '!C9)</f>
        <v>3.4333333333333331</v>
      </c>
      <c r="Q9" s="3">
        <f>SUMIFS('PowerApp_Physical count'!H:H,'PowerApp_Physical count'!B:B,' General Stock Summary View  '!$P$2,'PowerApp_Physical count'!C:C,' General Stock Summary View  '!C9,'PowerApp_Physical count'!A:A,' General Stock Summary View  '!B9)</f>
        <v>0</v>
      </c>
      <c r="R9" s="4">
        <f t="shared" si="11"/>
        <v>-3.4333333333333331</v>
      </c>
      <c r="S9" s="5">
        <f>SUMIFS('XBS '!T:T,'XBS '!L:L,' General Stock Summary View  '!B9,'XBS '!H:H,' General Stock Summary View  '!$S$2,'XBS '!C:C,' General Stock Summary View  '!C9)</f>
        <v>0</v>
      </c>
      <c r="T9" s="3">
        <f>SUMIFS('PowerApp_Physical count'!H:H,'PowerApp_Physical count'!B:B,' General Stock Summary View  '!$S$2,'PowerApp_Physical count'!C:C,' General Stock Summary View  '!C9,'PowerApp_Physical count'!A:A,' General Stock Summary View  '!B9)</f>
        <v>0</v>
      </c>
      <c r="U9" s="4">
        <f t="shared" si="4"/>
        <v>0</v>
      </c>
      <c r="V9" s="2">
        <f>SUMIFS('XBS '!T:T,'XBS '!H:H,' General Stock Summary View  '!$V$2,'XBS '!B:B,' General Stock Summary View  '!C9,'XBS '!L:L,' General Stock Summary View  '!B9)</f>
        <v>0</v>
      </c>
      <c r="W9" s="3">
        <f>SUMIFS('PowerApp_Physical count'!H:H,'PowerApp_Physical count'!B:B,' General Stock Summary View  '!$V$2,'PowerApp_Physical count'!C:C,' General Stock Summary View  '!C9,'PowerApp_Physical count'!A:A,' General Stock Summary View  '!B9)</f>
        <v>0</v>
      </c>
      <c r="X9" s="4">
        <f t="shared" si="12"/>
        <v>0</v>
      </c>
      <c r="Y9" s="5">
        <f>SUMIFS('XBS '!T:T,'XBS '!H:H,' General Stock Summary View  '!$Y$2,'XBS '!B:B,' General Stock Summary View  '!C9,'XBS '!L:L,' General Stock Summary View  '!B9)</f>
        <v>0</v>
      </c>
      <c r="Z9" s="3">
        <f>SUMIFS('PowerApp_Physical count'!H:H,'PowerApp_Physical count'!B:B,' General Stock Summary View  '!$Y$2,'PowerApp_Physical count'!C:C,' General Stock Summary View  '!C9,'PowerApp_Physical count'!A:A,' General Stock Summary View  '!B9)</f>
        <v>0</v>
      </c>
      <c r="AA9" s="4">
        <f t="shared" si="13"/>
        <v>0</v>
      </c>
      <c r="AB9" s="5">
        <f>SUMIFS('XBS '!T:T,'XBS '!H:H,' General Stock Summary View  '!$AB$2,'XBS '!B:B,' General Stock Summary View  '!C9,'XBS '!L:L,' General Stock Summary View  '!B9)</f>
        <v>0</v>
      </c>
      <c r="AC9" s="3">
        <f>SUMIFS('PowerApp_Physical count'!H:H,'PowerApp_Physical count'!B:B,' General Stock Summary View  '!$AB$2,'PowerApp_Physical count'!C:C,' General Stock Summary View  '!C9,'PowerApp_Physical count'!A:A,' General Stock Summary View  '!B9)</f>
        <v>0</v>
      </c>
      <c r="AD9" s="6">
        <f t="shared" si="14"/>
        <v>0</v>
      </c>
      <c r="AE9" s="7">
        <f t="shared" si="8"/>
        <v>0</v>
      </c>
      <c r="AF9" s="8">
        <f t="shared" si="9"/>
        <v>-3.4333333333333331</v>
      </c>
      <c r="AG9" s="112"/>
    </row>
    <row r="10" spans="2:33" s="113" customFormat="1" ht="61.15">
      <c r="B10" s="117" t="s">
        <v>42</v>
      </c>
      <c r="C10" s="111" t="s">
        <v>36</v>
      </c>
      <c r="D10" s="11">
        <f>SUMIFS('XBS '!T:T,'XBS '!C:C,' General Stock Summary View  '!C10,'XBS '!L:L,' General Stock Summary View  '!B10)</f>
        <v>10.466666666666667</v>
      </c>
      <c r="E10" s="2">
        <f>SUMIFS('Blocked for Processing'!P:P,'Blocked for Processing'!I:I,' General Stock Summary View  '!B10,'Blocked for Processing'!C:C,' General Stock Summary View  '!C10)</f>
        <v>0</v>
      </c>
      <c r="F10" s="122">
        <f t="shared" si="0"/>
        <v>10.466666666666667</v>
      </c>
      <c r="G10" s="148">
        <f>SUMIFS('XBS '!T:T,'XBS '!H:H,' General Stock Summary View  '!$G$2,'XBS '!L:L,' General Stock Summary View  '!B10,'XBS '!C:C,' General Stock Summary View  '!C10)</f>
        <v>0</v>
      </c>
      <c r="H10" s="3">
        <f>SUMIFS('PowerApp_Physical count'!H:H,'PowerApp_Physical count'!B:B,' General Stock Summary View  '!$G$2,'PowerApp_Physical count'!C:C,' General Stock Summary View  '!C10,'PowerApp_Physical count'!A:A,' General Stock Summary View  '!B10)</f>
        <v>0</v>
      </c>
      <c r="I10" s="154">
        <f t="shared" si="16"/>
        <v>0</v>
      </c>
      <c r="J10" s="11">
        <f>SUMIFS('XBS '!T:T,'XBS '!H:H,' General Stock Summary View  '!$J$2,'XBS '!L:L,' General Stock Summary View  '!B10,'XBS '!C:C,' General Stock Summary View  '!C10)</f>
        <v>0</v>
      </c>
      <c r="K10" s="157">
        <f>SUMIFS('PowerApp_Physical count'!H:H,'PowerApp_Physical count'!B:B,' General Stock Summary View  '!$J$2,'PowerApp_Physical count'!C:C,' General Stock Summary View  '!C10,'PowerApp_Physical count'!A:A,' General Stock Summary View  '!B10)</f>
        <v>0</v>
      </c>
      <c r="L10" s="127">
        <f t="shared" si="15"/>
        <v>0</v>
      </c>
      <c r="M10" s="126">
        <f t="shared" si="2"/>
        <v>0</v>
      </c>
      <c r="N10" s="11">
        <f t="shared" si="3"/>
        <v>0</v>
      </c>
      <c r="O10" s="144">
        <f t="shared" si="10"/>
        <v>0</v>
      </c>
      <c r="P10" s="2">
        <f>SUMIFS('XBS '!T:T,'XBS '!H:H,' General Stock Summary View  '!$P$2,'XBS '!L:L,' General Stock Summary View  '!B10,'XBS '!C:C,' General Stock Summary View  '!C10)</f>
        <v>10.466666666666667</v>
      </c>
      <c r="Q10" s="3">
        <f>SUMIFS('PowerApp_Physical count'!H:H,'PowerApp_Physical count'!B:B,' General Stock Summary View  '!$P$2,'PowerApp_Physical count'!C:C,' General Stock Summary View  '!C10,'PowerApp_Physical count'!A:A,' General Stock Summary View  '!B10)</f>
        <v>0</v>
      </c>
      <c r="R10" s="4">
        <f t="shared" si="11"/>
        <v>-10.466666666666667</v>
      </c>
      <c r="S10" s="5">
        <f>SUMIFS('XBS '!T:T,'XBS '!L:L,' General Stock Summary View  '!B10,'XBS '!H:H,' General Stock Summary View  '!$S$2,'XBS '!C:C,' General Stock Summary View  '!C10)</f>
        <v>0</v>
      </c>
      <c r="T10" s="3">
        <f>SUMIFS('PowerApp_Physical count'!H:H,'PowerApp_Physical count'!B:B,' General Stock Summary View  '!$S$2,'PowerApp_Physical count'!C:C,' General Stock Summary View  '!C10,'PowerApp_Physical count'!A:A,' General Stock Summary View  '!B10)</f>
        <v>0</v>
      </c>
      <c r="U10" s="4">
        <f t="shared" si="4"/>
        <v>0</v>
      </c>
      <c r="V10" s="2">
        <f>SUMIFS('XBS '!T:T,'XBS '!H:H,' General Stock Summary View  '!$V$2,'XBS '!B:B,' General Stock Summary View  '!C10,'XBS '!L:L,' General Stock Summary View  '!B10)</f>
        <v>0</v>
      </c>
      <c r="W10" s="3">
        <f>SUMIFS('PowerApp_Physical count'!H:H,'PowerApp_Physical count'!B:B,' General Stock Summary View  '!$V$2,'PowerApp_Physical count'!C:C,' General Stock Summary View  '!C10,'PowerApp_Physical count'!A:A,' General Stock Summary View  '!B10)</f>
        <v>0</v>
      </c>
      <c r="X10" s="4">
        <f t="shared" si="12"/>
        <v>0</v>
      </c>
      <c r="Y10" s="5">
        <f>SUMIFS('XBS '!T:T,'XBS '!H:H,' General Stock Summary View  '!$Y$2,'XBS '!B:B,' General Stock Summary View  '!C10,'XBS '!L:L,' General Stock Summary View  '!B10)</f>
        <v>0</v>
      </c>
      <c r="Z10" s="3">
        <f>SUMIFS('PowerApp_Physical count'!H:H,'PowerApp_Physical count'!B:B,' General Stock Summary View  '!$Y$2,'PowerApp_Physical count'!C:C,' General Stock Summary View  '!C10,'PowerApp_Physical count'!A:A,' General Stock Summary View  '!B10)</f>
        <v>0</v>
      </c>
      <c r="AA10" s="4">
        <f t="shared" si="13"/>
        <v>0</v>
      </c>
      <c r="AB10" s="5">
        <f>SUMIFS('XBS '!T:T,'XBS '!H:H,' General Stock Summary View  '!$AB$2,'XBS '!B:B,' General Stock Summary View  '!C10,'XBS '!L:L,' General Stock Summary View  '!B10)</f>
        <v>0</v>
      </c>
      <c r="AC10" s="3">
        <f>SUMIFS('PowerApp_Physical count'!H:H,'PowerApp_Physical count'!B:B,' General Stock Summary View  '!$AB$2,'PowerApp_Physical count'!C:C,' General Stock Summary View  '!C10,'PowerApp_Physical count'!A:A,' General Stock Summary View  '!B10)</f>
        <v>0</v>
      </c>
      <c r="AD10" s="6">
        <f t="shared" si="14"/>
        <v>0</v>
      </c>
      <c r="AE10" s="7">
        <f t="shared" si="8"/>
        <v>0</v>
      </c>
      <c r="AF10" s="8">
        <f t="shared" si="9"/>
        <v>-10.466666666666667</v>
      </c>
      <c r="AG10" s="112"/>
    </row>
    <row r="11" spans="2:33" s="113" customFormat="1" ht="61.15">
      <c r="B11" s="117" t="s">
        <v>43</v>
      </c>
      <c r="C11" s="111" t="s">
        <v>36</v>
      </c>
      <c r="D11" s="11">
        <f>SUMIFS('XBS '!T:T,'XBS '!C:C,' General Stock Summary View  '!C11,'XBS '!L:L,' General Stock Summary View  '!B11)</f>
        <v>4.4833333333333334</v>
      </c>
      <c r="E11" s="2">
        <f>SUMIFS('Blocked for Processing'!P:P,'Blocked for Processing'!I:I,' General Stock Summary View  '!B11,'Blocked for Processing'!C:C,' General Stock Summary View  '!C11)</f>
        <v>0</v>
      </c>
      <c r="F11" s="122">
        <f t="shared" si="0"/>
        <v>4.4833333333333334</v>
      </c>
      <c r="G11" s="148">
        <f>SUMIFS('XBS '!T:T,'XBS '!H:H,' General Stock Summary View  '!$G$2,'XBS '!L:L,' General Stock Summary View  '!B11,'XBS '!C:C,' General Stock Summary View  '!C11)</f>
        <v>0</v>
      </c>
      <c r="H11" s="3">
        <f>SUMIFS('PowerApp_Physical count'!H:H,'PowerApp_Physical count'!B:B,' General Stock Summary View  '!$G$2,'PowerApp_Physical count'!C:C,' General Stock Summary View  '!C11,'PowerApp_Physical count'!A:A,' General Stock Summary View  '!B11)</f>
        <v>0</v>
      </c>
      <c r="I11" s="154">
        <f t="shared" si="16"/>
        <v>0</v>
      </c>
      <c r="J11" s="11">
        <f>SUMIFS('XBS '!T:T,'XBS '!H:H,' General Stock Summary View  '!$J$2,'XBS '!L:L,' General Stock Summary View  '!B11,'XBS '!C:C,' General Stock Summary View  '!C11)</f>
        <v>0</v>
      </c>
      <c r="K11" s="157">
        <f>SUMIFS('PowerApp_Physical count'!H:H,'PowerApp_Physical count'!B:B,' General Stock Summary View  '!$J$2,'PowerApp_Physical count'!C:C,' General Stock Summary View  '!C11,'PowerApp_Physical count'!A:A,' General Stock Summary View  '!B11)</f>
        <v>0</v>
      </c>
      <c r="L11" s="127">
        <f t="shared" si="15"/>
        <v>0</v>
      </c>
      <c r="M11" s="126">
        <f t="shared" si="2"/>
        <v>0</v>
      </c>
      <c r="N11" s="11">
        <f t="shared" si="3"/>
        <v>0</v>
      </c>
      <c r="O11" s="144">
        <f t="shared" si="10"/>
        <v>0</v>
      </c>
      <c r="P11" s="2">
        <f>SUMIFS('XBS '!T:T,'XBS '!H:H,' General Stock Summary View  '!$P$2,'XBS '!L:L,' General Stock Summary View  '!B11,'XBS '!C:C,' General Stock Summary View  '!C11)</f>
        <v>4.4833333333333334</v>
      </c>
      <c r="Q11" s="3">
        <f>SUMIFS('PowerApp_Physical count'!H:H,'PowerApp_Physical count'!B:B,' General Stock Summary View  '!$P$2,'PowerApp_Physical count'!C:C,' General Stock Summary View  '!C11,'PowerApp_Physical count'!A:A,' General Stock Summary View  '!B11)</f>
        <v>0</v>
      </c>
      <c r="R11" s="4">
        <f t="shared" si="11"/>
        <v>-4.4833333333333334</v>
      </c>
      <c r="S11" s="5">
        <f>SUMIFS('XBS '!T:T,'XBS '!L:L,' General Stock Summary View  '!B11,'XBS '!H:H,' General Stock Summary View  '!$S$2,'XBS '!C:C,' General Stock Summary View  '!C11)</f>
        <v>0</v>
      </c>
      <c r="T11" s="3">
        <f>SUMIFS('PowerApp_Physical count'!H:H,'PowerApp_Physical count'!B:B,' General Stock Summary View  '!$S$2,'PowerApp_Physical count'!C:C,' General Stock Summary View  '!C11,'PowerApp_Physical count'!A:A,' General Stock Summary View  '!B11)</f>
        <v>0</v>
      </c>
      <c r="U11" s="4">
        <f t="shared" si="4"/>
        <v>0</v>
      </c>
      <c r="V11" s="2">
        <f>SUMIFS('XBS '!T:T,'XBS '!H:H,' General Stock Summary View  '!$V$2,'XBS '!B:B,' General Stock Summary View  '!C11,'XBS '!L:L,' General Stock Summary View  '!B11)</f>
        <v>0</v>
      </c>
      <c r="W11" s="3">
        <f>SUMIFS('PowerApp_Physical count'!H:H,'PowerApp_Physical count'!B:B,' General Stock Summary View  '!$V$2,'PowerApp_Physical count'!C:C,' General Stock Summary View  '!C11,'PowerApp_Physical count'!A:A,' General Stock Summary View  '!B11)</f>
        <v>0</v>
      </c>
      <c r="X11" s="4">
        <f t="shared" si="12"/>
        <v>0</v>
      </c>
      <c r="Y11" s="5">
        <f>SUMIFS('XBS '!T:T,'XBS '!H:H,' General Stock Summary View  '!$Y$2,'XBS '!B:B,' General Stock Summary View  '!C11,'XBS '!L:L,' General Stock Summary View  '!B11)</f>
        <v>0</v>
      </c>
      <c r="Z11" s="3">
        <f>SUMIFS('PowerApp_Physical count'!H:H,'PowerApp_Physical count'!B:B,' General Stock Summary View  '!$Y$2,'PowerApp_Physical count'!C:C,' General Stock Summary View  '!C11,'PowerApp_Physical count'!A:A,' General Stock Summary View  '!B11)</f>
        <v>0</v>
      </c>
      <c r="AA11" s="4">
        <f t="shared" si="13"/>
        <v>0</v>
      </c>
      <c r="AB11" s="5">
        <f>SUMIFS('XBS '!T:T,'XBS '!H:H,' General Stock Summary View  '!$AB$2,'XBS '!B:B,' General Stock Summary View  '!C11,'XBS '!L:L,' General Stock Summary View  '!B11)</f>
        <v>0</v>
      </c>
      <c r="AC11" s="3">
        <f>SUMIFS('PowerApp_Physical count'!H:H,'PowerApp_Physical count'!B:B,' General Stock Summary View  '!$AB$2,'PowerApp_Physical count'!C:C,' General Stock Summary View  '!C11,'PowerApp_Physical count'!A:A,' General Stock Summary View  '!B11)</f>
        <v>0</v>
      </c>
      <c r="AD11" s="6">
        <f t="shared" si="14"/>
        <v>0</v>
      </c>
      <c r="AE11" s="7">
        <f t="shared" si="8"/>
        <v>0</v>
      </c>
      <c r="AF11" s="8">
        <f t="shared" si="9"/>
        <v>-4.4833333333333334</v>
      </c>
      <c r="AG11" s="112"/>
    </row>
    <row r="12" spans="2:33" s="113" customFormat="1" ht="61.15">
      <c r="B12" s="117" t="s">
        <v>44</v>
      </c>
      <c r="C12" s="111" t="s">
        <v>36</v>
      </c>
      <c r="D12" s="11">
        <f>SUMIFS('XBS '!T:T,'XBS '!C:C,' General Stock Summary View  '!C12,'XBS '!L:L,' General Stock Summary View  '!B12)</f>
        <v>6.6</v>
      </c>
      <c r="E12" s="2">
        <f>SUMIFS('Blocked for Processing'!P:P,'Blocked for Processing'!I:I,' General Stock Summary View  '!B12,'Blocked for Processing'!C:C,' General Stock Summary View  '!C12)</f>
        <v>0</v>
      </c>
      <c r="F12" s="122">
        <f t="shared" si="0"/>
        <v>6.6</v>
      </c>
      <c r="G12" s="148">
        <f>SUMIFS('XBS '!T:T,'XBS '!H:H,' General Stock Summary View  '!$G$2,'XBS '!L:L,' General Stock Summary View  '!B12,'XBS '!C:C,' General Stock Summary View  '!C12)</f>
        <v>0</v>
      </c>
      <c r="H12" s="3">
        <f>SUMIFS('PowerApp_Physical count'!H:H,'PowerApp_Physical count'!B:B,' General Stock Summary View  '!$G$2,'PowerApp_Physical count'!C:C,' General Stock Summary View  '!C12,'PowerApp_Physical count'!A:A,' General Stock Summary View  '!B12)</f>
        <v>0</v>
      </c>
      <c r="I12" s="154">
        <f t="shared" si="16"/>
        <v>0</v>
      </c>
      <c r="J12" s="11">
        <f>SUMIFS('XBS '!T:T,'XBS '!H:H,' General Stock Summary View  '!$J$2,'XBS '!L:L,' General Stock Summary View  '!B12,'XBS '!C:C,' General Stock Summary View  '!C12)</f>
        <v>0</v>
      </c>
      <c r="K12" s="157">
        <f>SUMIFS('PowerApp_Physical count'!H:H,'PowerApp_Physical count'!B:B,' General Stock Summary View  '!$J$2,'PowerApp_Physical count'!C:C,' General Stock Summary View  '!C12,'PowerApp_Physical count'!A:A,' General Stock Summary View  '!B12)</f>
        <v>0</v>
      </c>
      <c r="L12" s="127">
        <f t="shared" si="15"/>
        <v>0</v>
      </c>
      <c r="M12" s="126">
        <f t="shared" si="2"/>
        <v>0</v>
      </c>
      <c r="N12" s="11">
        <f t="shared" si="3"/>
        <v>0</v>
      </c>
      <c r="O12" s="144">
        <f t="shared" si="10"/>
        <v>0</v>
      </c>
      <c r="P12" s="2">
        <f>SUMIFS('XBS '!T:T,'XBS '!H:H,' General Stock Summary View  '!$P$2,'XBS '!L:L,' General Stock Summary View  '!B12,'XBS '!C:C,' General Stock Summary View  '!C12)</f>
        <v>6.6</v>
      </c>
      <c r="Q12" s="3">
        <f>SUMIFS('PowerApp_Physical count'!H:H,'PowerApp_Physical count'!B:B,' General Stock Summary View  '!$P$2,'PowerApp_Physical count'!C:C,' General Stock Summary View  '!C12,'PowerApp_Physical count'!A:A,' General Stock Summary View  '!B12)</f>
        <v>0</v>
      </c>
      <c r="R12" s="4">
        <f t="shared" si="11"/>
        <v>-6.6</v>
      </c>
      <c r="S12" s="5">
        <f>SUMIFS('XBS '!T:T,'XBS '!L:L,' General Stock Summary View  '!B12,'XBS '!H:H,' General Stock Summary View  '!$S$2,'XBS '!C:C,' General Stock Summary View  '!C12)</f>
        <v>0</v>
      </c>
      <c r="T12" s="3">
        <f>SUMIFS('PowerApp_Physical count'!H:H,'PowerApp_Physical count'!B:B,' General Stock Summary View  '!$S$2,'PowerApp_Physical count'!C:C,' General Stock Summary View  '!C12,'PowerApp_Physical count'!A:A,' General Stock Summary View  '!B12)</f>
        <v>0</v>
      </c>
      <c r="U12" s="4">
        <f t="shared" si="4"/>
        <v>0</v>
      </c>
      <c r="V12" s="2">
        <f>SUMIFS('XBS '!T:T,'XBS '!H:H,' General Stock Summary View  '!$V$2,'XBS '!B:B,' General Stock Summary View  '!C12,'XBS '!L:L,' General Stock Summary View  '!B12)</f>
        <v>0</v>
      </c>
      <c r="W12" s="3">
        <f>SUMIFS('PowerApp_Physical count'!H:H,'PowerApp_Physical count'!B:B,' General Stock Summary View  '!$V$2,'PowerApp_Physical count'!C:C,' General Stock Summary View  '!C12,'PowerApp_Physical count'!A:A,' General Stock Summary View  '!B12)</f>
        <v>0</v>
      </c>
      <c r="X12" s="4">
        <f t="shared" si="12"/>
        <v>0</v>
      </c>
      <c r="Y12" s="5">
        <f>SUMIFS('XBS '!T:T,'XBS '!H:H,' General Stock Summary View  '!$Y$2,'XBS '!B:B,' General Stock Summary View  '!C12,'XBS '!L:L,' General Stock Summary View  '!B12)</f>
        <v>0</v>
      </c>
      <c r="Z12" s="3">
        <f>SUMIFS('PowerApp_Physical count'!H:H,'PowerApp_Physical count'!B:B,' General Stock Summary View  '!$Y$2,'PowerApp_Physical count'!C:C,' General Stock Summary View  '!C12,'PowerApp_Physical count'!A:A,' General Stock Summary View  '!B12)</f>
        <v>0</v>
      </c>
      <c r="AA12" s="4">
        <f t="shared" si="13"/>
        <v>0</v>
      </c>
      <c r="AB12" s="5">
        <f>SUMIFS('XBS '!T:T,'XBS '!H:H,' General Stock Summary View  '!$AB$2,'XBS '!B:B,' General Stock Summary View  '!C12,'XBS '!L:L,' General Stock Summary View  '!B12)</f>
        <v>0</v>
      </c>
      <c r="AC12" s="3">
        <f>SUMIFS('PowerApp_Physical count'!H:H,'PowerApp_Physical count'!B:B,' General Stock Summary View  '!$AB$2,'PowerApp_Physical count'!C:C,' General Stock Summary View  '!C12,'PowerApp_Physical count'!A:A,' General Stock Summary View  '!B12)</f>
        <v>0</v>
      </c>
      <c r="AD12" s="6">
        <f t="shared" si="14"/>
        <v>0</v>
      </c>
      <c r="AE12" s="7">
        <f t="shared" si="8"/>
        <v>0</v>
      </c>
      <c r="AF12" s="8">
        <f t="shared" si="9"/>
        <v>-6.6</v>
      </c>
      <c r="AG12" s="112"/>
    </row>
    <row r="13" spans="2:33" s="113" customFormat="1" ht="61.15">
      <c r="B13" s="117" t="s">
        <v>45</v>
      </c>
      <c r="C13" s="111" t="s">
        <v>36</v>
      </c>
      <c r="D13" s="11">
        <f>SUMIFS('XBS '!T:T,'XBS '!C:C,' General Stock Summary View  '!C13,'XBS '!L:L,' General Stock Summary View  '!B13)</f>
        <v>25.15</v>
      </c>
      <c r="E13" s="2">
        <f>SUMIFS('Blocked for Processing'!P:P,'Blocked for Processing'!I:I,' General Stock Summary View  '!B13,'Blocked for Processing'!C:C,' General Stock Summary View  '!C13)</f>
        <v>0</v>
      </c>
      <c r="F13" s="122">
        <f t="shared" si="0"/>
        <v>25.15</v>
      </c>
      <c r="G13" s="148">
        <f>SUMIFS('XBS '!T:T,'XBS '!H:H,' General Stock Summary View  '!$G$2,'XBS '!L:L,' General Stock Summary View  '!B13,'XBS '!C:C,' General Stock Summary View  '!C13)</f>
        <v>0</v>
      </c>
      <c r="H13" s="3">
        <f>SUMIFS('PowerApp_Physical count'!H:H,'PowerApp_Physical count'!B:B,' General Stock Summary View  '!$G$2,'PowerApp_Physical count'!C:C,' General Stock Summary View  '!C13,'PowerApp_Physical count'!A:A,' General Stock Summary View  '!B13)</f>
        <v>0</v>
      </c>
      <c r="I13" s="154">
        <f t="shared" si="16"/>
        <v>0</v>
      </c>
      <c r="J13" s="11">
        <f>SUMIFS('XBS '!T:T,'XBS '!H:H,' General Stock Summary View  '!$J$2,'XBS '!L:L,' General Stock Summary View  '!B13,'XBS '!C:C,' General Stock Summary View  '!C13)</f>
        <v>0</v>
      </c>
      <c r="K13" s="157">
        <f>SUMIFS('PowerApp_Physical count'!H:H,'PowerApp_Physical count'!B:B,' General Stock Summary View  '!$J$2,'PowerApp_Physical count'!C:C,' General Stock Summary View  '!C13,'PowerApp_Physical count'!A:A,' General Stock Summary View  '!B13)</f>
        <v>0</v>
      </c>
      <c r="L13" s="127">
        <f t="shared" si="15"/>
        <v>0</v>
      </c>
      <c r="M13" s="126">
        <f t="shared" si="2"/>
        <v>0</v>
      </c>
      <c r="N13" s="11">
        <f t="shared" si="3"/>
        <v>0</v>
      </c>
      <c r="O13" s="144">
        <f t="shared" si="10"/>
        <v>0</v>
      </c>
      <c r="P13" s="2">
        <f>SUMIFS('XBS '!T:T,'XBS '!H:H,' General Stock Summary View  '!$P$2,'XBS '!L:L,' General Stock Summary View  '!B13,'XBS '!C:C,' General Stock Summary View  '!C13)</f>
        <v>25.15</v>
      </c>
      <c r="Q13" s="3">
        <f>SUMIFS('PowerApp_Physical count'!H:H,'PowerApp_Physical count'!B:B,' General Stock Summary View  '!$P$2,'PowerApp_Physical count'!C:C,' General Stock Summary View  '!C13,'PowerApp_Physical count'!A:A,' General Stock Summary View  '!B13)</f>
        <v>0</v>
      </c>
      <c r="R13" s="4">
        <f t="shared" si="11"/>
        <v>-25.15</v>
      </c>
      <c r="S13" s="5">
        <f>SUMIFS('XBS '!T:T,'XBS '!L:L,' General Stock Summary View  '!B13,'XBS '!H:H,' General Stock Summary View  '!$S$2,'XBS '!C:C,' General Stock Summary View  '!C13)</f>
        <v>0</v>
      </c>
      <c r="T13" s="3">
        <f>SUMIFS('PowerApp_Physical count'!H:H,'PowerApp_Physical count'!B:B,' General Stock Summary View  '!$S$2,'PowerApp_Physical count'!C:C,' General Stock Summary View  '!C13,'PowerApp_Physical count'!A:A,' General Stock Summary View  '!B13)</f>
        <v>0</v>
      </c>
      <c r="U13" s="4">
        <f t="shared" si="4"/>
        <v>0</v>
      </c>
      <c r="V13" s="2">
        <f>SUMIFS('XBS '!T:T,'XBS '!H:H,' General Stock Summary View  '!$V$2,'XBS '!B:B,' General Stock Summary View  '!C13,'XBS '!L:L,' General Stock Summary View  '!B13)</f>
        <v>0</v>
      </c>
      <c r="W13" s="3">
        <f>SUMIFS('PowerApp_Physical count'!H:H,'PowerApp_Physical count'!B:B,' General Stock Summary View  '!$V$2,'PowerApp_Physical count'!C:C,' General Stock Summary View  '!C13,'PowerApp_Physical count'!A:A,' General Stock Summary View  '!B13)</f>
        <v>0</v>
      </c>
      <c r="X13" s="4">
        <f t="shared" si="12"/>
        <v>0</v>
      </c>
      <c r="Y13" s="5">
        <f>SUMIFS('XBS '!T:T,'XBS '!H:H,' General Stock Summary View  '!$Y$2,'XBS '!B:B,' General Stock Summary View  '!C13,'XBS '!L:L,' General Stock Summary View  '!B13)</f>
        <v>0</v>
      </c>
      <c r="Z13" s="3">
        <f>SUMIFS('PowerApp_Physical count'!H:H,'PowerApp_Physical count'!B:B,' General Stock Summary View  '!$Y$2,'PowerApp_Physical count'!C:C,' General Stock Summary View  '!C13,'PowerApp_Physical count'!A:A,' General Stock Summary View  '!B13)</f>
        <v>0</v>
      </c>
      <c r="AA13" s="4">
        <f t="shared" si="13"/>
        <v>0</v>
      </c>
      <c r="AB13" s="5">
        <f>SUMIFS('XBS '!T:T,'XBS '!H:H,' General Stock Summary View  '!$AB$2,'XBS '!B:B,' General Stock Summary View  '!C13,'XBS '!L:L,' General Stock Summary View  '!B13)</f>
        <v>0</v>
      </c>
      <c r="AC13" s="3">
        <f>SUMIFS('PowerApp_Physical count'!H:H,'PowerApp_Physical count'!B:B,' General Stock Summary View  '!$AB$2,'PowerApp_Physical count'!C:C,' General Stock Summary View  '!C13,'PowerApp_Physical count'!A:A,' General Stock Summary View  '!B13)</f>
        <v>0</v>
      </c>
      <c r="AD13" s="6">
        <f t="shared" si="14"/>
        <v>0</v>
      </c>
      <c r="AE13" s="7">
        <f t="shared" si="8"/>
        <v>0</v>
      </c>
      <c r="AF13" s="8">
        <f t="shared" si="9"/>
        <v>-25.15</v>
      </c>
      <c r="AG13" s="112"/>
    </row>
    <row r="14" spans="2:33" s="113" customFormat="1" ht="61.15">
      <c r="B14" s="117" t="s">
        <v>46</v>
      </c>
      <c r="C14" s="111" t="s">
        <v>36</v>
      </c>
      <c r="D14" s="11">
        <f>SUMIFS('XBS '!T:T,'XBS '!C:C,' General Stock Summary View  '!C14,'XBS '!L:L,' General Stock Summary View  '!B14)</f>
        <v>21.4</v>
      </c>
      <c r="E14" s="2">
        <f>SUMIFS('Blocked for Processing'!P:P,'Blocked for Processing'!I:I,' General Stock Summary View  '!B14,'Blocked for Processing'!C:C,' General Stock Summary View  '!C14)</f>
        <v>0</v>
      </c>
      <c r="F14" s="122">
        <f t="shared" si="0"/>
        <v>21.4</v>
      </c>
      <c r="G14" s="148">
        <f>SUMIFS('XBS '!T:T,'XBS '!H:H,' General Stock Summary View  '!$G$2,'XBS '!L:L,' General Stock Summary View  '!B14,'XBS '!C:C,' General Stock Summary View  '!C14)</f>
        <v>0</v>
      </c>
      <c r="H14" s="3">
        <f>SUMIFS('PowerApp_Physical count'!H:H,'PowerApp_Physical count'!B:B,' General Stock Summary View  '!$G$2,'PowerApp_Physical count'!C:C,' General Stock Summary View  '!C14,'PowerApp_Physical count'!A:A,' General Stock Summary View  '!B14)</f>
        <v>0</v>
      </c>
      <c r="I14" s="154">
        <f t="shared" si="16"/>
        <v>0</v>
      </c>
      <c r="J14" s="11">
        <f>SUMIFS('XBS '!T:T,'XBS '!H:H,' General Stock Summary View  '!$J$2,'XBS '!L:L,' General Stock Summary View  '!B14,'XBS '!C:C,' General Stock Summary View  '!C14)</f>
        <v>0</v>
      </c>
      <c r="K14" s="157">
        <f>SUMIFS('PowerApp_Physical count'!H:H,'PowerApp_Physical count'!B:B,' General Stock Summary View  '!$J$2,'PowerApp_Physical count'!C:C,' General Stock Summary View  '!C14,'PowerApp_Physical count'!A:A,' General Stock Summary View  '!B14)</f>
        <v>0</v>
      </c>
      <c r="L14" s="127">
        <f t="shared" si="15"/>
        <v>0</v>
      </c>
      <c r="M14" s="126">
        <f t="shared" si="2"/>
        <v>0</v>
      </c>
      <c r="N14" s="11">
        <f t="shared" si="3"/>
        <v>0</v>
      </c>
      <c r="O14" s="144">
        <f t="shared" si="10"/>
        <v>0</v>
      </c>
      <c r="P14" s="2">
        <f>SUMIFS('XBS '!T:T,'XBS '!H:H,' General Stock Summary View  '!$P$2,'XBS '!L:L,' General Stock Summary View  '!B14,'XBS '!C:C,' General Stock Summary View  '!C14)</f>
        <v>21.4</v>
      </c>
      <c r="Q14" s="3">
        <f>SUMIFS('PowerApp_Physical count'!H:H,'PowerApp_Physical count'!B:B,' General Stock Summary View  '!$P$2,'PowerApp_Physical count'!C:C,' General Stock Summary View  '!C14,'PowerApp_Physical count'!A:A,' General Stock Summary View  '!B14)</f>
        <v>0</v>
      </c>
      <c r="R14" s="4">
        <f t="shared" si="11"/>
        <v>-21.4</v>
      </c>
      <c r="S14" s="5">
        <f>SUMIFS('XBS '!T:T,'XBS '!L:L,' General Stock Summary View  '!B14,'XBS '!H:H,' General Stock Summary View  '!$S$2,'XBS '!C:C,' General Stock Summary View  '!C14)</f>
        <v>0</v>
      </c>
      <c r="T14" s="3">
        <f>SUMIFS('PowerApp_Physical count'!H:H,'PowerApp_Physical count'!B:B,' General Stock Summary View  '!$S$2,'PowerApp_Physical count'!C:C,' General Stock Summary View  '!C14,'PowerApp_Physical count'!A:A,' General Stock Summary View  '!B14)</f>
        <v>0</v>
      </c>
      <c r="U14" s="4">
        <f t="shared" si="4"/>
        <v>0</v>
      </c>
      <c r="V14" s="2">
        <f>SUMIFS('XBS '!T:T,'XBS '!H:H,' General Stock Summary View  '!$V$2,'XBS '!B:B,' General Stock Summary View  '!C14,'XBS '!L:L,' General Stock Summary View  '!B14)</f>
        <v>0</v>
      </c>
      <c r="W14" s="3">
        <f>SUMIFS('PowerApp_Physical count'!H:H,'PowerApp_Physical count'!B:B,' General Stock Summary View  '!$V$2,'PowerApp_Physical count'!C:C,' General Stock Summary View  '!C14,'PowerApp_Physical count'!A:A,' General Stock Summary View  '!B14)</f>
        <v>0</v>
      </c>
      <c r="X14" s="4">
        <f t="shared" si="12"/>
        <v>0</v>
      </c>
      <c r="Y14" s="5">
        <f>SUMIFS('XBS '!T:T,'XBS '!H:H,' General Stock Summary View  '!$Y$2,'XBS '!B:B,' General Stock Summary View  '!C14,'XBS '!L:L,' General Stock Summary View  '!B14)</f>
        <v>0</v>
      </c>
      <c r="Z14" s="3">
        <f>SUMIFS('PowerApp_Physical count'!H:H,'PowerApp_Physical count'!B:B,' General Stock Summary View  '!$Y$2,'PowerApp_Physical count'!C:C,' General Stock Summary View  '!C14,'PowerApp_Physical count'!A:A,' General Stock Summary View  '!B14)</f>
        <v>0</v>
      </c>
      <c r="AA14" s="4">
        <f t="shared" si="13"/>
        <v>0</v>
      </c>
      <c r="AB14" s="5">
        <f>SUMIFS('XBS '!T:T,'XBS '!H:H,' General Stock Summary View  '!$AB$2,'XBS '!B:B,' General Stock Summary View  '!C14,'XBS '!L:L,' General Stock Summary View  '!B14)</f>
        <v>0</v>
      </c>
      <c r="AC14" s="3">
        <f>SUMIFS('PowerApp_Physical count'!H:H,'PowerApp_Physical count'!B:B,' General Stock Summary View  '!$AB$2,'PowerApp_Physical count'!C:C,' General Stock Summary View  '!C14,'PowerApp_Physical count'!A:A,' General Stock Summary View  '!B14)</f>
        <v>0</v>
      </c>
      <c r="AD14" s="6">
        <f t="shared" si="14"/>
        <v>0</v>
      </c>
      <c r="AE14" s="7">
        <f t="shared" si="8"/>
        <v>0</v>
      </c>
      <c r="AF14" s="8">
        <f t="shared" si="9"/>
        <v>-21.4</v>
      </c>
      <c r="AG14" s="112"/>
    </row>
    <row r="15" spans="2:33" s="113" customFormat="1" ht="61.15">
      <c r="B15" s="117" t="s">
        <v>47</v>
      </c>
      <c r="C15" s="111" t="s">
        <v>36</v>
      </c>
      <c r="D15" s="11">
        <f>SUMIFS('XBS '!T:T,'XBS '!C:C,' General Stock Summary View  '!C15,'XBS '!L:L,' General Stock Summary View  '!B15)</f>
        <v>6.4833333333333334</v>
      </c>
      <c r="E15" s="2">
        <f>SUMIFS('Blocked for Processing'!P:P,'Blocked for Processing'!I:I,' General Stock Summary View  '!B15,'Blocked for Processing'!C:C,' General Stock Summary View  '!C15)</f>
        <v>0</v>
      </c>
      <c r="F15" s="122">
        <f t="shared" si="0"/>
        <v>6.4833333333333334</v>
      </c>
      <c r="G15" s="148">
        <f>SUMIFS('XBS '!T:T,'XBS '!H:H,' General Stock Summary View  '!$G$2,'XBS '!L:L,' General Stock Summary View  '!B15,'XBS '!C:C,' General Stock Summary View  '!C15)</f>
        <v>0</v>
      </c>
      <c r="H15" s="3">
        <f>SUMIFS('PowerApp_Physical count'!H:H,'PowerApp_Physical count'!B:B,' General Stock Summary View  '!$G$2,'PowerApp_Physical count'!C:C,' General Stock Summary View  '!C15,'PowerApp_Physical count'!A:A,' General Stock Summary View  '!B15)</f>
        <v>0</v>
      </c>
      <c r="I15" s="154">
        <f t="shared" si="16"/>
        <v>0</v>
      </c>
      <c r="J15" s="11">
        <f>SUMIFS('XBS '!T:T,'XBS '!H:H,' General Stock Summary View  '!$J$2,'XBS '!L:L,' General Stock Summary View  '!B15,'XBS '!C:C,' General Stock Summary View  '!C15)</f>
        <v>0</v>
      </c>
      <c r="K15" s="157">
        <f>SUMIFS('PowerApp_Physical count'!H:H,'PowerApp_Physical count'!B:B,' General Stock Summary View  '!$J$2,'PowerApp_Physical count'!C:C,' General Stock Summary View  '!C15,'PowerApp_Physical count'!A:A,' General Stock Summary View  '!B15)</f>
        <v>0</v>
      </c>
      <c r="L15" s="127">
        <f t="shared" si="15"/>
        <v>0</v>
      </c>
      <c r="M15" s="126">
        <f t="shared" si="2"/>
        <v>0</v>
      </c>
      <c r="N15" s="11">
        <f t="shared" si="3"/>
        <v>0</v>
      </c>
      <c r="O15" s="144">
        <f t="shared" si="10"/>
        <v>0</v>
      </c>
      <c r="P15" s="2">
        <f>SUMIFS('XBS '!T:T,'XBS '!H:H,' General Stock Summary View  '!$P$2,'XBS '!L:L,' General Stock Summary View  '!B15,'XBS '!C:C,' General Stock Summary View  '!C15)</f>
        <v>6.4833333333333334</v>
      </c>
      <c r="Q15" s="3">
        <f>SUMIFS('PowerApp_Physical count'!H:H,'PowerApp_Physical count'!B:B,' General Stock Summary View  '!$P$2,'PowerApp_Physical count'!C:C,' General Stock Summary View  '!C15,'PowerApp_Physical count'!A:A,' General Stock Summary View  '!B15)</f>
        <v>0</v>
      </c>
      <c r="R15" s="4">
        <f t="shared" si="11"/>
        <v>-6.4833333333333334</v>
      </c>
      <c r="S15" s="5">
        <f>SUMIFS('XBS '!T:T,'XBS '!L:L,' General Stock Summary View  '!B15,'XBS '!H:H,' General Stock Summary View  '!$S$2,'XBS '!C:C,' General Stock Summary View  '!C15)</f>
        <v>0</v>
      </c>
      <c r="T15" s="3">
        <f>SUMIFS('PowerApp_Physical count'!H:H,'PowerApp_Physical count'!B:B,' General Stock Summary View  '!$S$2,'PowerApp_Physical count'!C:C,' General Stock Summary View  '!C15,'PowerApp_Physical count'!A:A,' General Stock Summary View  '!B15)</f>
        <v>0</v>
      </c>
      <c r="U15" s="4">
        <f t="shared" si="4"/>
        <v>0</v>
      </c>
      <c r="V15" s="2">
        <f>SUMIFS('XBS '!T:T,'XBS '!H:H,' General Stock Summary View  '!$V$2,'XBS '!B:B,' General Stock Summary View  '!C15,'XBS '!L:L,' General Stock Summary View  '!B15)</f>
        <v>0</v>
      </c>
      <c r="W15" s="3">
        <f>SUMIFS('PowerApp_Physical count'!H:H,'PowerApp_Physical count'!B:B,' General Stock Summary View  '!$V$2,'PowerApp_Physical count'!C:C,' General Stock Summary View  '!C15,'PowerApp_Physical count'!A:A,' General Stock Summary View  '!B15)</f>
        <v>0</v>
      </c>
      <c r="X15" s="4">
        <f t="shared" si="12"/>
        <v>0</v>
      </c>
      <c r="Y15" s="5">
        <f>SUMIFS('XBS '!T:T,'XBS '!H:H,' General Stock Summary View  '!$Y$2,'XBS '!B:B,' General Stock Summary View  '!C15,'XBS '!L:L,' General Stock Summary View  '!B15)</f>
        <v>0</v>
      </c>
      <c r="Z15" s="3">
        <f>SUMIFS('PowerApp_Physical count'!H:H,'PowerApp_Physical count'!B:B,' General Stock Summary View  '!$Y$2,'PowerApp_Physical count'!C:C,' General Stock Summary View  '!C15,'PowerApp_Physical count'!A:A,' General Stock Summary View  '!B15)</f>
        <v>0</v>
      </c>
      <c r="AA15" s="4">
        <f t="shared" si="13"/>
        <v>0</v>
      </c>
      <c r="AB15" s="5">
        <f>SUMIFS('XBS '!T:T,'XBS '!H:H,' General Stock Summary View  '!$AB$2,'XBS '!B:B,' General Stock Summary View  '!C15,'XBS '!L:L,' General Stock Summary View  '!B15)</f>
        <v>0</v>
      </c>
      <c r="AC15" s="3">
        <f>SUMIFS('PowerApp_Physical count'!H:H,'PowerApp_Physical count'!B:B,' General Stock Summary View  '!$AB$2,'PowerApp_Physical count'!C:C,' General Stock Summary View  '!C15,'PowerApp_Physical count'!A:A,' General Stock Summary View  '!B15)</f>
        <v>0</v>
      </c>
      <c r="AD15" s="6">
        <f t="shared" si="14"/>
        <v>0</v>
      </c>
      <c r="AE15" s="7">
        <f t="shared" si="8"/>
        <v>0</v>
      </c>
      <c r="AF15" s="8">
        <f t="shared" si="9"/>
        <v>-6.4833333333333334</v>
      </c>
      <c r="AG15" s="112"/>
    </row>
    <row r="16" spans="2:33" s="113" customFormat="1" ht="61.15">
      <c r="B16" s="117" t="s">
        <v>48</v>
      </c>
      <c r="C16" s="111" t="s">
        <v>36</v>
      </c>
      <c r="D16" s="11">
        <f>SUMIFS('XBS '!T:T,'XBS '!C:C,' General Stock Summary View  '!C16,'XBS '!L:L,' General Stock Summary View  '!B16)</f>
        <v>10.199999999999999</v>
      </c>
      <c r="E16" s="2">
        <f>SUMIFS('Blocked for Processing'!P:P,'Blocked for Processing'!I:I,' General Stock Summary View  '!B16,'Blocked for Processing'!C:C,' General Stock Summary View  '!C16)</f>
        <v>0</v>
      </c>
      <c r="F16" s="122">
        <f t="shared" si="0"/>
        <v>10.199999999999999</v>
      </c>
      <c r="G16" s="148">
        <f>SUMIFS('XBS '!T:T,'XBS '!H:H,' General Stock Summary View  '!$G$2,'XBS '!L:L,' General Stock Summary View  '!B16,'XBS '!C:C,' General Stock Summary View  '!C16)</f>
        <v>0</v>
      </c>
      <c r="H16" s="3">
        <f>SUMIFS('PowerApp_Physical count'!H:H,'PowerApp_Physical count'!B:B,' General Stock Summary View  '!$G$2,'PowerApp_Physical count'!C:C,' General Stock Summary View  '!C16,'PowerApp_Physical count'!A:A,' General Stock Summary View  '!B16)</f>
        <v>0</v>
      </c>
      <c r="I16" s="154">
        <f t="shared" si="16"/>
        <v>0</v>
      </c>
      <c r="J16" s="11">
        <f>SUMIFS('XBS '!T:T,'XBS '!H:H,' General Stock Summary View  '!$J$2,'XBS '!L:L,' General Stock Summary View  '!B16,'XBS '!C:C,' General Stock Summary View  '!C16)</f>
        <v>0</v>
      </c>
      <c r="K16" s="157">
        <f>SUMIFS('PowerApp_Physical count'!H:H,'PowerApp_Physical count'!B:B,' General Stock Summary View  '!$J$2,'PowerApp_Physical count'!C:C,' General Stock Summary View  '!C16,'PowerApp_Physical count'!A:A,' General Stock Summary View  '!B16)</f>
        <v>0</v>
      </c>
      <c r="L16" s="127">
        <f t="shared" si="15"/>
        <v>0</v>
      </c>
      <c r="M16" s="126">
        <f t="shared" si="2"/>
        <v>0</v>
      </c>
      <c r="N16" s="11">
        <f t="shared" si="3"/>
        <v>0</v>
      </c>
      <c r="O16" s="144">
        <f t="shared" si="10"/>
        <v>0</v>
      </c>
      <c r="P16" s="2">
        <f>SUMIFS('XBS '!T:T,'XBS '!H:H,' General Stock Summary View  '!$P$2,'XBS '!L:L,' General Stock Summary View  '!B16,'XBS '!C:C,' General Stock Summary View  '!C16)</f>
        <v>10.199999999999999</v>
      </c>
      <c r="Q16" s="3">
        <f>SUMIFS('PowerApp_Physical count'!H:H,'PowerApp_Physical count'!B:B,' General Stock Summary View  '!$P$2,'PowerApp_Physical count'!C:C,' General Stock Summary View  '!C16,'PowerApp_Physical count'!A:A,' General Stock Summary View  '!B16)</f>
        <v>0</v>
      </c>
      <c r="R16" s="4">
        <f t="shared" si="11"/>
        <v>-10.199999999999999</v>
      </c>
      <c r="S16" s="5">
        <f>SUMIFS('XBS '!T:T,'XBS '!L:L,' General Stock Summary View  '!B16,'XBS '!H:H,' General Stock Summary View  '!$S$2,'XBS '!C:C,' General Stock Summary View  '!C16)</f>
        <v>0</v>
      </c>
      <c r="T16" s="3">
        <f>SUMIFS('PowerApp_Physical count'!H:H,'PowerApp_Physical count'!B:B,' General Stock Summary View  '!$S$2,'PowerApp_Physical count'!C:C,' General Stock Summary View  '!C16,'PowerApp_Physical count'!A:A,' General Stock Summary View  '!B16)</f>
        <v>0</v>
      </c>
      <c r="U16" s="4">
        <f t="shared" si="4"/>
        <v>0</v>
      </c>
      <c r="V16" s="2">
        <f>SUMIFS('XBS '!T:T,'XBS '!H:H,' General Stock Summary View  '!$V$2,'XBS '!B:B,' General Stock Summary View  '!C16,'XBS '!L:L,' General Stock Summary View  '!B16)</f>
        <v>0</v>
      </c>
      <c r="W16" s="3">
        <f>SUMIFS('PowerApp_Physical count'!H:H,'PowerApp_Physical count'!B:B,' General Stock Summary View  '!$V$2,'PowerApp_Physical count'!C:C,' General Stock Summary View  '!C16,'PowerApp_Physical count'!A:A,' General Stock Summary View  '!B16)</f>
        <v>0</v>
      </c>
      <c r="X16" s="4">
        <f t="shared" si="12"/>
        <v>0</v>
      </c>
      <c r="Y16" s="5">
        <f>SUMIFS('XBS '!T:T,'XBS '!H:H,' General Stock Summary View  '!$Y$2,'XBS '!B:B,' General Stock Summary View  '!C16,'XBS '!L:L,' General Stock Summary View  '!B16)</f>
        <v>0</v>
      </c>
      <c r="Z16" s="3">
        <f>SUMIFS('PowerApp_Physical count'!H:H,'PowerApp_Physical count'!B:B,' General Stock Summary View  '!$Y$2,'PowerApp_Physical count'!C:C,' General Stock Summary View  '!C16,'PowerApp_Physical count'!A:A,' General Stock Summary View  '!B16)</f>
        <v>0</v>
      </c>
      <c r="AA16" s="4">
        <f t="shared" si="13"/>
        <v>0</v>
      </c>
      <c r="AB16" s="5">
        <f>SUMIFS('XBS '!T:T,'XBS '!H:H,' General Stock Summary View  '!$AB$2,'XBS '!B:B,' General Stock Summary View  '!C16,'XBS '!L:L,' General Stock Summary View  '!B16)</f>
        <v>0</v>
      </c>
      <c r="AC16" s="3">
        <f>SUMIFS('PowerApp_Physical count'!H:H,'PowerApp_Physical count'!B:B,' General Stock Summary View  '!$AB$2,'PowerApp_Physical count'!C:C,' General Stock Summary View  '!C16,'PowerApp_Physical count'!A:A,' General Stock Summary View  '!B16)</f>
        <v>0</v>
      </c>
      <c r="AD16" s="6">
        <f t="shared" si="14"/>
        <v>0</v>
      </c>
      <c r="AE16" s="7">
        <f t="shared" si="8"/>
        <v>0</v>
      </c>
      <c r="AF16" s="8">
        <f t="shared" si="9"/>
        <v>-10.199999999999999</v>
      </c>
      <c r="AG16" s="112"/>
    </row>
    <row r="17" spans="2:33" s="113" customFormat="1" ht="61.15">
      <c r="B17" s="117" t="s">
        <v>49</v>
      </c>
      <c r="C17" s="111" t="s">
        <v>36</v>
      </c>
      <c r="D17" s="11">
        <f>SUMIFS('XBS '!T:T,'XBS '!C:C,' General Stock Summary View  '!C17,'XBS '!L:L,' General Stock Summary View  '!B17)</f>
        <v>16.416666666666668</v>
      </c>
      <c r="E17" s="2">
        <f>SUMIFS('Blocked for Processing'!P:P,'Blocked for Processing'!I:I,' General Stock Summary View  '!B17,'Blocked for Processing'!C:C,' General Stock Summary View  '!C17)</f>
        <v>0</v>
      </c>
      <c r="F17" s="122">
        <f t="shared" si="0"/>
        <v>16.416666666666668</v>
      </c>
      <c r="G17" s="148">
        <f>SUMIFS('XBS '!T:T,'XBS '!H:H,' General Stock Summary View  '!$G$2,'XBS '!L:L,' General Stock Summary View  '!B17,'XBS '!C:C,' General Stock Summary View  '!C17)</f>
        <v>0</v>
      </c>
      <c r="H17" s="3">
        <f>SUMIFS('PowerApp_Physical count'!H:H,'PowerApp_Physical count'!B:B,' General Stock Summary View  '!$G$2,'PowerApp_Physical count'!C:C,' General Stock Summary View  '!C17,'PowerApp_Physical count'!A:A,' General Stock Summary View  '!B17)</f>
        <v>0</v>
      </c>
      <c r="I17" s="154">
        <f t="shared" si="16"/>
        <v>0</v>
      </c>
      <c r="J17" s="11">
        <f>SUMIFS('XBS '!T:T,'XBS '!H:H,' General Stock Summary View  '!$J$2,'XBS '!L:L,' General Stock Summary View  '!B17,'XBS '!C:C,' General Stock Summary View  '!C17)</f>
        <v>0</v>
      </c>
      <c r="K17" s="157">
        <f>SUMIFS('PowerApp_Physical count'!H:H,'PowerApp_Physical count'!B:B,' General Stock Summary View  '!$J$2,'PowerApp_Physical count'!C:C,' General Stock Summary View  '!C17,'PowerApp_Physical count'!A:A,' General Stock Summary View  '!B17)</f>
        <v>0</v>
      </c>
      <c r="L17" s="127">
        <f t="shared" si="15"/>
        <v>0</v>
      </c>
      <c r="M17" s="126">
        <f t="shared" si="2"/>
        <v>0</v>
      </c>
      <c r="N17" s="11">
        <f t="shared" si="3"/>
        <v>0</v>
      </c>
      <c r="O17" s="144">
        <f t="shared" si="10"/>
        <v>0</v>
      </c>
      <c r="P17" s="2">
        <f>SUMIFS('XBS '!T:T,'XBS '!H:H,' General Stock Summary View  '!$P$2,'XBS '!L:L,' General Stock Summary View  '!B17,'XBS '!C:C,' General Stock Summary View  '!C17)</f>
        <v>16.416666666666668</v>
      </c>
      <c r="Q17" s="3">
        <f>SUMIFS('PowerApp_Physical count'!H:H,'PowerApp_Physical count'!B:B,' General Stock Summary View  '!$P$2,'PowerApp_Physical count'!C:C,' General Stock Summary View  '!C17,'PowerApp_Physical count'!A:A,' General Stock Summary View  '!B17)</f>
        <v>0</v>
      </c>
      <c r="R17" s="4">
        <f t="shared" si="11"/>
        <v>-16.416666666666668</v>
      </c>
      <c r="S17" s="5">
        <f>SUMIFS('XBS '!T:T,'XBS '!L:L,' General Stock Summary View  '!B17,'XBS '!H:H,' General Stock Summary View  '!$S$2,'XBS '!C:C,' General Stock Summary View  '!C17)</f>
        <v>0</v>
      </c>
      <c r="T17" s="3">
        <f>SUMIFS('PowerApp_Physical count'!H:H,'PowerApp_Physical count'!B:B,' General Stock Summary View  '!$S$2,'PowerApp_Physical count'!C:C,' General Stock Summary View  '!C17,'PowerApp_Physical count'!A:A,' General Stock Summary View  '!B17)</f>
        <v>0</v>
      </c>
      <c r="U17" s="4">
        <f t="shared" si="4"/>
        <v>0</v>
      </c>
      <c r="V17" s="2">
        <f>SUMIFS('XBS '!T:T,'XBS '!H:H,' General Stock Summary View  '!$V$2,'XBS '!B:B,' General Stock Summary View  '!C17,'XBS '!L:L,' General Stock Summary View  '!B17)</f>
        <v>0</v>
      </c>
      <c r="W17" s="3">
        <f>SUMIFS('PowerApp_Physical count'!H:H,'PowerApp_Physical count'!B:B,' General Stock Summary View  '!$V$2,'PowerApp_Physical count'!C:C,' General Stock Summary View  '!C17,'PowerApp_Physical count'!A:A,' General Stock Summary View  '!B17)</f>
        <v>0</v>
      </c>
      <c r="X17" s="4">
        <f t="shared" si="12"/>
        <v>0</v>
      </c>
      <c r="Y17" s="5">
        <f>SUMIFS('XBS '!T:T,'XBS '!H:H,' General Stock Summary View  '!$Y$2,'XBS '!B:B,' General Stock Summary View  '!C17,'XBS '!L:L,' General Stock Summary View  '!B17)</f>
        <v>0</v>
      </c>
      <c r="Z17" s="3">
        <f>SUMIFS('PowerApp_Physical count'!H:H,'PowerApp_Physical count'!B:B,' General Stock Summary View  '!$Y$2,'PowerApp_Physical count'!C:C,' General Stock Summary View  '!C17,'PowerApp_Physical count'!A:A,' General Stock Summary View  '!B17)</f>
        <v>0</v>
      </c>
      <c r="AA17" s="4">
        <f t="shared" si="13"/>
        <v>0</v>
      </c>
      <c r="AB17" s="5">
        <f>SUMIFS('XBS '!T:T,'XBS '!H:H,' General Stock Summary View  '!$AB$2,'XBS '!B:B,' General Stock Summary View  '!C17,'XBS '!L:L,' General Stock Summary View  '!B17)</f>
        <v>0</v>
      </c>
      <c r="AC17" s="3">
        <f>SUMIFS('PowerApp_Physical count'!H:H,'PowerApp_Physical count'!B:B,' General Stock Summary View  '!$AB$2,'PowerApp_Physical count'!C:C,' General Stock Summary View  '!C17,'PowerApp_Physical count'!A:A,' General Stock Summary View  '!B17)</f>
        <v>0</v>
      </c>
      <c r="AD17" s="6">
        <f t="shared" si="14"/>
        <v>0</v>
      </c>
      <c r="AE17" s="7">
        <f t="shared" si="8"/>
        <v>0</v>
      </c>
      <c r="AF17" s="8">
        <f t="shared" si="9"/>
        <v>-16.416666666666668</v>
      </c>
      <c r="AG17" s="112"/>
    </row>
    <row r="18" spans="2:33" s="113" customFormat="1" ht="61.15">
      <c r="B18" s="117" t="s">
        <v>50</v>
      </c>
      <c r="C18" s="111" t="s">
        <v>36</v>
      </c>
      <c r="D18" s="11">
        <f>SUMIFS('XBS '!T:T,'XBS '!C:C,' General Stock Summary View  '!C18,'XBS '!L:L,' General Stock Summary View  '!B18)</f>
        <v>6.25</v>
      </c>
      <c r="E18" s="2">
        <f>SUMIFS('Blocked for Processing'!P:P,'Blocked for Processing'!I:I,' General Stock Summary View  '!B18,'Blocked for Processing'!C:C,' General Stock Summary View  '!C18)</f>
        <v>0</v>
      </c>
      <c r="F18" s="122">
        <f t="shared" si="0"/>
        <v>6.25</v>
      </c>
      <c r="G18" s="148">
        <f>SUMIFS('XBS '!T:T,'XBS '!H:H,' General Stock Summary View  '!$G$2,'XBS '!L:L,' General Stock Summary View  '!B18,'XBS '!C:C,' General Stock Summary View  '!C18)</f>
        <v>0</v>
      </c>
      <c r="H18" s="3">
        <f>SUMIFS('PowerApp_Physical count'!H:H,'PowerApp_Physical count'!B:B,' General Stock Summary View  '!$G$2,'PowerApp_Physical count'!C:C,' General Stock Summary View  '!C18,'PowerApp_Physical count'!A:A,' General Stock Summary View  '!B18)</f>
        <v>0</v>
      </c>
      <c r="I18" s="154">
        <f t="shared" si="16"/>
        <v>0</v>
      </c>
      <c r="J18" s="11">
        <f>SUMIFS('XBS '!T:T,'XBS '!H:H,' General Stock Summary View  '!$J$2,'XBS '!L:L,' General Stock Summary View  '!B18,'XBS '!C:C,' General Stock Summary View  '!C18)</f>
        <v>0</v>
      </c>
      <c r="K18" s="157">
        <f>SUMIFS('PowerApp_Physical count'!H:H,'PowerApp_Physical count'!B:B,' General Stock Summary View  '!$J$2,'PowerApp_Physical count'!C:C,' General Stock Summary View  '!C18,'PowerApp_Physical count'!A:A,' General Stock Summary View  '!B18)</f>
        <v>0</v>
      </c>
      <c r="L18" s="127">
        <f t="shared" si="15"/>
        <v>0</v>
      </c>
      <c r="M18" s="126">
        <f t="shared" si="2"/>
        <v>0</v>
      </c>
      <c r="N18" s="11">
        <f t="shared" si="3"/>
        <v>0</v>
      </c>
      <c r="O18" s="144">
        <f t="shared" si="10"/>
        <v>0</v>
      </c>
      <c r="P18" s="2">
        <f>SUMIFS('XBS '!T:T,'XBS '!H:H,' General Stock Summary View  '!$P$2,'XBS '!L:L,' General Stock Summary View  '!B18,'XBS '!C:C,' General Stock Summary View  '!C18)</f>
        <v>6.25</v>
      </c>
      <c r="Q18" s="3">
        <f>SUMIFS('PowerApp_Physical count'!H:H,'PowerApp_Physical count'!B:B,' General Stock Summary View  '!$P$2,'PowerApp_Physical count'!C:C,' General Stock Summary View  '!C18,'PowerApp_Physical count'!A:A,' General Stock Summary View  '!B18)</f>
        <v>0</v>
      </c>
      <c r="R18" s="4">
        <f t="shared" si="11"/>
        <v>-6.25</v>
      </c>
      <c r="S18" s="5">
        <f>SUMIFS('XBS '!T:T,'XBS '!L:L,' General Stock Summary View  '!B18,'XBS '!H:H,' General Stock Summary View  '!$S$2,'XBS '!C:C,' General Stock Summary View  '!C18)</f>
        <v>0</v>
      </c>
      <c r="T18" s="3">
        <f>SUMIFS('PowerApp_Physical count'!H:H,'PowerApp_Physical count'!B:B,' General Stock Summary View  '!$S$2,'PowerApp_Physical count'!C:C,' General Stock Summary View  '!C18,'PowerApp_Physical count'!A:A,' General Stock Summary View  '!B18)</f>
        <v>0</v>
      </c>
      <c r="U18" s="4">
        <f t="shared" si="4"/>
        <v>0</v>
      </c>
      <c r="V18" s="2">
        <f>SUMIFS('XBS '!T:T,'XBS '!H:H,' General Stock Summary View  '!$V$2,'XBS '!B:B,' General Stock Summary View  '!C18,'XBS '!L:L,' General Stock Summary View  '!B18)</f>
        <v>0</v>
      </c>
      <c r="W18" s="3">
        <f>SUMIFS('PowerApp_Physical count'!H:H,'PowerApp_Physical count'!B:B,' General Stock Summary View  '!$V$2,'PowerApp_Physical count'!C:C,' General Stock Summary View  '!C18,'PowerApp_Physical count'!A:A,' General Stock Summary View  '!B18)</f>
        <v>0</v>
      </c>
      <c r="X18" s="4">
        <f t="shared" si="12"/>
        <v>0</v>
      </c>
      <c r="Y18" s="5">
        <f>SUMIFS('XBS '!T:T,'XBS '!H:H,' General Stock Summary View  '!$Y$2,'XBS '!B:B,' General Stock Summary View  '!C18,'XBS '!L:L,' General Stock Summary View  '!B18)</f>
        <v>0</v>
      </c>
      <c r="Z18" s="3">
        <f>SUMIFS('PowerApp_Physical count'!H:H,'PowerApp_Physical count'!B:B,' General Stock Summary View  '!$Y$2,'PowerApp_Physical count'!C:C,' General Stock Summary View  '!C18,'PowerApp_Physical count'!A:A,' General Stock Summary View  '!B18)</f>
        <v>0</v>
      </c>
      <c r="AA18" s="4">
        <f t="shared" si="13"/>
        <v>0</v>
      </c>
      <c r="AB18" s="5">
        <f>SUMIFS('XBS '!T:T,'XBS '!H:H,' General Stock Summary View  '!$AB$2,'XBS '!B:B,' General Stock Summary View  '!C18,'XBS '!L:L,' General Stock Summary View  '!B18)</f>
        <v>0</v>
      </c>
      <c r="AC18" s="3">
        <f>SUMIFS('PowerApp_Physical count'!H:H,'PowerApp_Physical count'!B:B,' General Stock Summary View  '!$AB$2,'PowerApp_Physical count'!C:C,' General Stock Summary View  '!C18,'PowerApp_Physical count'!A:A,' General Stock Summary View  '!B18)</f>
        <v>0</v>
      </c>
      <c r="AD18" s="6">
        <f t="shared" si="14"/>
        <v>0</v>
      </c>
      <c r="AE18" s="7">
        <f t="shared" si="8"/>
        <v>0</v>
      </c>
      <c r="AF18" s="8">
        <f t="shared" si="9"/>
        <v>-6.25</v>
      </c>
      <c r="AG18" s="112"/>
    </row>
    <row r="19" spans="2:33" s="113" customFormat="1" ht="61.15">
      <c r="B19" s="117" t="s">
        <v>51</v>
      </c>
      <c r="C19" s="111" t="s">
        <v>36</v>
      </c>
      <c r="D19" s="11">
        <f>SUMIFS('XBS '!T:T,'XBS '!C:C,' General Stock Summary View  '!C19,'XBS '!L:L,' General Stock Summary View  '!B19)</f>
        <v>12.906666666666666</v>
      </c>
      <c r="E19" s="2">
        <f>SUMIFS('Blocked for Processing'!P:P,'Blocked for Processing'!I:I,' General Stock Summary View  '!B19,'Blocked for Processing'!C:C,' General Stock Summary View  '!C19)</f>
        <v>0</v>
      </c>
      <c r="F19" s="122">
        <f t="shared" si="0"/>
        <v>12.906666666666666</v>
      </c>
      <c r="G19" s="148">
        <f>SUMIFS('XBS '!T:T,'XBS '!H:H,' General Stock Summary View  '!$G$2,'XBS '!L:L,' General Stock Summary View  '!B19,'XBS '!C:C,' General Stock Summary View  '!C19)</f>
        <v>12.906666666666666</v>
      </c>
      <c r="H19" s="3">
        <f>SUMIFS('PowerApp_Physical count'!H:H,'PowerApp_Physical count'!B:B,' General Stock Summary View  '!$G$2,'PowerApp_Physical count'!C:C,' General Stock Summary View  '!C19,'PowerApp_Physical count'!A:A,' General Stock Summary View  '!B19)</f>
        <v>13.2</v>
      </c>
      <c r="I19" s="154">
        <f t="shared" si="16"/>
        <v>0.293333333333333</v>
      </c>
      <c r="J19" s="11">
        <f>SUMIFS('XBS '!T:T,'XBS '!H:H,' General Stock Summary View  '!$J$2,'XBS '!L:L,' General Stock Summary View  '!B19,'XBS '!C:C,' General Stock Summary View  '!C19)</f>
        <v>0</v>
      </c>
      <c r="K19" s="157">
        <f>SUMIFS('PowerApp_Physical count'!H:H,'PowerApp_Physical count'!B:B,' General Stock Summary View  '!$J$2,'PowerApp_Physical count'!C:C,' General Stock Summary View  '!C19,'PowerApp_Physical count'!A:A,' General Stock Summary View  '!B19)</f>
        <v>0</v>
      </c>
      <c r="L19" s="127">
        <f t="shared" si="15"/>
        <v>0</v>
      </c>
      <c r="M19" s="126">
        <f t="shared" si="2"/>
        <v>12.906666666666666</v>
      </c>
      <c r="N19" s="11">
        <f t="shared" si="3"/>
        <v>13.2</v>
      </c>
      <c r="O19" s="144">
        <f t="shared" si="10"/>
        <v>0.293333333333333</v>
      </c>
      <c r="P19" s="2">
        <f>SUMIFS('XBS '!T:T,'XBS '!H:H,' General Stock Summary View  '!$P$2,'XBS '!L:L,' General Stock Summary View  '!B19,'XBS '!C:C,' General Stock Summary View  '!C19)</f>
        <v>0</v>
      </c>
      <c r="Q19" s="3">
        <f>SUMIFS('PowerApp_Physical count'!H:H,'PowerApp_Physical count'!B:B,' General Stock Summary View  '!$P$2,'PowerApp_Physical count'!C:C,' General Stock Summary View  '!C19,'PowerApp_Physical count'!A:A,' General Stock Summary View  '!B19)</f>
        <v>0</v>
      </c>
      <c r="R19" s="4">
        <f t="shared" si="11"/>
        <v>0</v>
      </c>
      <c r="S19" s="5">
        <f>SUMIFS('XBS '!T:T,'XBS '!L:L,' General Stock Summary View  '!B19,'XBS '!H:H,' General Stock Summary View  '!$S$2,'XBS '!C:C,' General Stock Summary View  '!C19)</f>
        <v>0</v>
      </c>
      <c r="T19" s="3">
        <f>SUMIFS('PowerApp_Physical count'!H:H,'PowerApp_Physical count'!B:B,' General Stock Summary View  '!$S$2,'PowerApp_Physical count'!C:C,' General Stock Summary View  '!C19,'PowerApp_Physical count'!A:A,' General Stock Summary View  '!B19)</f>
        <v>0</v>
      </c>
      <c r="U19" s="4">
        <f t="shared" si="4"/>
        <v>0</v>
      </c>
      <c r="V19" s="2">
        <f>SUMIFS('XBS '!T:T,'XBS '!H:H,' General Stock Summary View  '!$V$2,'XBS '!B:B,' General Stock Summary View  '!C19,'XBS '!L:L,' General Stock Summary View  '!B19)</f>
        <v>0</v>
      </c>
      <c r="W19" s="3">
        <f>SUMIFS('PowerApp_Physical count'!H:H,'PowerApp_Physical count'!B:B,' General Stock Summary View  '!$V$2,'PowerApp_Physical count'!C:C,' General Stock Summary View  '!C19,'PowerApp_Physical count'!A:A,' General Stock Summary View  '!B19)</f>
        <v>0</v>
      </c>
      <c r="X19" s="4">
        <f t="shared" si="12"/>
        <v>0</v>
      </c>
      <c r="Y19" s="5">
        <f>SUMIFS('XBS '!T:T,'XBS '!H:H,' General Stock Summary View  '!$Y$2,'XBS '!B:B,' General Stock Summary View  '!C19,'XBS '!L:L,' General Stock Summary View  '!B19)</f>
        <v>0</v>
      </c>
      <c r="Z19" s="3">
        <f>SUMIFS('PowerApp_Physical count'!H:H,'PowerApp_Physical count'!B:B,' General Stock Summary View  '!$Y$2,'PowerApp_Physical count'!C:C,' General Stock Summary View  '!C19,'PowerApp_Physical count'!A:A,' General Stock Summary View  '!B19)</f>
        <v>0</v>
      </c>
      <c r="AA19" s="4">
        <f t="shared" si="13"/>
        <v>0</v>
      </c>
      <c r="AB19" s="5">
        <f>SUMIFS('XBS '!T:T,'XBS '!H:H,' General Stock Summary View  '!$AB$2,'XBS '!B:B,' General Stock Summary View  '!C19,'XBS '!L:L,' General Stock Summary View  '!B19)</f>
        <v>0</v>
      </c>
      <c r="AC19" s="3">
        <f>SUMIFS('PowerApp_Physical count'!H:H,'PowerApp_Physical count'!B:B,' General Stock Summary View  '!$AB$2,'PowerApp_Physical count'!C:C,' General Stock Summary View  '!C19,'PowerApp_Physical count'!A:A,' General Stock Summary View  '!B19)</f>
        <v>0</v>
      </c>
      <c r="AD19" s="6">
        <f t="shared" si="14"/>
        <v>0</v>
      </c>
      <c r="AE19" s="7">
        <f t="shared" si="8"/>
        <v>13.2</v>
      </c>
      <c r="AF19" s="8">
        <f t="shared" si="9"/>
        <v>0.293333333333333</v>
      </c>
      <c r="AG19" s="112"/>
    </row>
    <row r="20" spans="2:33" s="113" customFormat="1" ht="61.15">
      <c r="B20" s="117" t="s">
        <v>52</v>
      </c>
      <c r="C20" s="111" t="s">
        <v>36</v>
      </c>
      <c r="D20" s="11">
        <f>SUMIFS('XBS '!T:T,'XBS '!C:C,' General Stock Summary View  '!C20,'XBS '!L:L,' General Stock Summary View  '!B20)</f>
        <v>15.243333333333334</v>
      </c>
      <c r="E20" s="2">
        <f>SUMIFS('Blocked for Processing'!P:P,'Blocked for Processing'!I:I,' General Stock Summary View  '!B20,'Blocked for Processing'!C:C,' General Stock Summary View  '!C20)</f>
        <v>0</v>
      </c>
      <c r="F20" s="122">
        <f t="shared" si="0"/>
        <v>15.243333333333334</v>
      </c>
      <c r="G20" s="148">
        <f>SUMIFS('XBS '!T:T,'XBS '!H:H,' General Stock Summary View  '!$G$2,'XBS '!L:L,' General Stock Summary View  '!B20,'XBS '!C:C,' General Stock Summary View  '!C20)</f>
        <v>15.243333333333334</v>
      </c>
      <c r="H20" s="3">
        <f>SUMIFS('PowerApp_Physical count'!H:H,'PowerApp_Physical count'!B:B,' General Stock Summary View  '!$G$2,'PowerApp_Physical count'!C:C,' General Stock Summary View  '!C20,'PowerApp_Physical count'!A:A,' General Stock Summary View  '!B20)</f>
        <v>15.283333333333333</v>
      </c>
      <c r="I20" s="154">
        <f t="shared" si="16"/>
        <v>3.9999999999999147E-2</v>
      </c>
      <c r="J20" s="11">
        <f>SUMIFS('XBS '!T:T,'XBS '!H:H,' General Stock Summary View  '!$J$2,'XBS '!L:L,' General Stock Summary View  '!B20,'XBS '!C:C,' General Stock Summary View  '!C20)</f>
        <v>0</v>
      </c>
      <c r="K20" s="157">
        <f>SUMIFS('PowerApp_Physical count'!H:H,'PowerApp_Physical count'!B:B,' General Stock Summary View  '!$J$2,'PowerApp_Physical count'!C:C,' General Stock Summary View  '!C20,'PowerApp_Physical count'!A:A,' General Stock Summary View  '!B20)</f>
        <v>0</v>
      </c>
      <c r="L20" s="127">
        <f t="shared" si="15"/>
        <v>0</v>
      </c>
      <c r="M20" s="126">
        <f t="shared" si="2"/>
        <v>15.243333333333334</v>
      </c>
      <c r="N20" s="11">
        <f t="shared" si="3"/>
        <v>15.283333333333333</v>
      </c>
      <c r="O20" s="144">
        <f t="shared" si="10"/>
        <v>3.9999999999999147E-2</v>
      </c>
      <c r="P20" s="2">
        <f>SUMIFS('XBS '!T:T,'XBS '!H:H,' General Stock Summary View  '!$P$2,'XBS '!L:L,' General Stock Summary View  '!B20,'XBS '!C:C,' General Stock Summary View  '!C20)</f>
        <v>0</v>
      </c>
      <c r="Q20" s="3">
        <f>SUMIFS('PowerApp_Physical count'!H:H,'PowerApp_Physical count'!B:B,' General Stock Summary View  '!$P$2,'PowerApp_Physical count'!C:C,' General Stock Summary View  '!C20,'PowerApp_Physical count'!A:A,' General Stock Summary View  '!B20)</f>
        <v>0</v>
      </c>
      <c r="R20" s="4">
        <f t="shared" si="11"/>
        <v>0</v>
      </c>
      <c r="S20" s="5">
        <f>SUMIFS('XBS '!T:T,'XBS '!L:L,' General Stock Summary View  '!B20,'XBS '!H:H,' General Stock Summary View  '!$S$2,'XBS '!C:C,' General Stock Summary View  '!C20)</f>
        <v>0</v>
      </c>
      <c r="T20" s="3">
        <f>SUMIFS('PowerApp_Physical count'!H:H,'PowerApp_Physical count'!B:B,' General Stock Summary View  '!$S$2,'PowerApp_Physical count'!C:C,' General Stock Summary View  '!C20,'PowerApp_Physical count'!A:A,' General Stock Summary View  '!B20)</f>
        <v>0</v>
      </c>
      <c r="U20" s="4">
        <f t="shared" si="4"/>
        <v>0</v>
      </c>
      <c r="V20" s="2">
        <f>SUMIFS('XBS '!T:T,'XBS '!H:H,' General Stock Summary View  '!$V$2,'XBS '!B:B,' General Stock Summary View  '!C20,'XBS '!L:L,' General Stock Summary View  '!B20)</f>
        <v>0</v>
      </c>
      <c r="W20" s="3">
        <f>SUMIFS('PowerApp_Physical count'!H:H,'PowerApp_Physical count'!B:B,' General Stock Summary View  '!$V$2,'PowerApp_Physical count'!C:C,' General Stock Summary View  '!C20,'PowerApp_Physical count'!A:A,' General Stock Summary View  '!B20)</f>
        <v>0</v>
      </c>
      <c r="X20" s="4">
        <f t="shared" si="12"/>
        <v>0</v>
      </c>
      <c r="Y20" s="5">
        <f>SUMIFS('XBS '!T:T,'XBS '!H:H,' General Stock Summary View  '!$Y$2,'XBS '!B:B,' General Stock Summary View  '!C20,'XBS '!L:L,' General Stock Summary View  '!B20)</f>
        <v>0</v>
      </c>
      <c r="Z20" s="3">
        <f>SUMIFS('PowerApp_Physical count'!H:H,'PowerApp_Physical count'!B:B,' General Stock Summary View  '!$Y$2,'PowerApp_Physical count'!C:C,' General Stock Summary View  '!C20,'PowerApp_Physical count'!A:A,' General Stock Summary View  '!B20)</f>
        <v>0</v>
      </c>
      <c r="AA20" s="4">
        <f t="shared" si="13"/>
        <v>0</v>
      </c>
      <c r="AB20" s="5">
        <f>SUMIFS('XBS '!T:T,'XBS '!H:H,' General Stock Summary View  '!$AB$2,'XBS '!B:B,' General Stock Summary View  '!C20,'XBS '!L:L,' General Stock Summary View  '!B20)</f>
        <v>0</v>
      </c>
      <c r="AC20" s="3">
        <f>SUMIFS('PowerApp_Physical count'!H:H,'PowerApp_Physical count'!B:B,' General Stock Summary View  '!$AB$2,'PowerApp_Physical count'!C:C,' General Stock Summary View  '!C20,'PowerApp_Physical count'!A:A,' General Stock Summary View  '!B20)</f>
        <v>0</v>
      </c>
      <c r="AD20" s="6">
        <f t="shared" si="14"/>
        <v>0</v>
      </c>
      <c r="AE20" s="7">
        <f t="shared" si="8"/>
        <v>15.283333333333333</v>
      </c>
      <c r="AF20" s="8">
        <f t="shared" si="9"/>
        <v>3.9999999999999147E-2</v>
      </c>
      <c r="AG20" s="112"/>
    </row>
    <row r="21" spans="2:33" s="113" customFormat="1" ht="61.15">
      <c r="B21" s="117" t="s">
        <v>53</v>
      </c>
      <c r="C21" s="111" t="s">
        <v>36</v>
      </c>
      <c r="D21" s="11">
        <f>SUMIFS('XBS '!T:T,'XBS '!C:C,' General Stock Summary View  '!C21,'XBS '!L:L,' General Stock Summary View  '!B21)</f>
        <v>26.616666666666667</v>
      </c>
      <c r="E21" s="2">
        <f>SUMIFS('Blocked for Processing'!P:P,'Blocked for Processing'!I:I,' General Stock Summary View  '!B21,'Blocked for Processing'!C:C,' General Stock Summary View  '!C21)</f>
        <v>0</v>
      </c>
      <c r="F21" s="122">
        <f t="shared" si="0"/>
        <v>26.616666666666667</v>
      </c>
      <c r="G21" s="148">
        <f>SUMIFS('XBS '!T:T,'XBS '!H:H,' General Stock Summary View  '!$G$2,'XBS '!L:L,' General Stock Summary View  '!B21,'XBS '!C:C,' General Stock Summary View  '!C21)</f>
        <v>0</v>
      </c>
      <c r="H21" s="3">
        <f>SUMIFS('PowerApp_Physical count'!H:H,'PowerApp_Physical count'!B:B,' General Stock Summary View  '!$G$2,'PowerApp_Physical count'!C:C,' General Stock Summary View  '!C21,'PowerApp_Physical count'!A:A,' General Stock Summary View  '!B21)</f>
        <v>0</v>
      </c>
      <c r="I21" s="154">
        <f t="shared" si="16"/>
        <v>0</v>
      </c>
      <c r="J21" s="11">
        <f>SUMIFS('XBS '!T:T,'XBS '!H:H,' General Stock Summary View  '!$J$2,'XBS '!L:L,' General Stock Summary View  '!B21,'XBS '!C:C,' General Stock Summary View  '!C21)</f>
        <v>0</v>
      </c>
      <c r="K21" s="157">
        <f>SUMIFS('PowerApp_Physical count'!H:H,'PowerApp_Physical count'!B:B,' General Stock Summary View  '!$J$2,'PowerApp_Physical count'!C:C,' General Stock Summary View  '!C21,'PowerApp_Physical count'!A:A,' General Stock Summary View  '!B21)</f>
        <v>0</v>
      </c>
      <c r="L21" s="127">
        <f t="shared" si="15"/>
        <v>0</v>
      </c>
      <c r="M21" s="126">
        <f t="shared" si="2"/>
        <v>0</v>
      </c>
      <c r="N21" s="11">
        <f t="shared" si="3"/>
        <v>0</v>
      </c>
      <c r="O21" s="144">
        <f t="shared" si="10"/>
        <v>0</v>
      </c>
      <c r="P21" s="2">
        <f>SUMIFS('XBS '!T:T,'XBS '!H:H,' General Stock Summary View  '!$P$2,'XBS '!L:L,' General Stock Summary View  '!B21,'XBS '!C:C,' General Stock Summary View  '!C21)</f>
        <v>0</v>
      </c>
      <c r="Q21" s="3">
        <f>SUMIFS('PowerApp_Physical count'!H:H,'PowerApp_Physical count'!B:B,' General Stock Summary View  '!$P$2,'PowerApp_Physical count'!C:C,' General Stock Summary View  '!C21,'PowerApp_Physical count'!A:A,' General Stock Summary View  '!B21)</f>
        <v>0</v>
      </c>
      <c r="R21" s="4">
        <f t="shared" si="11"/>
        <v>0</v>
      </c>
      <c r="S21" s="5">
        <f>SUMIFS('XBS '!T:T,'XBS '!L:L,' General Stock Summary View  '!B21,'XBS '!H:H,' General Stock Summary View  '!$S$2,'XBS '!C:C,' General Stock Summary View  '!C21)</f>
        <v>26.616666666666667</v>
      </c>
      <c r="T21" s="3">
        <f>SUMIFS('PowerApp_Physical count'!H:H,'PowerApp_Physical count'!B:B,' General Stock Summary View  '!$S$2,'PowerApp_Physical count'!C:C,' General Stock Summary View  '!C21,'PowerApp_Physical count'!A:A,' General Stock Summary View  '!B21)</f>
        <v>0</v>
      </c>
      <c r="U21" s="4">
        <f t="shared" si="4"/>
        <v>-26.616666666666667</v>
      </c>
      <c r="V21" s="2">
        <f>SUMIFS('XBS '!T:T,'XBS '!H:H,' General Stock Summary View  '!$V$2,'XBS '!B:B,' General Stock Summary View  '!C21,'XBS '!L:L,' General Stock Summary View  '!B21)</f>
        <v>0</v>
      </c>
      <c r="W21" s="3">
        <f>SUMIFS('PowerApp_Physical count'!H:H,'PowerApp_Physical count'!B:B,' General Stock Summary View  '!$V$2,'PowerApp_Physical count'!C:C,' General Stock Summary View  '!C21,'PowerApp_Physical count'!A:A,' General Stock Summary View  '!B21)</f>
        <v>0</v>
      </c>
      <c r="X21" s="4">
        <f t="shared" si="12"/>
        <v>0</v>
      </c>
      <c r="Y21" s="5">
        <f>SUMIFS('XBS '!T:T,'XBS '!H:H,' General Stock Summary View  '!$Y$2,'XBS '!B:B,' General Stock Summary View  '!C21,'XBS '!L:L,' General Stock Summary View  '!B21)</f>
        <v>0</v>
      </c>
      <c r="Z21" s="3">
        <f>SUMIFS('PowerApp_Physical count'!H:H,'PowerApp_Physical count'!B:B,' General Stock Summary View  '!$Y$2,'PowerApp_Physical count'!C:C,' General Stock Summary View  '!C21,'PowerApp_Physical count'!A:A,' General Stock Summary View  '!B21)</f>
        <v>0</v>
      </c>
      <c r="AA21" s="4">
        <f t="shared" si="13"/>
        <v>0</v>
      </c>
      <c r="AB21" s="5">
        <f>SUMIFS('XBS '!T:T,'XBS '!H:H,' General Stock Summary View  '!$AB$2,'XBS '!B:B,' General Stock Summary View  '!C21,'XBS '!L:L,' General Stock Summary View  '!B21)</f>
        <v>0</v>
      </c>
      <c r="AC21" s="3">
        <f>SUMIFS('PowerApp_Physical count'!H:H,'PowerApp_Physical count'!B:B,' General Stock Summary View  '!$AB$2,'PowerApp_Physical count'!C:C,' General Stock Summary View  '!C21,'PowerApp_Physical count'!A:A,' General Stock Summary View  '!B21)</f>
        <v>0</v>
      </c>
      <c r="AD21" s="6">
        <f t="shared" si="14"/>
        <v>0</v>
      </c>
      <c r="AE21" s="7">
        <f t="shared" si="8"/>
        <v>0</v>
      </c>
      <c r="AF21" s="8">
        <f t="shared" si="9"/>
        <v>-26.616666666666667</v>
      </c>
      <c r="AG21" s="112"/>
    </row>
    <row r="22" spans="2:33" s="113" customFormat="1" ht="61.15">
      <c r="B22" s="117" t="s">
        <v>54</v>
      </c>
      <c r="C22" s="111" t="s">
        <v>36</v>
      </c>
      <c r="D22" s="11">
        <f>SUMIFS('XBS '!T:T,'XBS '!C:C,' General Stock Summary View  '!C22,'XBS '!L:L,' General Stock Summary View  '!B22)</f>
        <v>0.95</v>
      </c>
      <c r="E22" s="2">
        <f>SUMIFS('Blocked for Processing'!P:P,'Blocked for Processing'!I:I,' General Stock Summary View  '!B22,'Blocked for Processing'!C:C,' General Stock Summary View  '!C22)</f>
        <v>0</v>
      </c>
      <c r="F22" s="122">
        <f t="shared" si="0"/>
        <v>0.95</v>
      </c>
      <c r="G22" s="148">
        <f>SUMIFS('XBS '!T:T,'XBS '!H:H,' General Stock Summary View  '!$G$2,'XBS '!L:L,' General Stock Summary View  '!B22,'XBS '!C:C,' General Stock Summary View  '!C22)</f>
        <v>0</v>
      </c>
      <c r="H22" s="3">
        <f>SUMIFS('PowerApp_Physical count'!H:H,'PowerApp_Physical count'!B:B,' General Stock Summary View  '!$G$2,'PowerApp_Physical count'!C:C,' General Stock Summary View  '!C22,'PowerApp_Physical count'!A:A,' General Stock Summary View  '!B22)</f>
        <v>0</v>
      </c>
      <c r="I22" s="154">
        <f t="shared" si="16"/>
        <v>0</v>
      </c>
      <c r="J22" s="11">
        <f>SUMIFS('XBS '!T:T,'XBS '!H:H,' General Stock Summary View  '!$J$2,'XBS '!L:L,' General Stock Summary View  '!B22,'XBS '!C:C,' General Stock Summary View  '!C22)</f>
        <v>0</v>
      </c>
      <c r="K22" s="157">
        <f>SUMIFS('PowerApp_Physical count'!H:H,'PowerApp_Physical count'!B:B,' General Stock Summary View  '!$J$2,'PowerApp_Physical count'!C:C,' General Stock Summary View  '!C22,'PowerApp_Physical count'!A:A,' General Stock Summary View  '!B22)</f>
        <v>0</v>
      </c>
      <c r="L22" s="127">
        <f t="shared" si="15"/>
        <v>0</v>
      </c>
      <c r="M22" s="126">
        <f t="shared" si="2"/>
        <v>0</v>
      </c>
      <c r="N22" s="11">
        <f t="shared" si="3"/>
        <v>0</v>
      </c>
      <c r="O22" s="144">
        <f t="shared" si="10"/>
        <v>0</v>
      </c>
      <c r="P22" s="2">
        <f>SUMIFS('XBS '!T:T,'XBS '!H:H,' General Stock Summary View  '!$P$2,'XBS '!L:L,' General Stock Summary View  '!B22,'XBS '!C:C,' General Stock Summary View  '!C22)</f>
        <v>0.95</v>
      </c>
      <c r="Q22" s="3">
        <f>SUMIFS('PowerApp_Physical count'!H:H,'PowerApp_Physical count'!B:B,' General Stock Summary View  '!$P$2,'PowerApp_Physical count'!C:C,' General Stock Summary View  '!C22,'PowerApp_Physical count'!A:A,' General Stock Summary View  '!B22)</f>
        <v>0</v>
      </c>
      <c r="R22" s="4">
        <f t="shared" si="11"/>
        <v>-0.95</v>
      </c>
      <c r="S22" s="5">
        <f>SUMIFS('XBS '!T:T,'XBS '!L:L,' General Stock Summary View  '!B22,'XBS '!H:H,' General Stock Summary View  '!$S$2,'XBS '!C:C,' General Stock Summary View  '!C22)</f>
        <v>0</v>
      </c>
      <c r="T22" s="3">
        <f>SUMIFS('PowerApp_Physical count'!H:H,'PowerApp_Physical count'!B:B,' General Stock Summary View  '!$S$2,'PowerApp_Physical count'!C:C,' General Stock Summary View  '!C22,'PowerApp_Physical count'!A:A,' General Stock Summary View  '!B22)</f>
        <v>0</v>
      </c>
      <c r="U22" s="4">
        <f t="shared" si="4"/>
        <v>0</v>
      </c>
      <c r="V22" s="2">
        <f>SUMIFS('XBS '!T:T,'XBS '!H:H,' General Stock Summary View  '!$V$2,'XBS '!B:B,' General Stock Summary View  '!C22,'XBS '!L:L,' General Stock Summary View  '!B22)</f>
        <v>0</v>
      </c>
      <c r="W22" s="3">
        <f>SUMIFS('PowerApp_Physical count'!H:H,'PowerApp_Physical count'!B:B,' General Stock Summary View  '!$V$2,'PowerApp_Physical count'!C:C,' General Stock Summary View  '!C22,'PowerApp_Physical count'!A:A,' General Stock Summary View  '!B22)</f>
        <v>0</v>
      </c>
      <c r="X22" s="4">
        <f t="shared" si="12"/>
        <v>0</v>
      </c>
      <c r="Y22" s="5">
        <f>SUMIFS('XBS '!T:T,'XBS '!H:H,' General Stock Summary View  '!$Y$2,'XBS '!B:B,' General Stock Summary View  '!C22,'XBS '!L:L,' General Stock Summary View  '!B22)</f>
        <v>0</v>
      </c>
      <c r="Z22" s="3">
        <f>SUMIFS('PowerApp_Physical count'!H:H,'PowerApp_Physical count'!B:B,' General Stock Summary View  '!$Y$2,'PowerApp_Physical count'!C:C,' General Stock Summary View  '!C22,'PowerApp_Physical count'!A:A,' General Stock Summary View  '!B22)</f>
        <v>0</v>
      </c>
      <c r="AA22" s="4">
        <f t="shared" si="13"/>
        <v>0</v>
      </c>
      <c r="AB22" s="5">
        <f>SUMIFS('XBS '!T:T,'XBS '!H:H,' General Stock Summary View  '!$AB$2,'XBS '!B:B,' General Stock Summary View  '!C22,'XBS '!L:L,' General Stock Summary View  '!B22)</f>
        <v>0</v>
      </c>
      <c r="AC22" s="3">
        <f>SUMIFS('PowerApp_Physical count'!H:H,'PowerApp_Physical count'!B:B,' General Stock Summary View  '!$AB$2,'PowerApp_Physical count'!C:C,' General Stock Summary View  '!C22,'PowerApp_Physical count'!A:A,' General Stock Summary View  '!B22)</f>
        <v>0</v>
      </c>
      <c r="AD22" s="6">
        <f t="shared" si="14"/>
        <v>0</v>
      </c>
      <c r="AE22" s="7">
        <f t="shared" si="8"/>
        <v>0</v>
      </c>
      <c r="AF22" s="8">
        <f t="shared" si="9"/>
        <v>-0.95</v>
      </c>
      <c r="AG22" s="112"/>
    </row>
    <row r="23" spans="2:33" s="113" customFormat="1" ht="61.15">
      <c r="B23" s="117" t="s">
        <v>55</v>
      </c>
      <c r="C23" s="111" t="s">
        <v>36</v>
      </c>
      <c r="D23" s="11">
        <f>SUMIFS('XBS '!T:T,'XBS '!C:C,' General Stock Summary View  '!C23,'XBS '!L:L,' General Stock Summary View  '!B23)</f>
        <v>55</v>
      </c>
      <c r="E23" s="2">
        <f>SUMIFS('Blocked for Processing'!P:P,'Blocked for Processing'!I:I,' General Stock Summary View  '!B23,'Blocked for Processing'!C:C,' General Stock Summary View  '!C23)</f>
        <v>0</v>
      </c>
      <c r="F23" s="122">
        <f t="shared" si="0"/>
        <v>55</v>
      </c>
      <c r="G23" s="148">
        <f>SUMIFS('XBS '!T:T,'XBS '!H:H,' General Stock Summary View  '!$G$2,'XBS '!L:L,' General Stock Summary View  '!B23,'XBS '!C:C,' General Stock Summary View  '!C23)</f>
        <v>0</v>
      </c>
      <c r="H23" s="3">
        <f>SUMIFS('PowerApp_Physical count'!H:H,'PowerApp_Physical count'!B:B,' General Stock Summary View  '!$G$2,'PowerApp_Physical count'!C:C,' General Stock Summary View  '!C23,'PowerApp_Physical count'!A:A,' General Stock Summary View  '!B23)</f>
        <v>0</v>
      </c>
      <c r="I23" s="154">
        <f t="shared" si="16"/>
        <v>0</v>
      </c>
      <c r="J23" s="11">
        <f>SUMIFS('XBS '!T:T,'XBS '!H:H,' General Stock Summary View  '!$J$2,'XBS '!L:L,' General Stock Summary View  '!B23,'XBS '!C:C,' General Stock Summary View  '!C23)</f>
        <v>0</v>
      </c>
      <c r="K23" s="157">
        <f>SUMIFS('PowerApp_Physical count'!H:H,'PowerApp_Physical count'!B:B,' General Stock Summary View  '!$J$2,'PowerApp_Physical count'!C:C,' General Stock Summary View  '!C23,'PowerApp_Physical count'!A:A,' General Stock Summary View  '!B23)</f>
        <v>0</v>
      </c>
      <c r="L23" s="127">
        <f t="shared" si="15"/>
        <v>0</v>
      </c>
      <c r="M23" s="126">
        <f t="shared" si="2"/>
        <v>0</v>
      </c>
      <c r="N23" s="11">
        <f t="shared" si="3"/>
        <v>0</v>
      </c>
      <c r="O23" s="144">
        <f t="shared" si="10"/>
        <v>0</v>
      </c>
      <c r="P23" s="2">
        <f>SUMIFS('XBS '!T:T,'XBS '!H:H,' General Stock Summary View  '!$P$2,'XBS '!L:L,' General Stock Summary View  '!B23,'XBS '!C:C,' General Stock Summary View  '!C23)</f>
        <v>55</v>
      </c>
      <c r="Q23" s="3">
        <f>SUMIFS('PowerApp_Physical count'!H:H,'PowerApp_Physical count'!B:B,' General Stock Summary View  '!$P$2,'PowerApp_Physical count'!C:C,' General Stock Summary View  '!C23,'PowerApp_Physical count'!A:A,' General Stock Summary View  '!B23)</f>
        <v>0</v>
      </c>
      <c r="R23" s="4">
        <f t="shared" si="11"/>
        <v>-55</v>
      </c>
      <c r="S23" s="5">
        <f>SUMIFS('XBS '!T:T,'XBS '!L:L,' General Stock Summary View  '!B23,'XBS '!H:H,' General Stock Summary View  '!$S$2,'XBS '!C:C,' General Stock Summary View  '!C23)</f>
        <v>0</v>
      </c>
      <c r="T23" s="3">
        <f>SUMIFS('PowerApp_Physical count'!H:H,'PowerApp_Physical count'!B:B,' General Stock Summary View  '!$S$2,'PowerApp_Physical count'!C:C,' General Stock Summary View  '!C23,'PowerApp_Physical count'!A:A,' General Stock Summary View  '!B23)</f>
        <v>0</v>
      </c>
      <c r="U23" s="4">
        <f t="shared" si="4"/>
        <v>0</v>
      </c>
      <c r="V23" s="2">
        <f>SUMIFS('XBS '!T:T,'XBS '!H:H,' General Stock Summary View  '!$V$2,'XBS '!B:B,' General Stock Summary View  '!C23,'XBS '!L:L,' General Stock Summary View  '!B23)</f>
        <v>0</v>
      </c>
      <c r="W23" s="3">
        <f>SUMIFS('PowerApp_Physical count'!H:H,'PowerApp_Physical count'!B:B,' General Stock Summary View  '!$V$2,'PowerApp_Physical count'!C:C,' General Stock Summary View  '!C23,'PowerApp_Physical count'!A:A,' General Stock Summary View  '!B23)</f>
        <v>0</v>
      </c>
      <c r="X23" s="4">
        <f t="shared" si="12"/>
        <v>0</v>
      </c>
      <c r="Y23" s="5">
        <f>SUMIFS('XBS '!T:T,'XBS '!H:H,' General Stock Summary View  '!$Y$2,'XBS '!B:B,' General Stock Summary View  '!C23,'XBS '!L:L,' General Stock Summary View  '!B23)</f>
        <v>0</v>
      </c>
      <c r="Z23" s="3">
        <f>SUMIFS('PowerApp_Physical count'!H:H,'PowerApp_Physical count'!B:B,' General Stock Summary View  '!$Y$2,'PowerApp_Physical count'!C:C,' General Stock Summary View  '!C23,'PowerApp_Physical count'!A:A,' General Stock Summary View  '!B23)</f>
        <v>0</v>
      </c>
      <c r="AA23" s="4">
        <f t="shared" si="13"/>
        <v>0</v>
      </c>
      <c r="AB23" s="5">
        <f>SUMIFS('XBS '!T:T,'XBS '!H:H,' General Stock Summary View  '!$AB$2,'XBS '!B:B,' General Stock Summary View  '!C23,'XBS '!L:L,' General Stock Summary View  '!B23)</f>
        <v>0</v>
      </c>
      <c r="AC23" s="3">
        <f>SUMIFS('PowerApp_Physical count'!H:H,'PowerApp_Physical count'!B:B,' General Stock Summary View  '!$AB$2,'PowerApp_Physical count'!C:C,' General Stock Summary View  '!C23,'PowerApp_Physical count'!A:A,' General Stock Summary View  '!B23)</f>
        <v>0</v>
      </c>
      <c r="AD23" s="6">
        <f t="shared" si="14"/>
        <v>0</v>
      </c>
      <c r="AE23" s="7">
        <f t="shared" si="8"/>
        <v>0</v>
      </c>
      <c r="AF23" s="8">
        <f t="shared" si="9"/>
        <v>-55</v>
      </c>
      <c r="AG23" s="112"/>
    </row>
    <row r="24" spans="2:33" s="113" customFormat="1" ht="61.15">
      <c r="B24" s="117" t="s">
        <v>56</v>
      </c>
      <c r="C24" s="111" t="s">
        <v>36</v>
      </c>
      <c r="D24" s="11">
        <f>SUMIFS('XBS '!T:T,'XBS '!C:C,' General Stock Summary View  '!C24,'XBS '!L:L,' General Stock Summary View  '!B24)</f>
        <v>14.791666666666666</v>
      </c>
      <c r="E24" s="2">
        <f>SUMIFS('Blocked for Processing'!P:P,'Blocked for Processing'!I:I,' General Stock Summary View  '!B24,'Blocked for Processing'!C:C,' General Stock Summary View  '!C24)</f>
        <v>0</v>
      </c>
      <c r="F24" s="122">
        <f t="shared" si="0"/>
        <v>14.791666666666666</v>
      </c>
      <c r="G24" s="148">
        <f>SUMIFS('XBS '!T:T,'XBS '!H:H,' General Stock Summary View  '!$G$2,'XBS '!L:L,' General Stock Summary View  '!B24,'XBS '!C:C,' General Stock Summary View  '!C24)</f>
        <v>14.791666666666666</v>
      </c>
      <c r="H24" s="3">
        <f>SUMIFS('PowerApp_Physical count'!H:H,'PowerApp_Physical count'!B:B,' General Stock Summary View  '!$G$2,'PowerApp_Physical count'!C:C,' General Stock Summary View  '!C24,'PowerApp_Physical count'!A:A,' General Stock Summary View  '!B24)</f>
        <v>15</v>
      </c>
      <c r="I24" s="154">
        <f t="shared" si="16"/>
        <v>0.20833333333333393</v>
      </c>
      <c r="J24" s="11">
        <f>SUMIFS('XBS '!T:T,'XBS '!H:H,' General Stock Summary View  '!$J$2,'XBS '!L:L,' General Stock Summary View  '!B24,'XBS '!C:C,' General Stock Summary View  '!C24)</f>
        <v>0</v>
      </c>
      <c r="K24" s="157">
        <f>SUMIFS('PowerApp_Physical count'!H:H,'PowerApp_Physical count'!B:B,' General Stock Summary View  '!$J$2,'PowerApp_Physical count'!C:C,' General Stock Summary View  '!C24,'PowerApp_Physical count'!A:A,' General Stock Summary View  '!B24)</f>
        <v>0</v>
      </c>
      <c r="L24" s="127">
        <f t="shared" si="15"/>
        <v>0</v>
      </c>
      <c r="M24" s="126">
        <f t="shared" si="2"/>
        <v>14.791666666666666</v>
      </c>
      <c r="N24" s="11">
        <f t="shared" si="3"/>
        <v>15</v>
      </c>
      <c r="O24" s="144">
        <f t="shared" si="10"/>
        <v>0.20833333333333393</v>
      </c>
      <c r="P24" s="2">
        <f>SUMIFS('XBS '!T:T,'XBS '!H:H,' General Stock Summary View  '!$P$2,'XBS '!L:L,' General Stock Summary View  '!B24,'XBS '!C:C,' General Stock Summary View  '!C24)</f>
        <v>0</v>
      </c>
      <c r="Q24" s="3">
        <f>SUMIFS('PowerApp_Physical count'!H:H,'PowerApp_Physical count'!B:B,' General Stock Summary View  '!$P$2,'PowerApp_Physical count'!C:C,' General Stock Summary View  '!C24,'PowerApp_Physical count'!A:A,' General Stock Summary View  '!B24)</f>
        <v>0</v>
      </c>
      <c r="R24" s="4">
        <f t="shared" si="11"/>
        <v>0</v>
      </c>
      <c r="S24" s="5">
        <f>SUMIFS('XBS '!T:T,'XBS '!L:L,' General Stock Summary View  '!B24,'XBS '!H:H,' General Stock Summary View  '!$S$2,'XBS '!C:C,' General Stock Summary View  '!C24)</f>
        <v>0</v>
      </c>
      <c r="T24" s="3">
        <f>SUMIFS('PowerApp_Physical count'!H:H,'PowerApp_Physical count'!B:B,' General Stock Summary View  '!$S$2,'PowerApp_Physical count'!C:C,' General Stock Summary View  '!C24,'PowerApp_Physical count'!A:A,' General Stock Summary View  '!B24)</f>
        <v>0</v>
      </c>
      <c r="U24" s="4">
        <f t="shared" si="4"/>
        <v>0</v>
      </c>
      <c r="V24" s="2">
        <f>SUMIFS('XBS '!T:T,'XBS '!H:H,' General Stock Summary View  '!$V$2,'XBS '!B:B,' General Stock Summary View  '!C24,'XBS '!L:L,' General Stock Summary View  '!B24)</f>
        <v>0</v>
      </c>
      <c r="W24" s="3">
        <f>SUMIFS('PowerApp_Physical count'!H:H,'PowerApp_Physical count'!B:B,' General Stock Summary View  '!$V$2,'PowerApp_Physical count'!C:C,' General Stock Summary View  '!C24,'PowerApp_Physical count'!A:A,' General Stock Summary View  '!B24)</f>
        <v>0</v>
      </c>
      <c r="X24" s="4">
        <f t="shared" si="12"/>
        <v>0</v>
      </c>
      <c r="Y24" s="5">
        <f>SUMIFS('XBS '!T:T,'XBS '!H:H,' General Stock Summary View  '!$Y$2,'XBS '!B:B,' General Stock Summary View  '!C24,'XBS '!L:L,' General Stock Summary View  '!B24)</f>
        <v>0</v>
      </c>
      <c r="Z24" s="3">
        <f>SUMIFS('PowerApp_Physical count'!H:H,'PowerApp_Physical count'!B:B,' General Stock Summary View  '!$Y$2,'PowerApp_Physical count'!C:C,' General Stock Summary View  '!C24,'PowerApp_Physical count'!A:A,' General Stock Summary View  '!B24)</f>
        <v>0</v>
      </c>
      <c r="AA24" s="4">
        <f t="shared" si="13"/>
        <v>0</v>
      </c>
      <c r="AB24" s="5">
        <f>SUMIFS('XBS '!T:T,'XBS '!H:H,' General Stock Summary View  '!$AB$2,'XBS '!B:B,' General Stock Summary View  '!C24,'XBS '!L:L,' General Stock Summary View  '!B24)</f>
        <v>0</v>
      </c>
      <c r="AC24" s="3">
        <f>SUMIFS('PowerApp_Physical count'!H:H,'PowerApp_Physical count'!B:B,' General Stock Summary View  '!$AB$2,'PowerApp_Physical count'!C:C,' General Stock Summary View  '!C24,'PowerApp_Physical count'!A:A,' General Stock Summary View  '!B24)</f>
        <v>0</v>
      </c>
      <c r="AD24" s="6">
        <f t="shared" si="14"/>
        <v>0</v>
      </c>
      <c r="AE24" s="7">
        <f t="shared" si="8"/>
        <v>15</v>
      </c>
      <c r="AF24" s="8">
        <f t="shared" si="9"/>
        <v>0.20833333333333393</v>
      </c>
      <c r="AG24" s="112"/>
    </row>
    <row r="25" spans="2:33" s="113" customFormat="1" ht="61.15">
      <c r="B25" s="117" t="s">
        <v>57</v>
      </c>
      <c r="C25" s="111" t="s">
        <v>58</v>
      </c>
      <c r="D25" s="11">
        <f>SUMIFS('XBS '!T:T,'XBS '!C:C,' General Stock Summary View  '!C25,'XBS '!L:L,' General Stock Summary View  '!B25)</f>
        <v>0.11666666666666667</v>
      </c>
      <c r="E25" s="2">
        <f>SUMIFS('Blocked for Processing'!P:P,'Blocked for Processing'!I:I,' General Stock Summary View  '!B25,'Blocked for Processing'!C:C,' General Stock Summary View  '!C25)</f>
        <v>0</v>
      </c>
      <c r="F25" s="122">
        <f t="shared" si="0"/>
        <v>0.11666666666666667</v>
      </c>
      <c r="G25" s="148">
        <f>SUMIFS('XBS '!T:T,'XBS '!H:H,' General Stock Summary View  '!$G$2,'XBS '!L:L,' General Stock Summary View  '!B25,'XBS '!C:C,' General Stock Summary View  '!C25)</f>
        <v>0</v>
      </c>
      <c r="H25" s="3">
        <f>SUMIFS('PowerApp_Physical count'!H:H,'PowerApp_Physical count'!B:B,' General Stock Summary View  '!$G$2,'PowerApp_Physical count'!C:C,' General Stock Summary View  '!C25,'PowerApp_Physical count'!A:A,' General Stock Summary View  '!B25)</f>
        <v>0</v>
      </c>
      <c r="I25" s="154">
        <f t="shared" si="16"/>
        <v>0</v>
      </c>
      <c r="J25" s="11">
        <f>SUMIFS('XBS '!T:T,'XBS '!H:H,' General Stock Summary View  '!$J$2,'XBS '!L:L,' General Stock Summary View  '!B25,'XBS '!C:C,' General Stock Summary View  '!C25)</f>
        <v>0</v>
      </c>
      <c r="K25" s="157">
        <f>SUMIFS('PowerApp_Physical count'!H:H,'PowerApp_Physical count'!B:B,' General Stock Summary View  '!$J$2,'PowerApp_Physical count'!C:C,' General Stock Summary View  '!C25,'PowerApp_Physical count'!A:A,' General Stock Summary View  '!B25)</f>
        <v>0</v>
      </c>
      <c r="L25" s="127">
        <f t="shared" si="15"/>
        <v>0</v>
      </c>
      <c r="M25" s="126">
        <f t="shared" si="2"/>
        <v>0</v>
      </c>
      <c r="N25" s="11">
        <f t="shared" si="3"/>
        <v>0</v>
      </c>
      <c r="O25" s="144">
        <f t="shared" si="10"/>
        <v>0</v>
      </c>
      <c r="P25" s="2">
        <f>SUMIFS('XBS '!T:T,'XBS '!H:H,' General Stock Summary View  '!$P$2,'XBS '!L:L,' General Stock Summary View  '!B25,'XBS '!C:C,' General Stock Summary View  '!C25)</f>
        <v>0.11666666666666667</v>
      </c>
      <c r="Q25" s="3">
        <f>SUMIFS('PowerApp_Physical count'!H:H,'PowerApp_Physical count'!B:B,' General Stock Summary View  '!$P$2,'PowerApp_Physical count'!C:C,' General Stock Summary View  '!C25,'PowerApp_Physical count'!A:A,' General Stock Summary View  '!B25)</f>
        <v>0</v>
      </c>
      <c r="R25" s="4">
        <f t="shared" si="11"/>
        <v>-0.11666666666666667</v>
      </c>
      <c r="S25" s="5">
        <f>SUMIFS('XBS '!T:T,'XBS '!L:L,' General Stock Summary View  '!B25,'XBS '!H:H,' General Stock Summary View  '!$S$2,'XBS '!C:C,' General Stock Summary View  '!C25)</f>
        <v>0</v>
      </c>
      <c r="T25" s="3">
        <f>SUMIFS('PowerApp_Physical count'!H:H,'PowerApp_Physical count'!B:B,' General Stock Summary View  '!$S$2,'PowerApp_Physical count'!C:C,' General Stock Summary View  '!C25,'PowerApp_Physical count'!A:A,' General Stock Summary View  '!B25)</f>
        <v>0</v>
      </c>
      <c r="U25" s="4">
        <f t="shared" si="4"/>
        <v>0</v>
      </c>
      <c r="V25" s="2">
        <f>SUMIFS('XBS '!T:T,'XBS '!H:H,' General Stock Summary View  '!$V$2,'XBS '!B:B,' General Stock Summary View  '!C25,'XBS '!L:L,' General Stock Summary View  '!B25)</f>
        <v>0</v>
      </c>
      <c r="W25" s="3">
        <f>SUMIFS('PowerApp_Physical count'!H:H,'PowerApp_Physical count'!B:B,' General Stock Summary View  '!$V$2,'PowerApp_Physical count'!C:C,' General Stock Summary View  '!C25,'PowerApp_Physical count'!A:A,' General Stock Summary View  '!B25)</f>
        <v>0</v>
      </c>
      <c r="X25" s="4">
        <f t="shared" si="12"/>
        <v>0</v>
      </c>
      <c r="Y25" s="5">
        <f>SUMIFS('XBS '!T:T,'XBS '!H:H,' General Stock Summary View  '!$Y$2,'XBS '!B:B,' General Stock Summary View  '!C25,'XBS '!L:L,' General Stock Summary View  '!B25)</f>
        <v>0</v>
      </c>
      <c r="Z25" s="3">
        <f>SUMIFS('PowerApp_Physical count'!H:H,'PowerApp_Physical count'!B:B,' General Stock Summary View  '!$Y$2,'PowerApp_Physical count'!C:C,' General Stock Summary View  '!C25,'PowerApp_Physical count'!A:A,' General Stock Summary View  '!B25)</f>
        <v>0</v>
      </c>
      <c r="AA25" s="4">
        <f t="shared" si="13"/>
        <v>0</v>
      </c>
      <c r="AB25" s="5">
        <f>SUMIFS('XBS '!T:T,'XBS '!H:H,' General Stock Summary View  '!$AB$2,'XBS '!B:B,' General Stock Summary View  '!C25,'XBS '!L:L,' General Stock Summary View  '!B25)</f>
        <v>0</v>
      </c>
      <c r="AC25" s="3">
        <f>SUMIFS('PowerApp_Physical count'!H:H,'PowerApp_Physical count'!B:B,' General Stock Summary View  '!$AB$2,'PowerApp_Physical count'!C:C,' General Stock Summary View  '!C25,'PowerApp_Physical count'!A:A,' General Stock Summary View  '!B25)</f>
        <v>0</v>
      </c>
      <c r="AD25" s="6">
        <f t="shared" si="14"/>
        <v>0</v>
      </c>
      <c r="AE25" s="7">
        <f t="shared" si="8"/>
        <v>0</v>
      </c>
      <c r="AF25" s="8">
        <f t="shared" si="9"/>
        <v>-0.11666666666666667</v>
      </c>
      <c r="AG25" s="112"/>
    </row>
    <row r="26" spans="2:33" s="113" customFormat="1" ht="61.15">
      <c r="B26" s="117" t="s">
        <v>59</v>
      </c>
      <c r="C26" s="111" t="s">
        <v>58</v>
      </c>
      <c r="D26" s="11">
        <f>SUMIFS('XBS '!T:T,'XBS '!C:C,' General Stock Summary View  '!C26,'XBS '!L:L,' General Stock Summary View  '!B26)</f>
        <v>79.5</v>
      </c>
      <c r="E26" s="2">
        <f>SUMIFS('Blocked for Processing'!P:P,'Blocked for Processing'!I:I,' General Stock Summary View  '!B26,'Blocked for Processing'!C:C,' General Stock Summary View  '!C26)</f>
        <v>0</v>
      </c>
      <c r="F26" s="122">
        <f t="shared" si="0"/>
        <v>79.5</v>
      </c>
      <c r="G26" s="148">
        <f>SUMIFS('XBS '!T:T,'XBS '!H:H,' General Stock Summary View  '!$G$2,'XBS '!L:L,' General Stock Summary View  '!B26,'XBS '!C:C,' General Stock Summary View  '!C26)</f>
        <v>79.5</v>
      </c>
      <c r="H26" s="3">
        <f>SUMIFS('PowerApp_Physical count'!H:H,'PowerApp_Physical count'!B:B,' General Stock Summary View  '!$G$2,'PowerApp_Physical count'!C:C,' General Stock Summary View  '!C26,'PowerApp_Physical count'!A:A,' General Stock Summary View  '!B26)</f>
        <v>78.266666666666666</v>
      </c>
      <c r="I26" s="154">
        <f t="shared" si="16"/>
        <v>-1.2333333333333343</v>
      </c>
      <c r="J26" s="11">
        <f>SUMIFS('XBS '!T:T,'XBS '!H:H,' General Stock Summary View  '!$J$2,'XBS '!L:L,' General Stock Summary View  '!B26,'XBS '!C:C,' General Stock Summary View  '!C26)</f>
        <v>0</v>
      </c>
      <c r="K26" s="157">
        <f>SUMIFS('PowerApp_Physical count'!H:H,'PowerApp_Physical count'!B:B,' General Stock Summary View  '!$J$2,'PowerApp_Physical count'!C:C,' General Stock Summary View  '!C26,'PowerApp_Physical count'!A:A,' General Stock Summary View  '!B26)</f>
        <v>0</v>
      </c>
      <c r="L26" s="127">
        <f t="shared" si="15"/>
        <v>0</v>
      </c>
      <c r="M26" s="126">
        <f t="shared" si="2"/>
        <v>79.5</v>
      </c>
      <c r="N26" s="11">
        <f t="shared" si="3"/>
        <v>78.266666666666666</v>
      </c>
      <c r="O26" s="144">
        <f t="shared" si="10"/>
        <v>-1.2333333333333343</v>
      </c>
      <c r="P26" s="2">
        <f>SUMIFS('XBS '!T:T,'XBS '!H:H,' General Stock Summary View  '!$P$2,'XBS '!L:L,' General Stock Summary View  '!B26,'XBS '!C:C,' General Stock Summary View  '!C26)</f>
        <v>0</v>
      </c>
      <c r="Q26" s="3">
        <f>SUMIFS('PowerApp_Physical count'!H:H,'PowerApp_Physical count'!B:B,' General Stock Summary View  '!$P$2,'PowerApp_Physical count'!C:C,' General Stock Summary View  '!C26,'PowerApp_Physical count'!A:A,' General Stock Summary View  '!B26)</f>
        <v>0</v>
      </c>
      <c r="R26" s="4">
        <f t="shared" si="11"/>
        <v>0</v>
      </c>
      <c r="S26" s="5">
        <f>SUMIFS('XBS '!T:T,'XBS '!L:L,' General Stock Summary View  '!B26,'XBS '!H:H,' General Stock Summary View  '!$S$2,'XBS '!C:C,' General Stock Summary View  '!C26)</f>
        <v>0</v>
      </c>
      <c r="T26" s="3">
        <f>SUMIFS('PowerApp_Physical count'!H:H,'PowerApp_Physical count'!B:B,' General Stock Summary View  '!$S$2,'PowerApp_Physical count'!C:C,' General Stock Summary View  '!C26,'PowerApp_Physical count'!A:A,' General Stock Summary View  '!B26)</f>
        <v>0</v>
      </c>
      <c r="U26" s="4">
        <f t="shared" si="4"/>
        <v>0</v>
      </c>
      <c r="V26" s="2">
        <f>SUMIFS('XBS '!T:T,'XBS '!H:H,' General Stock Summary View  '!$V$2,'XBS '!B:B,' General Stock Summary View  '!C26,'XBS '!L:L,' General Stock Summary View  '!B26)</f>
        <v>0</v>
      </c>
      <c r="W26" s="3">
        <f>SUMIFS('PowerApp_Physical count'!H:H,'PowerApp_Physical count'!B:B,' General Stock Summary View  '!$V$2,'PowerApp_Physical count'!C:C,' General Stock Summary View  '!C26,'PowerApp_Physical count'!A:A,' General Stock Summary View  '!B26)</f>
        <v>0</v>
      </c>
      <c r="X26" s="4">
        <f t="shared" si="12"/>
        <v>0</v>
      </c>
      <c r="Y26" s="5">
        <f>SUMIFS('XBS '!T:T,'XBS '!H:H,' General Stock Summary View  '!$Y$2,'XBS '!B:B,' General Stock Summary View  '!C26,'XBS '!L:L,' General Stock Summary View  '!B26)</f>
        <v>0</v>
      </c>
      <c r="Z26" s="3">
        <f>SUMIFS('PowerApp_Physical count'!H:H,'PowerApp_Physical count'!B:B,' General Stock Summary View  '!$Y$2,'PowerApp_Physical count'!C:C,' General Stock Summary View  '!C26,'PowerApp_Physical count'!A:A,' General Stock Summary View  '!B26)</f>
        <v>0</v>
      </c>
      <c r="AA26" s="4">
        <f t="shared" si="13"/>
        <v>0</v>
      </c>
      <c r="AB26" s="5">
        <f>SUMIFS('XBS '!T:T,'XBS '!H:H,' General Stock Summary View  '!$AB$2,'XBS '!B:B,' General Stock Summary View  '!C26,'XBS '!L:L,' General Stock Summary View  '!B26)</f>
        <v>0</v>
      </c>
      <c r="AC26" s="3">
        <f>SUMIFS('PowerApp_Physical count'!H:H,'PowerApp_Physical count'!B:B,' General Stock Summary View  '!$AB$2,'PowerApp_Physical count'!C:C,' General Stock Summary View  '!C26,'PowerApp_Physical count'!A:A,' General Stock Summary View  '!B26)</f>
        <v>0</v>
      </c>
      <c r="AD26" s="6">
        <f t="shared" si="14"/>
        <v>0</v>
      </c>
      <c r="AE26" s="7">
        <f t="shared" si="8"/>
        <v>78.266666666666666</v>
      </c>
      <c r="AF26" s="8">
        <f t="shared" si="9"/>
        <v>-1.2333333333333343</v>
      </c>
      <c r="AG26" s="112"/>
    </row>
    <row r="27" spans="2:33" s="113" customFormat="1" ht="61.15">
      <c r="B27" s="117" t="s">
        <v>39</v>
      </c>
      <c r="C27" s="111" t="s">
        <v>58</v>
      </c>
      <c r="D27" s="11">
        <f>SUMIFS('XBS '!T:T,'XBS '!C:C,' General Stock Summary View  '!C27,'XBS '!L:L,' General Stock Summary View  '!B27)</f>
        <v>40.134999999999998</v>
      </c>
      <c r="E27" s="2">
        <f>SUMIFS('Blocked for Processing'!P:P,'Blocked for Processing'!I:I,' General Stock Summary View  '!B27,'Blocked for Processing'!C:C,' General Stock Summary View  '!C27)</f>
        <v>0</v>
      </c>
      <c r="F27" s="122">
        <f t="shared" si="0"/>
        <v>40.134999999999998</v>
      </c>
      <c r="G27" s="148">
        <f>SUMIFS('XBS '!T:T,'XBS '!H:H,' General Stock Summary View  '!$G$2,'XBS '!L:L,' General Stock Summary View  '!B27,'XBS '!C:C,' General Stock Summary View  '!C27)</f>
        <v>40.134999999999998</v>
      </c>
      <c r="H27" s="3">
        <f>SUMIFS('PowerApp_Physical count'!H:H,'PowerApp_Physical count'!B:B,' General Stock Summary View  '!$G$2,'PowerApp_Physical count'!C:C,' General Stock Summary View  '!C27,'PowerApp_Physical count'!A:A,' General Stock Summary View  '!B27)</f>
        <v>40.266666666666666</v>
      </c>
      <c r="I27" s="154">
        <f t="shared" si="16"/>
        <v>0.13166666666666771</v>
      </c>
      <c r="J27" s="11">
        <f>SUMIFS('XBS '!T:T,'XBS '!H:H,' General Stock Summary View  '!$J$2,'XBS '!L:L,' General Stock Summary View  '!B27,'XBS '!C:C,' General Stock Summary View  '!C27)</f>
        <v>0</v>
      </c>
      <c r="K27" s="157">
        <f>SUMIFS('PowerApp_Physical count'!H:H,'PowerApp_Physical count'!B:B,' General Stock Summary View  '!$J$2,'PowerApp_Physical count'!C:C,' General Stock Summary View  '!C27,'PowerApp_Physical count'!A:A,' General Stock Summary View  '!B27)</f>
        <v>0</v>
      </c>
      <c r="L27" s="127">
        <f t="shared" si="15"/>
        <v>0</v>
      </c>
      <c r="M27" s="126">
        <f t="shared" si="2"/>
        <v>40.134999999999998</v>
      </c>
      <c r="N27" s="11">
        <f t="shared" si="3"/>
        <v>40.266666666666666</v>
      </c>
      <c r="O27" s="144">
        <f t="shared" si="10"/>
        <v>0.13166666666666771</v>
      </c>
      <c r="P27" s="2">
        <f>SUMIFS('XBS '!T:T,'XBS '!H:H,' General Stock Summary View  '!$P$2,'XBS '!L:L,' General Stock Summary View  '!B27,'XBS '!C:C,' General Stock Summary View  '!C27)</f>
        <v>0</v>
      </c>
      <c r="Q27" s="3">
        <f>SUMIFS('PowerApp_Physical count'!H:H,'PowerApp_Physical count'!B:B,' General Stock Summary View  '!$P$2,'PowerApp_Physical count'!C:C,' General Stock Summary View  '!C27,'PowerApp_Physical count'!A:A,' General Stock Summary View  '!B27)</f>
        <v>0</v>
      </c>
      <c r="R27" s="4">
        <f t="shared" si="11"/>
        <v>0</v>
      </c>
      <c r="S27" s="5">
        <f>SUMIFS('XBS '!T:T,'XBS '!L:L,' General Stock Summary View  '!B27,'XBS '!H:H,' General Stock Summary View  '!$S$2,'XBS '!C:C,' General Stock Summary View  '!C27)</f>
        <v>0</v>
      </c>
      <c r="T27" s="3">
        <f>SUMIFS('PowerApp_Physical count'!H:H,'PowerApp_Physical count'!B:B,' General Stock Summary View  '!$S$2,'PowerApp_Physical count'!C:C,' General Stock Summary View  '!C27,'PowerApp_Physical count'!A:A,' General Stock Summary View  '!B27)</f>
        <v>0</v>
      </c>
      <c r="U27" s="4">
        <f t="shared" si="4"/>
        <v>0</v>
      </c>
      <c r="V27" s="2">
        <f>SUMIFS('XBS '!T:T,'XBS '!H:H,' General Stock Summary View  '!$V$2,'XBS '!B:B,' General Stock Summary View  '!C27,'XBS '!L:L,' General Stock Summary View  '!B27)</f>
        <v>0</v>
      </c>
      <c r="W27" s="3">
        <f>SUMIFS('PowerApp_Physical count'!H:H,'PowerApp_Physical count'!B:B,' General Stock Summary View  '!$V$2,'PowerApp_Physical count'!C:C,' General Stock Summary View  '!C27,'PowerApp_Physical count'!A:A,' General Stock Summary View  '!B27)</f>
        <v>0</v>
      </c>
      <c r="X27" s="4">
        <f t="shared" si="12"/>
        <v>0</v>
      </c>
      <c r="Y27" s="5">
        <f>SUMIFS('XBS '!T:T,'XBS '!H:H,' General Stock Summary View  '!$Y$2,'XBS '!B:B,' General Stock Summary View  '!C27,'XBS '!L:L,' General Stock Summary View  '!B27)</f>
        <v>0</v>
      </c>
      <c r="Z27" s="3">
        <f>SUMIFS('PowerApp_Physical count'!H:H,'PowerApp_Physical count'!B:B,' General Stock Summary View  '!$Y$2,'PowerApp_Physical count'!C:C,' General Stock Summary View  '!C27,'PowerApp_Physical count'!A:A,' General Stock Summary View  '!B27)</f>
        <v>0</v>
      </c>
      <c r="AA27" s="4">
        <f t="shared" si="13"/>
        <v>0</v>
      </c>
      <c r="AB27" s="5">
        <f>SUMIFS('XBS '!T:T,'XBS '!H:H,' General Stock Summary View  '!$AB$2,'XBS '!B:B,' General Stock Summary View  '!C27,'XBS '!L:L,' General Stock Summary View  '!B27)</f>
        <v>0</v>
      </c>
      <c r="AC27" s="3">
        <f>SUMIFS('PowerApp_Physical count'!H:H,'PowerApp_Physical count'!B:B,' General Stock Summary View  '!$AB$2,'PowerApp_Physical count'!C:C,' General Stock Summary View  '!C27,'PowerApp_Physical count'!A:A,' General Stock Summary View  '!B27)</f>
        <v>0</v>
      </c>
      <c r="AD27" s="6">
        <f t="shared" si="14"/>
        <v>0</v>
      </c>
      <c r="AE27" s="7">
        <f t="shared" si="8"/>
        <v>40.266666666666666</v>
      </c>
      <c r="AF27" s="8">
        <f t="shared" si="9"/>
        <v>0.13166666666666771</v>
      </c>
      <c r="AG27" s="112"/>
    </row>
    <row r="28" spans="2:33" s="113" customFormat="1" ht="61.15">
      <c r="B28" s="117" t="s">
        <v>60</v>
      </c>
      <c r="C28" s="111" t="s">
        <v>58</v>
      </c>
      <c r="D28" s="11">
        <f>SUMIFS('XBS '!T:T,'XBS '!C:C,' General Stock Summary View  '!C28,'XBS '!L:L,' General Stock Summary View  '!B28)</f>
        <v>17.513333333333332</v>
      </c>
      <c r="E28" s="2">
        <f>SUMIFS('Blocked for Processing'!P:P,'Blocked for Processing'!I:I,' General Stock Summary View  '!B28,'Blocked for Processing'!C:C,' General Stock Summary View  '!C28)</f>
        <v>0</v>
      </c>
      <c r="F28" s="122">
        <f t="shared" si="0"/>
        <v>17.513333333333332</v>
      </c>
      <c r="G28" s="148">
        <f>SUMIFS('XBS '!T:T,'XBS '!H:H,' General Stock Summary View  '!$G$2,'XBS '!L:L,' General Stock Summary View  '!B28,'XBS '!C:C,' General Stock Summary View  '!C28)</f>
        <v>17.513333333333332</v>
      </c>
      <c r="H28" s="3">
        <f>SUMIFS('PowerApp_Physical count'!H:H,'PowerApp_Physical count'!B:B,' General Stock Summary View  '!$G$2,'PowerApp_Physical count'!C:C,' General Stock Summary View  '!C28,'PowerApp_Physical count'!A:A,' General Stock Summary View  '!B28)</f>
        <v>17.533333333333335</v>
      </c>
      <c r="I28" s="154">
        <f t="shared" si="16"/>
        <v>2.0000000000003126E-2</v>
      </c>
      <c r="J28" s="11">
        <f>SUMIFS('XBS '!T:T,'XBS '!H:H,' General Stock Summary View  '!$J$2,'XBS '!L:L,' General Stock Summary View  '!B28,'XBS '!C:C,' General Stock Summary View  '!C28)</f>
        <v>0</v>
      </c>
      <c r="K28" s="157">
        <f>SUMIFS('PowerApp_Physical count'!H:H,'PowerApp_Physical count'!B:B,' General Stock Summary View  '!$J$2,'PowerApp_Physical count'!C:C,' General Stock Summary View  '!C28,'PowerApp_Physical count'!A:A,' General Stock Summary View  '!B28)</f>
        <v>0</v>
      </c>
      <c r="L28" s="127">
        <f t="shared" si="15"/>
        <v>0</v>
      </c>
      <c r="M28" s="126">
        <f t="shared" si="2"/>
        <v>17.513333333333332</v>
      </c>
      <c r="N28" s="11">
        <f t="shared" si="3"/>
        <v>17.533333333333335</v>
      </c>
      <c r="O28" s="144">
        <f t="shared" si="10"/>
        <v>2.0000000000003126E-2</v>
      </c>
      <c r="P28" s="2">
        <f>SUMIFS('XBS '!T:T,'XBS '!H:H,' General Stock Summary View  '!$P$2,'XBS '!L:L,' General Stock Summary View  '!B28,'XBS '!C:C,' General Stock Summary View  '!C28)</f>
        <v>0</v>
      </c>
      <c r="Q28" s="3">
        <f>SUMIFS('PowerApp_Physical count'!H:H,'PowerApp_Physical count'!B:B,' General Stock Summary View  '!$P$2,'PowerApp_Physical count'!C:C,' General Stock Summary View  '!C28,'PowerApp_Physical count'!A:A,' General Stock Summary View  '!B28)</f>
        <v>0</v>
      </c>
      <c r="R28" s="4">
        <f t="shared" si="11"/>
        <v>0</v>
      </c>
      <c r="S28" s="5">
        <f>SUMIFS('XBS '!T:T,'XBS '!L:L,' General Stock Summary View  '!B28,'XBS '!H:H,' General Stock Summary View  '!$S$2,'XBS '!C:C,' General Stock Summary View  '!C28)</f>
        <v>0</v>
      </c>
      <c r="T28" s="3">
        <f>SUMIFS('PowerApp_Physical count'!H:H,'PowerApp_Physical count'!B:B,' General Stock Summary View  '!$S$2,'PowerApp_Physical count'!C:C,' General Stock Summary View  '!C28,'PowerApp_Physical count'!A:A,' General Stock Summary View  '!B28)</f>
        <v>0</v>
      </c>
      <c r="U28" s="4">
        <f t="shared" si="4"/>
        <v>0</v>
      </c>
      <c r="V28" s="2">
        <f>SUMIFS('XBS '!T:T,'XBS '!H:H,' General Stock Summary View  '!$V$2,'XBS '!B:B,' General Stock Summary View  '!C28,'XBS '!L:L,' General Stock Summary View  '!B28)</f>
        <v>0</v>
      </c>
      <c r="W28" s="3">
        <f>SUMIFS('PowerApp_Physical count'!H:H,'PowerApp_Physical count'!B:B,' General Stock Summary View  '!$V$2,'PowerApp_Physical count'!C:C,' General Stock Summary View  '!C28,'PowerApp_Physical count'!A:A,' General Stock Summary View  '!B28)</f>
        <v>0</v>
      </c>
      <c r="X28" s="4">
        <f t="shared" si="12"/>
        <v>0</v>
      </c>
      <c r="Y28" s="5">
        <f>SUMIFS('XBS '!T:T,'XBS '!H:H,' General Stock Summary View  '!$Y$2,'XBS '!B:B,' General Stock Summary View  '!C28,'XBS '!L:L,' General Stock Summary View  '!B28)</f>
        <v>0</v>
      </c>
      <c r="Z28" s="3">
        <f>SUMIFS('PowerApp_Physical count'!H:H,'PowerApp_Physical count'!B:B,' General Stock Summary View  '!$Y$2,'PowerApp_Physical count'!C:C,' General Stock Summary View  '!C28,'PowerApp_Physical count'!A:A,' General Stock Summary View  '!B28)</f>
        <v>0</v>
      </c>
      <c r="AA28" s="4">
        <f t="shared" si="13"/>
        <v>0</v>
      </c>
      <c r="AB28" s="5">
        <f>SUMIFS('XBS '!T:T,'XBS '!H:H,' General Stock Summary View  '!$AB$2,'XBS '!B:B,' General Stock Summary View  '!C28,'XBS '!L:L,' General Stock Summary View  '!B28)</f>
        <v>0</v>
      </c>
      <c r="AC28" s="3">
        <f>SUMIFS('PowerApp_Physical count'!H:H,'PowerApp_Physical count'!B:B,' General Stock Summary View  '!$AB$2,'PowerApp_Physical count'!C:C,' General Stock Summary View  '!C28,'PowerApp_Physical count'!A:A,' General Stock Summary View  '!B28)</f>
        <v>0</v>
      </c>
      <c r="AD28" s="6">
        <f t="shared" si="14"/>
        <v>0</v>
      </c>
      <c r="AE28" s="7">
        <f t="shared" si="8"/>
        <v>17.533333333333335</v>
      </c>
      <c r="AF28" s="8">
        <f t="shared" si="9"/>
        <v>2.0000000000003126E-2</v>
      </c>
      <c r="AG28" s="112"/>
    </row>
    <row r="29" spans="2:33" s="113" customFormat="1" ht="61.15">
      <c r="B29" s="117" t="s">
        <v>61</v>
      </c>
      <c r="C29" s="111" t="s">
        <v>58</v>
      </c>
      <c r="D29" s="11">
        <f>SUMIFS('XBS '!T:T,'XBS '!C:C,' General Stock Summary View  '!C29,'XBS '!L:L,' General Stock Summary View  '!B29)</f>
        <v>2.1833333333333331</v>
      </c>
      <c r="E29" s="2">
        <f>SUMIFS('Blocked for Processing'!P:P,'Blocked for Processing'!I:I,' General Stock Summary View  '!B29,'Blocked for Processing'!C:C,' General Stock Summary View  '!C29)</f>
        <v>0</v>
      </c>
      <c r="F29" s="122">
        <f t="shared" si="0"/>
        <v>2.1833333333333331</v>
      </c>
      <c r="G29" s="148">
        <f>SUMIFS('XBS '!T:T,'XBS '!H:H,' General Stock Summary View  '!$G$2,'XBS '!L:L,' General Stock Summary View  '!B29,'XBS '!C:C,' General Stock Summary View  '!C29)</f>
        <v>0</v>
      </c>
      <c r="H29" s="3">
        <f>SUMIFS('PowerApp_Physical count'!H:H,'PowerApp_Physical count'!B:B,' General Stock Summary View  '!$G$2,'PowerApp_Physical count'!C:C,' General Stock Summary View  '!C29,'PowerApp_Physical count'!A:A,' General Stock Summary View  '!B29)</f>
        <v>0</v>
      </c>
      <c r="I29" s="154">
        <f t="shared" si="16"/>
        <v>0</v>
      </c>
      <c r="J29" s="11">
        <f>SUMIFS('XBS '!T:T,'XBS '!H:H,' General Stock Summary View  '!$J$2,'XBS '!L:L,' General Stock Summary View  '!B29,'XBS '!C:C,' General Stock Summary View  '!C29)</f>
        <v>0</v>
      </c>
      <c r="K29" s="157">
        <f>SUMIFS('PowerApp_Physical count'!H:H,'PowerApp_Physical count'!B:B,' General Stock Summary View  '!$J$2,'PowerApp_Physical count'!C:C,' General Stock Summary View  '!C29,'PowerApp_Physical count'!A:A,' General Stock Summary View  '!B29)</f>
        <v>0</v>
      </c>
      <c r="L29" s="127">
        <f t="shared" si="15"/>
        <v>0</v>
      </c>
      <c r="M29" s="126">
        <f t="shared" si="2"/>
        <v>0</v>
      </c>
      <c r="N29" s="11">
        <f t="shared" si="3"/>
        <v>0</v>
      </c>
      <c r="O29" s="144">
        <f t="shared" si="10"/>
        <v>0</v>
      </c>
      <c r="P29" s="2">
        <f>SUMIFS('XBS '!T:T,'XBS '!H:H,' General Stock Summary View  '!$P$2,'XBS '!L:L,' General Stock Summary View  '!B29,'XBS '!C:C,' General Stock Summary View  '!C29)</f>
        <v>2.1833333333333331</v>
      </c>
      <c r="Q29" s="3">
        <f>SUMIFS('PowerApp_Physical count'!H:H,'PowerApp_Physical count'!B:B,' General Stock Summary View  '!$P$2,'PowerApp_Physical count'!C:C,' General Stock Summary View  '!C29,'PowerApp_Physical count'!A:A,' General Stock Summary View  '!B29)</f>
        <v>0</v>
      </c>
      <c r="R29" s="4">
        <f t="shared" si="11"/>
        <v>-2.1833333333333331</v>
      </c>
      <c r="S29" s="5">
        <f>SUMIFS('XBS '!T:T,'XBS '!L:L,' General Stock Summary View  '!B29,'XBS '!H:H,' General Stock Summary View  '!$S$2,'XBS '!C:C,' General Stock Summary View  '!C29)</f>
        <v>0</v>
      </c>
      <c r="T29" s="3">
        <f>SUMIFS('PowerApp_Physical count'!H:H,'PowerApp_Physical count'!B:B,' General Stock Summary View  '!$S$2,'PowerApp_Physical count'!C:C,' General Stock Summary View  '!C29,'PowerApp_Physical count'!A:A,' General Stock Summary View  '!B29)</f>
        <v>0</v>
      </c>
      <c r="U29" s="4">
        <f t="shared" si="4"/>
        <v>0</v>
      </c>
      <c r="V29" s="2">
        <f>SUMIFS('XBS '!T:T,'XBS '!H:H,' General Stock Summary View  '!$V$2,'XBS '!B:B,' General Stock Summary View  '!C29,'XBS '!L:L,' General Stock Summary View  '!B29)</f>
        <v>0</v>
      </c>
      <c r="W29" s="3">
        <f>SUMIFS('PowerApp_Physical count'!H:H,'PowerApp_Physical count'!B:B,' General Stock Summary View  '!$V$2,'PowerApp_Physical count'!C:C,' General Stock Summary View  '!C29,'PowerApp_Physical count'!A:A,' General Stock Summary View  '!B29)</f>
        <v>0</v>
      </c>
      <c r="X29" s="4">
        <f t="shared" si="12"/>
        <v>0</v>
      </c>
      <c r="Y29" s="5">
        <f>SUMIFS('XBS '!T:T,'XBS '!H:H,' General Stock Summary View  '!$Y$2,'XBS '!B:B,' General Stock Summary View  '!C29,'XBS '!L:L,' General Stock Summary View  '!B29)</f>
        <v>0</v>
      </c>
      <c r="Z29" s="3">
        <f>SUMIFS('PowerApp_Physical count'!H:H,'PowerApp_Physical count'!B:B,' General Stock Summary View  '!$Y$2,'PowerApp_Physical count'!C:C,' General Stock Summary View  '!C29,'PowerApp_Physical count'!A:A,' General Stock Summary View  '!B29)</f>
        <v>0</v>
      </c>
      <c r="AA29" s="4">
        <f t="shared" si="13"/>
        <v>0</v>
      </c>
      <c r="AB29" s="5">
        <f>SUMIFS('XBS '!T:T,'XBS '!H:H,' General Stock Summary View  '!$AB$2,'XBS '!B:B,' General Stock Summary View  '!C29,'XBS '!L:L,' General Stock Summary View  '!B29)</f>
        <v>0</v>
      </c>
      <c r="AC29" s="3">
        <f>SUMIFS('PowerApp_Physical count'!H:H,'PowerApp_Physical count'!B:B,' General Stock Summary View  '!$AB$2,'PowerApp_Physical count'!C:C,' General Stock Summary View  '!C29,'PowerApp_Physical count'!A:A,' General Stock Summary View  '!B29)</f>
        <v>0</v>
      </c>
      <c r="AD29" s="6">
        <f t="shared" si="14"/>
        <v>0</v>
      </c>
      <c r="AE29" s="7">
        <f t="shared" si="8"/>
        <v>0</v>
      </c>
      <c r="AF29" s="8">
        <f t="shared" si="9"/>
        <v>-2.1833333333333331</v>
      </c>
      <c r="AG29" s="112"/>
    </row>
    <row r="30" spans="2:33" s="113" customFormat="1" ht="61.15">
      <c r="B30" s="117" t="s">
        <v>62</v>
      </c>
      <c r="C30" s="111" t="s">
        <v>58</v>
      </c>
      <c r="D30" s="11">
        <f>SUMIFS('XBS '!T:T,'XBS '!C:C,' General Stock Summary View  '!C30,'XBS '!L:L,' General Stock Summary View  '!B30)</f>
        <v>1.2166666666666666</v>
      </c>
      <c r="E30" s="2">
        <f>SUMIFS('Blocked for Processing'!P:P,'Blocked for Processing'!I:I,' General Stock Summary View  '!B30,'Blocked for Processing'!C:C,' General Stock Summary View  '!C30)</f>
        <v>0</v>
      </c>
      <c r="F30" s="122">
        <f t="shared" si="0"/>
        <v>1.2166666666666666</v>
      </c>
      <c r="G30" s="148">
        <f>SUMIFS('XBS '!T:T,'XBS '!H:H,' General Stock Summary View  '!$G$2,'XBS '!L:L,' General Stock Summary View  '!B30,'XBS '!C:C,' General Stock Summary View  '!C30)</f>
        <v>0</v>
      </c>
      <c r="H30" s="3">
        <f>SUMIFS('PowerApp_Physical count'!H:H,'PowerApp_Physical count'!B:B,' General Stock Summary View  '!$G$2,'PowerApp_Physical count'!C:C,' General Stock Summary View  '!C30,'PowerApp_Physical count'!A:A,' General Stock Summary View  '!B30)</f>
        <v>0</v>
      </c>
      <c r="I30" s="154">
        <f t="shared" si="16"/>
        <v>0</v>
      </c>
      <c r="J30" s="11">
        <f>SUMIFS('XBS '!T:T,'XBS '!H:H,' General Stock Summary View  '!$J$2,'XBS '!L:L,' General Stock Summary View  '!B30,'XBS '!C:C,' General Stock Summary View  '!C30)</f>
        <v>0</v>
      </c>
      <c r="K30" s="157">
        <f>SUMIFS('PowerApp_Physical count'!H:H,'PowerApp_Physical count'!B:B,' General Stock Summary View  '!$J$2,'PowerApp_Physical count'!C:C,' General Stock Summary View  '!C30,'PowerApp_Physical count'!A:A,' General Stock Summary View  '!B30)</f>
        <v>0</v>
      </c>
      <c r="L30" s="127">
        <f t="shared" si="15"/>
        <v>0</v>
      </c>
      <c r="M30" s="126">
        <f t="shared" si="2"/>
        <v>0</v>
      </c>
      <c r="N30" s="11">
        <f t="shared" si="3"/>
        <v>0</v>
      </c>
      <c r="O30" s="144">
        <f t="shared" si="10"/>
        <v>0</v>
      </c>
      <c r="P30" s="2">
        <f>SUMIFS('XBS '!T:T,'XBS '!H:H,' General Stock Summary View  '!$P$2,'XBS '!L:L,' General Stock Summary View  '!B30,'XBS '!C:C,' General Stock Summary View  '!C30)</f>
        <v>1.2166666666666666</v>
      </c>
      <c r="Q30" s="3">
        <f>SUMIFS('PowerApp_Physical count'!H:H,'PowerApp_Physical count'!B:B,' General Stock Summary View  '!$P$2,'PowerApp_Physical count'!C:C,' General Stock Summary View  '!C30,'PowerApp_Physical count'!A:A,' General Stock Summary View  '!B30)</f>
        <v>0</v>
      </c>
      <c r="R30" s="4">
        <f t="shared" si="11"/>
        <v>-1.2166666666666666</v>
      </c>
      <c r="S30" s="5">
        <f>SUMIFS('XBS '!T:T,'XBS '!L:L,' General Stock Summary View  '!B30,'XBS '!H:H,' General Stock Summary View  '!$S$2,'XBS '!C:C,' General Stock Summary View  '!C30)</f>
        <v>0</v>
      </c>
      <c r="T30" s="3">
        <f>SUMIFS('PowerApp_Physical count'!H:H,'PowerApp_Physical count'!B:B,' General Stock Summary View  '!$S$2,'PowerApp_Physical count'!C:C,' General Stock Summary View  '!C30,'PowerApp_Physical count'!A:A,' General Stock Summary View  '!B30)</f>
        <v>0</v>
      </c>
      <c r="U30" s="4">
        <f t="shared" si="4"/>
        <v>0</v>
      </c>
      <c r="V30" s="2">
        <f>SUMIFS('XBS '!T:T,'XBS '!H:H,' General Stock Summary View  '!$V$2,'XBS '!B:B,' General Stock Summary View  '!C30,'XBS '!L:L,' General Stock Summary View  '!B30)</f>
        <v>0</v>
      </c>
      <c r="W30" s="3">
        <f>SUMIFS('PowerApp_Physical count'!H:H,'PowerApp_Physical count'!B:B,' General Stock Summary View  '!$V$2,'PowerApp_Physical count'!C:C,' General Stock Summary View  '!C30,'PowerApp_Physical count'!A:A,' General Stock Summary View  '!B30)</f>
        <v>0</v>
      </c>
      <c r="X30" s="4">
        <f t="shared" si="12"/>
        <v>0</v>
      </c>
      <c r="Y30" s="5">
        <f>SUMIFS('XBS '!T:T,'XBS '!H:H,' General Stock Summary View  '!$Y$2,'XBS '!B:B,' General Stock Summary View  '!C30,'XBS '!L:L,' General Stock Summary View  '!B30)</f>
        <v>0</v>
      </c>
      <c r="Z30" s="3">
        <f>SUMIFS('PowerApp_Physical count'!H:H,'PowerApp_Physical count'!B:B,' General Stock Summary View  '!$Y$2,'PowerApp_Physical count'!C:C,' General Stock Summary View  '!C30,'PowerApp_Physical count'!A:A,' General Stock Summary View  '!B30)</f>
        <v>0</v>
      </c>
      <c r="AA30" s="4">
        <f t="shared" si="13"/>
        <v>0</v>
      </c>
      <c r="AB30" s="5">
        <f>SUMIFS('XBS '!T:T,'XBS '!H:H,' General Stock Summary View  '!$AB$2,'XBS '!B:B,' General Stock Summary View  '!C30,'XBS '!L:L,' General Stock Summary View  '!B30)</f>
        <v>0</v>
      </c>
      <c r="AC30" s="3">
        <f>SUMIFS('PowerApp_Physical count'!H:H,'PowerApp_Physical count'!B:B,' General Stock Summary View  '!$AB$2,'PowerApp_Physical count'!C:C,' General Stock Summary View  '!C30,'PowerApp_Physical count'!A:A,' General Stock Summary View  '!B30)</f>
        <v>0</v>
      </c>
      <c r="AD30" s="6">
        <f t="shared" si="14"/>
        <v>0</v>
      </c>
      <c r="AE30" s="7">
        <f t="shared" si="8"/>
        <v>0</v>
      </c>
      <c r="AF30" s="8">
        <f t="shared" si="9"/>
        <v>-1.2166666666666666</v>
      </c>
      <c r="AG30" s="112"/>
    </row>
    <row r="31" spans="2:33" s="113" customFormat="1" ht="61.15">
      <c r="B31" s="117" t="s">
        <v>63</v>
      </c>
      <c r="C31" s="111" t="s">
        <v>58</v>
      </c>
      <c r="D31" s="11">
        <f>SUMIFS('XBS '!T:T,'XBS '!C:C,' General Stock Summary View  '!C31,'XBS '!L:L,' General Stock Summary View  '!B31)</f>
        <v>0.18333333333333332</v>
      </c>
      <c r="E31" s="2">
        <f>SUMIFS('Blocked for Processing'!P:P,'Blocked for Processing'!I:I,' General Stock Summary View  '!B31,'Blocked for Processing'!C:C,' General Stock Summary View  '!C31)</f>
        <v>0</v>
      </c>
      <c r="F31" s="122">
        <f t="shared" si="0"/>
        <v>0.18333333333333332</v>
      </c>
      <c r="G31" s="148">
        <f>SUMIFS('XBS '!T:T,'XBS '!H:H,' General Stock Summary View  '!$G$2,'XBS '!L:L,' General Stock Summary View  '!B31,'XBS '!C:C,' General Stock Summary View  '!C31)</f>
        <v>0</v>
      </c>
      <c r="H31" s="3">
        <f>SUMIFS('PowerApp_Physical count'!H:H,'PowerApp_Physical count'!B:B,' General Stock Summary View  '!$G$2,'PowerApp_Physical count'!C:C,' General Stock Summary View  '!C31,'PowerApp_Physical count'!A:A,' General Stock Summary View  '!B31)</f>
        <v>0</v>
      </c>
      <c r="I31" s="154">
        <f t="shared" si="16"/>
        <v>0</v>
      </c>
      <c r="J31" s="11">
        <f>SUMIFS('XBS '!T:T,'XBS '!H:H,' General Stock Summary View  '!$J$2,'XBS '!L:L,' General Stock Summary View  '!B31,'XBS '!C:C,' General Stock Summary View  '!C31)</f>
        <v>0</v>
      </c>
      <c r="K31" s="157">
        <f>SUMIFS('PowerApp_Physical count'!H:H,'PowerApp_Physical count'!B:B,' General Stock Summary View  '!$J$2,'PowerApp_Physical count'!C:C,' General Stock Summary View  '!C31,'PowerApp_Physical count'!A:A,' General Stock Summary View  '!B31)</f>
        <v>0</v>
      </c>
      <c r="L31" s="127">
        <f t="shared" si="15"/>
        <v>0</v>
      </c>
      <c r="M31" s="126">
        <f t="shared" si="2"/>
        <v>0</v>
      </c>
      <c r="N31" s="11">
        <f t="shared" si="3"/>
        <v>0</v>
      </c>
      <c r="O31" s="144">
        <f t="shared" si="10"/>
        <v>0</v>
      </c>
      <c r="P31" s="2">
        <f>SUMIFS('XBS '!T:T,'XBS '!H:H,' General Stock Summary View  '!$P$2,'XBS '!L:L,' General Stock Summary View  '!B31,'XBS '!C:C,' General Stock Summary View  '!C31)</f>
        <v>0.18333333333333332</v>
      </c>
      <c r="Q31" s="3">
        <f>SUMIFS('PowerApp_Physical count'!H:H,'PowerApp_Physical count'!B:B,' General Stock Summary View  '!$P$2,'PowerApp_Physical count'!C:C,' General Stock Summary View  '!C31,'PowerApp_Physical count'!A:A,' General Stock Summary View  '!B31)</f>
        <v>0</v>
      </c>
      <c r="R31" s="4">
        <f t="shared" si="11"/>
        <v>-0.18333333333333332</v>
      </c>
      <c r="S31" s="5">
        <f>SUMIFS('XBS '!T:T,'XBS '!L:L,' General Stock Summary View  '!B31,'XBS '!H:H,' General Stock Summary View  '!$S$2,'XBS '!C:C,' General Stock Summary View  '!C31)</f>
        <v>0</v>
      </c>
      <c r="T31" s="3">
        <f>SUMIFS('PowerApp_Physical count'!H:H,'PowerApp_Physical count'!B:B,' General Stock Summary View  '!$S$2,'PowerApp_Physical count'!C:C,' General Stock Summary View  '!C31,'PowerApp_Physical count'!A:A,' General Stock Summary View  '!B31)</f>
        <v>0</v>
      </c>
      <c r="U31" s="4">
        <f t="shared" si="4"/>
        <v>0</v>
      </c>
      <c r="V31" s="2">
        <f>SUMIFS('XBS '!T:T,'XBS '!H:H,' General Stock Summary View  '!$V$2,'XBS '!B:B,' General Stock Summary View  '!C31,'XBS '!L:L,' General Stock Summary View  '!B31)</f>
        <v>0</v>
      </c>
      <c r="W31" s="3">
        <f>SUMIFS('PowerApp_Physical count'!H:H,'PowerApp_Physical count'!B:B,' General Stock Summary View  '!$V$2,'PowerApp_Physical count'!C:C,' General Stock Summary View  '!C31,'PowerApp_Physical count'!A:A,' General Stock Summary View  '!B31)</f>
        <v>0</v>
      </c>
      <c r="X31" s="4">
        <f t="shared" si="12"/>
        <v>0</v>
      </c>
      <c r="Y31" s="5">
        <f>SUMIFS('XBS '!T:T,'XBS '!H:H,' General Stock Summary View  '!$Y$2,'XBS '!B:B,' General Stock Summary View  '!C31,'XBS '!L:L,' General Stock Summary View  '!B31)</f>
        <v>0</v>
      </c>
      <c r="Z31" s="3">
        <f>SUMIFS('PowerApp_Physical count'!H:H,'PowerApp_Physical count'!B:B,' General Stock Summary View  '!$Y$2,'PowerApp_Physical count'!C:C,' General Stock Summary View  '!C31,'PowerApp_Physical count'!A:A,' General Stock Summary View  '!B31)</f>
        <v>0</v>
      </c>
      <c r="AA31" s="4">
        <f t="shared" si="13"/>
        <v>0</v>
      </c>
      <c r="AB31" s="5">
        <f>SUMIFS('XBS '!T:T,'XBS '!H:H,' General Stock Summary View  '!$AB$2,'XBS '!B:B,' General Stock Summary View  '!C31,'XBS '!L:L,' General Stock Summary View  '!B31)</f>
        <v>0</v>
      </c>
      <c r="AC31" s="3">
        <f>SUMIFS('PowerApp_Physical count'!H:H,'PowerApp_Physical count'!B:B,' General Stock Summary View  '!$AB$2,'PowerApp_Physical count'!C:C,' General Stock Summary View  '!C31,'PowerApp_Physical count'!A:A,' General Stock Summary View  '!B31)</f>
        <v>0</v>
      </c>
      <c r="AD31" s="6">
        <f t="shared" si="14"/>
        <v>0</v>
      </c>
      <c r="AE31" s="7">
        <f t="shared" si="8"/>
        <v>0</v>
      </c>
      <c r="AF31" s="8">
        <f t="shared" si="9"/>
        <v>-0.18333333333333332</v>
      </c>
      <c r="AG31" s="112"/>
    </row>
    <row r="32" spans="2:33" s="113" customFormat="1" ht="61.15">
      <c r="B32" s="117" t="s">
        <v>64</v>
      </c>
      <c r="C32" s="111" t="s">
        <v>58</v>
      </c>
      <c r="D32" s="11">
        <f>SUMIFS('XBS '!T:T,'XBS '!C:C,' General Stock Summary View  '!C32,'XBS '!L:L,' General Stock Summary View  '!B32)</f>
        <v>3.3333333333333333E-2</v>
      </c>
      <c r="E32" s="2">
        <f>SUMIFS('Blocked for Processing'!P:P,'Blocked for Processing'!I:I,' General Stock Summary View  '!B32,'Blocked for Processing'!C:C,' General Stock Summary View  '!C32)</f>
        <v>0</v>
      </c>
      <c r="F32" s="122">
        <f t="shared" si="0"/>
        <v>3.3333333333333333E-2</v>
      </c>
      <c r="G32" s="148">
        <f>SUMIFS('XBS '!T:T,'XBS '!H:H,' General Stock Summary View  '!$G$2,'XBS '!L:L,' General Stock Summary View  '!B32,'XBS '!C:C,' General Stock Summary View  '!C32)</f>
        <v>0</v>
      </c>
      <c r="H32" s="3">
        <f>SUMIFS('PowerApp_Physical count'!H:H,'PowerApp_Physical count'!B:B,' General Stock Summary View  '!$G$2,'PowerApp_Physical count'!C:C,' General Stock Summary View  '!C32,'PowerApp_Physical count'!A:A,' General Stock Summary View  '!B32)</f>
        <v>0</v>
      </c>
      <c r="I32" s="154">
        <f t="shared" si="16"/>
        <v>0</v>
      </c>
      <c r="J32" s="11">
        <f>SUMIFS('XBS '!T:T,'XBS '!H:H,' General Stock Summary View  '!$J$2,'XBS '!L:L,' General Stock Summary View  '!B32,'XBS '!C:C,' General Stock Summary View  '!C32)</f>
        <v>0</v>
      </c>
      <c r="K32" s="157">
        <f>SUMIFS('PowerApp_Physical count'!H:H,'PowerApp_Physical count'!B:B,' General Stock Summary View  '!$J$2,'PowerApp_Physical count'!C:C,' General Stock Summary View  '!C32,'PowerApp_Physical count'!A:A,' General Stock Summary View  '!B32)</f>
        <v>0</v>
      </c>
      <c r="L32" s="127">
        <f t="shared" si="15"/>
        <v>0</v>
      </c>
      <c r="M32" s="126">
        <f t="shared" si="2"/>
        <v>0</v>
      </c>
      <c r="N32" s="11">
        <f t="shared" si="3"/>
        <v>0</v>
      </c>
      <c r="O32" s="144">
        <f t="shared" si="10"/>
        <v>0</v>
      </c>
      <c r="P32" s="2">
        <f>SUMIFS('XBS '!T:T,'XBS '!H:H,' General Stock Summary View  '!$P$2,'XBS '!L:L,' General Stock Summary View  '!B32,'XBS '!C:C,' General Stock Summary View  '!C32)</f>
        <v>3.3333333333333333E-2</v>
      </c>
      <c r="Q32" s="3">
        <f>SUMIFS('PowerApp_Physical count'!H:H,'PowerApp_Physical count'!B:B,' General Stock Summary View  '!$P$2,'PowerApp_Physical count'!C:C,' General Stock Summary View  '!C32,'PowerApp_Physical count'!A:A,' General Stock Summary View  '!B32)</f>
        <v>0</v>
      </c>
      <c r="R32" s="4">
        <f t="shared" si="11"/>
        <v>-3.3333333333333333E-2</v>
      </c>
      <c r="S32" s="5">
        <f>SUMIFS('XBS '!T:T,'XBS '!L:L,' General Stock Summary View  '!B32,'XBS '!H:H,' General Stock Summary View  '!$S$2,'XBS '!C:C,' General Stock Summary View  '!C32)</f>
        <v>0</v>
      </c>
      <c r="T32" s="3">
        <f>SUMIFS('PowerApp_Physical count'!H:H,'PowerApp_Physical count'!B:B,' General Stock Summary View  '!$S$2,'PowerApp_Physical count'!C:C,' General Stock Summary View  '!C32,'PowerApp_Physical count'!A:A,' General Stock Summary View  '!B32)</f>
        <v>0</v>
      </c>
      <c r="U32" s="4">
        <f t="shared" si="4"/>
        <v>0</v>
      </c>
      <c r="V32" s="2">
        <f>SUMIFS('XBS '!T:T,'XBS '!H:H,' General Stock Summary View  '!$V$2,'XBS '!B:B,' General Stock Summary View  '!C32,'XBS '!L:L,' General Stock Summary View  '!B32)</f>
        <v>0</v>
      </c>
      <c r="W32" s="3">
        <f>SUMIFS('PowerApp_Physical count'!H:H,'PowerApp_Physical count'!B:B,' General Stock Summary View  '!$V$2,'PowerApp_Physical count'!C:C,' General Stock Summary View  '!C32,'PowerApp_Physical count'!A:A,' General Stock Summary View  '!B32)</f>
        <v>0</v>
      </c>
      <c r="X32" s="4">
        <f t="shared" si="12"/>
        <v>0</v>
      </c>
      <c r="Y32" s="5">
        <f>SUMIFS('XBS '!T:T,'XBS '!H:H,' General Stock Summary View  '!$Y$2,'XBS '!B:B,' General Stock Summary View  '!C32,'XBS '!L:L,' General Stock Summary View  '!B32)</f>
        <v>0</v>
      </c>
      <c r="Z32" s="3">
        <f>SUMIFS('PowerApp_Physical count'!H:H,'PowerApp_Physical count'!B:B,' General Stock Summary View  '!$Y$2,'PowerApp_Physical count'!C:C,' General Stock Summary View  '!C32,'PowerApp_Physical count'!A:A,' General Stock Summary View  '!B32)</f>
        <v>0</v>
      </c>
      <c r="AA32" s="4">
        <f t="shared" si="13"/>
        <v>0</v>
      </c>
      <c r="AB32" s="5">
        <f>SUMIFS('XBS '!T:T,'XBS '!H:H,' General Stock Summary View  '!$AB$2,'XBS '!B:B,' General Stock Summary View  '!C32,'XBS '!L:L,' General Stock Summary View  '!B32)</f>
        <v>0</v>
      </c>
      <c r="AC32" s="3">
        <f>SUMIFS('PowerApp_Physical count'!H:H,'PowerApp_Physical count'!B:B,' General Stock Summary View  '!$AB$2,'PowerApp_Physical count'!C:C,' General Stock Summary View  '!C32,'PowerApp_Physical count'!A:A,' General Stock Summary View  '!B32)</f>
        <v>0</v>
      </c>
      <c r="AD32" s="6">
        <f t="shared" si="14"/>
        <v>0</v>
      </c>
      <c r="AE32" s="7">
        <f t="shared" si="8"/>
        <v>0</v>
      </c>
      <c r="AF32" s="8">
        <f t="shared" si="9"/>
        <v>-3.3333333333333333E-2</v>
      </c>
      <c r="AG32" s="112"/>
    </row>
    <row r="33" spans="2:33" s="113" customFormat="1" ht="61.15">
      <c r="B33" s="117" t="s">
        <v>65</v>
      </c>
      <c r="C33" s="111" t="s">
        <v>58</v>
      </c>
      <c r="D33" s="11">
        <f>SUMIFS('XBS '!T:T,'XBS '!C:C,' General Stock Summary View  '!C33,'XBS '!L:L,' General Stock Summary View  '!B33)</f>
        <v>0.23333333333333334</v>
      </c>
      <c r="E33" s="2">
        <f>SUMIFS('Blocked for Processing'!P:P,'Blocked for Processing'!I:I,' General Stock Summary View  '!B33,'Blocked for Processing'!C:C,' General Stock Summary View  '!C33)</f>
        <v>0</v>
      </c>
      <c r="F33" s="122">
        <f t="shared" si="0"/>
        <v>0.23333333333333334</v>
      </c>
      <c r="G33" s="148">
        <f>SUMIFS('XBS '!T:T,'XBS '!H:H,' General Stock Summary View  '!$G$2,'XBS '!L:L,' General Stock Summary View  '!B33,'XBS '!C:C,' General Stock Summary View  '!C33)</f>
        <v>0</v>
      </c>
      <c r="H33" s="3">
        <f>SUMIFS('PowerApp_Physical count'!H:H,'PowerApp_Physical count'!B:B,' General Stock Summary View  '!$G$2,'PowerApp_Physical count'!C:C,' General Stock Summary View  '!C33,'PowerApp_Physical count'!A:A,' General Stock Summary View  '!B33)</f>
        <v>0</v>
      </c>
      <c r="I33" s="154">
        <f t="shared" si="16"/>
        <v>0</v>
      </c>
      <c r="J33" s="11">
        <f>SUMIFS('XBS '!T:T,'XBS '!H:H,' General Stock Summary View  '!$J$2,'XBS '!L:L,' General Stock Summary View  '!B33,'XBS '!C:C,' General Stock Summary View  '!C33)</f>
        <v>0</v>
      </c>
      <c r="K33" s="157">
        <f>SUMIFS('PowerApp_Physical count'!H:H,'PowerApp_Physical count'!B:B,' General Stock Summary View  '!$J$2,'PowerApp_Physical count'!C:C,' General Stock Summary View  '!C33,'PowerApp_Physical count'!A:A,' General Stock Summary View  '!B33)</f>
        <v>0</v>
      </c>
      <c r="L33" s="127">
        <f t="shared" si="15"/>
        <v>0</v>
      </c>
      <c r="M33" s="126">
        <f t="shared" si="2"/>
        <v>0</v>
      </c>
      <c r="N33" s="11">
        <f t="shared" si="3"/>
        <v>0</v>
      </c>
      <c r="O33" s="144">
        <f t="shared" si="10"/>
        <v>0</v>
      </c>
      <c r="P33" s="2">
        <f>SUMIFS('XBS '!T:T,'XBS '!H:H,' General Stock Summary View  '!$P$2,'XBS '!L:L,' General Stock Summary View  '!B33,'XBS '!C:C,' General Stock Summary View  '!C33)</f>
        <v>0.23333333333333334</v>
      </c>
      <c r="Q33" s="3">
        <f>SUMIFS('PowerApp_Physical count'!H:H,'PowerApp_Physical count'!B:B,' General Stock Summary View  '!$P$2,'PowerApp_Physical count'!C:C,' General Stock Summary View  '!C33,'PowerApp_Physical count'!A:A,' General Stock Summary View  '!B33)</f>
        <v>0</v>
      </c>
      <c r="R33" s="4">
        <f t="shared" si="11"/>
        <v>-0.23333333333333334</v>
      </c>
      <c r="S33" s="5">
        <f>SUMIFS('XBS '!T:T,'XBS '!L:L,' General Stock Summary View  '!B33,'XBS '!H:H,' General Stock Summary View  '!$S$2,'XBS '!C:C,' General Stock Summary View  '!C33)</f>
        <v>0</v>
      </c>
      <c r="T33" s="3">
        <f>SUMIFS('PowerApp_Physical count'!H:H,'PowerApp_Physical count'!B:B,' General Stock Summary View  '!$S$2,'PowerApp_Physical count'!C:C,' General Stock Summary View  '!C33,'PowerApp_Physical count'!A:A,' General Stock Summary View  '!B33)</f>
        <v>0</v>
      </c>
      <c r="U33" s="4">
        <f t="shared" si="4"/>
        <v>0</v>
      </c>
      <c r="V33" s="2">
        <f>SUMIFS('XBS '!T:T,'XBS '!H:H,' General Stock Summary View  '!$V$2,'XBS '!B:B,' General Stock Summary View  '!C33,'XBS '!L:L,' General Stock Summary View  '!B33)</f>
        <v>0</v>
      </c>
      <c r="W33" s="3">
        <f>SUMIFS('PowerApp_Physical count'!H:H,'PowerApp_Physical count'!B:B,' General Stock Summary View  '!$V$2,'PowerApp_Physical count'!C:C,' General Stock Summary View  '!C33,'PowerApp_Physical count'!A:A,' General Stock Summary View  '!B33)</f>
        <v>0</v>
      </c>
      <c r="X33" s="4">
        <f t="shared" si="12"/>
        <v>0</v>
      </c>
      <c r="Y33" s="5">
        <f>SUMIFS('XBS '!T:T,'XBS '!H:H,' General Stock Summary View  '!$Y$2,'XBS '!B:B,' General Stock Summary View  '!C33,'XBS '!L:L,' General Stock Summary View  '!B33)</f>
        <v>0</v>
      </c>
      <c r="Z33" s="3">
        <f>SUMIFS('PowerApp_Physical count'!H:H,'PowerApp_Physical count'!B:B,' General Stock Summary View  '!$Y$2,'PowerApp_Physical count'!C:C,' General Stock Summary View  '!C33,'PowerApp_Physical count'!A:A,' General Stock Summary View  '!B33)</f>
        <v>0</v>
      </c>
      <c r="AA33" s="4">
        <f t="shared" si="13"/>
        <v>0</v>
      </c>
      <c r="AB33" s="5">
        <f>SUMIFS('XBS '!T:T,'XBS '!H:H,' General Stock Summary View  '!$AB$2,'XBS '!B:B,' General Stock Summary View  '!C33,'XBS '!L:L,' General Stock Summary View  '!B33)</f>
        <v>0</v>
      </c>
      <c r="AC33" s="3">
        <f>SUMIFS('PowerApp_Physical count'!H:H,'PowerApp_Physical count'!B:B,' General Stock Summary View  '!$AB$2,'PowerApp_Physical count'!C:C,' General Stock Summary View  '!C33,'PowerApp_Physical count'!A:A,' General Stock Summary View  '!B33)</f>
        <v>0</v>
      </c>
      <c r="AD33" s="6">
        <f t="shared" si="14"/>
        <v>0</v>
      </c>
      <c r="AE33" s="7">
        <f t="shared" si="8"/>
        <v>0</v>
      </c>
      <c r="AF33" s="8">
        <f t="shared" si="9"/>
        <v>-0.23333333333333334</v>
      </c>
      <c r="AG33" s="112"/>
    </row>
    <row r="34" spans="2:33" s="113" customFormat="1" ht="61.15">
      <c r="B34" s="117" t="s">
        <v>66</v>
      </c>
      <c r="C34" s="111" t="s">
        <v>58</v>
      </c>
      <c r="D34" s="11">
        <f>SUMIFS('XBS '!T:T,'XBS '!C:C,' General Stock Summary View  '!C34,'XBS '!L:L,' General Stock Summary View  '!B34)</f>
        <v>0.05</v>
      </c>
      <c r="E34" s="2">
        <f>SUMIFS('Blocked for Processing'!P:P,'Blocked for Processing'!I:I,' General Stock Summary View  '!B34,'Blocked for Processing'!C:C,' General Stock Summary View  '!C34)</f>
        <v>0</v>
      </c>
      <c r="F34" s="122">
        <f t="shared" si="0"/>
        <v>0.05</v>
      </c>
      <c r="G34" s="148">
        <f>SUMIFS('XBS '!T:T,'XBS '!H:H,' General Stock Summary View  '!$G$2,'XBS '!L:L,' General Stock Summary View  '!B34,'XBS '!C:C,' General Stock Summary View  '!C34)</f>
        <v>0</v>
      </c>
      <c r="H34" s="3">
        <f>SUMIFS('PowerApp_Physical count'!H:H,'PowerApp_Physical count'!B:B,' General Stock Summary View  '!$G$2,'PowerApp_Physical count'!C:C,' General Stock Summary View  '!C34,'PowerApp_Physical count'!A:A,' General Stock Summary View  '!B34)</f>
        <v>0</v>
      </c>
      <c r="I34" s="154">
        <f t="shared" si="16"/>
        <v>0</v>
      </c>
      <c r="J34" s="11">
        <f>SUMIFS('XBS '!T:T,'XBS '!H:H,' General Stock Summary View  '!$J$2,'XBS '!L:L,' General Stock Summary View  '!B34,'XBS '!C:C,' General Stock Summary View  '!C34)</f>
        <v>0</v>
      </c>
      <c r="K34" s="157">
        <f>SUMIFS('PowerApp_Physical count'!H:H,'PowerApp_Physical count'!B:B,' General Stock Summary View  '!$J$2,'PowerApp_Physical count'!C:C,' General Stock Summary View  '!C34,'PowerApp_Physical count'!A:A,' General Stock Summary View  '!B34)</f>
        <v>0</v>
      </c>
      <c r="L34" s="127">
        <f t="shared" si="15"/>
        <v>0</v>
      </c>
      <c r="M34" s="126">
        <f t="shared" si="2"/>
        <v>0</v>
      </c>
      <c r="N34" s="11">
        <f t="shared" si="3"/>
        <v>0</v>
      </c>
      <c r="O34" s="144">
        <f t="shared" si="10"/>
        <v>0</v>
      </c>
      <c r="P34" s="2">
        <f>SUMIFS('XBS '!T:T,'XBS '!H:H,' General Stock Summary View  '!$P$2,'XBS '!L:L,' General Stock Summary View  '!B34,'XBS '!C:C,' General Stock Summary View  '!C34)</f>
        <v>0.05</v>
      </c>
      <c r="Q34" s="3">
        <f>SUMIFS('PowerApp_Physical count'!H:H,'PowerApp_Physical count'!B:B,' General Stock Summary View  '!$P$2,'PowerApp_Physical count'!C:C,' General Stock Summary View  '!C34,'PowerApp_Physical count'!A:A,' General Stock Summary View  '!B34)</f>
        <v>0</v>
      </c>
      <c r="R34" s="4">
        <f t="shared" si="11"/>
        <v>-0.05</v>
      </c>
      <c r="S34" s="5">
        <f>SUMIFS('XBS '!T:T,'XBS '!L:L,' General Stock Summary View  '!B34,'XBS '!H:H,' General Stock Summary View  '!$S$2,'XBS '!C:C,' General Stock Summary View  '!C34)</f>
        <v>0</v>
      </c>
      <c r="T34" s="3">
        <f>SUMIFS('PowerApp_Physical count'!H:H,'PowerApp_Physical count'!B:B,' General Stock Summary View  '!$S$2,'PowerApp_Physical count'!C:C,' General Stock Summary View  '!C34,'PowerApp_Physical count'!A:A,' General Stock Summary View  '!B34)</f>
        <v>0</v>
      </c>
      <c r="U34" s="4">
        <f t="shared" si="4"/>
        <v>0</v>
      </c>
      <c r="V34" s="2">
        <f>SUMIFS('XBS '!T:T,'XBS '!H:H,' General Stock Summary View  '!$V$2,'XBS '!B:B,' General Stock Summary View  '!C34,'XBS '!L:L,' General Stock Summary View  '!B34)</f>
        <v>0</v>
      </c>
      <c r="W34" s="3">
        <f>SUMIFS('PowerApp_Physical count'!H:H,'PowerApp_Physical count'!B:B,' General Stock Summary View  '!$V$2,'PowerApp_Physical count'!C:C,' General Stock Summary View  '!C34,'PowerApp_Physical count'!A:A,' General Stock Summary View  '!B34)</f>
        <v>0</v>
      </c>
      <c r="X34" s="4">
        <f t="shared" si="12"/>
        <v>0</v>
      </c>
      <c r="Y34" s="5">
        <f>SUMIFS('XBS '!T:T,'XBS '!H:H,' General Stock Summary View  '!$Y$2,'XBS '!B:B,' General Stock Summary View  '!C34,'XBS '!L:L,' General Stock Summary View  '!B34)</f>
        <v>0</v>
      </c>
      <c r="Z34" s="3">
        <f>SUMIFS('PowerApp_Physical count'!H:H,'PowerApp_Physical count'!B:B,' General Stock Summary View  '!$Y$2,'PowerApp_Physical count'!C:C,' General Stock Summary View  '!C34,'PowerApp_Physical count'!A:A,' General Stock Summary View  '!B34)</f>
        <v>0</v>
      </c>
      <c r="AA34" s="4">
        <f t="shared" si="13"/>
        <v>0</v>
      </c>
      <c r="AB34" s="5">
        <f>SUMIFS('XBS '!T:T,'XBS '!H:H,' General Stock Summary View  '!$AB$2,'XBS '!B:B,' General Stock Summary View  '!C34,'XBS '!L:L,' General Stock Summary View  '!B34)</f>
        <v>0</v>
      </c>
      <c r="AC34" s="3">
        <f>SUMIFS('PowerApp_Physical count'!H:H,'PowerApp_Physical count'!B:B,' General Stock Summary View  '!$AB$2,'PowerApp_Physical count'!C:C,' General Stock Summary View  '!C34,'PowerApp_Physical count'!A:A,' General Stock Summary View  '!B34)</f>
        <v>0</v>
      </c>
      <c r="AD34" s="6">
        <f t="shared" si="14"/>
        <v>0</v>
      </c>
      <c r="AE34" s="7">
        <f t="shared" si="8"/>
        <v>0</v>
      </c>
      <c r="AF34" s="8">
        <f t="shared" si="9"/>
        <v>-0.05</v>
      </c>
      <c r="AG34" s="112"/>
    </row>
    <row r="35" spans="2:33" s="113" customFormat="1" ht="61.15">
      <c r="B35" s="117" t="s">
        <v>41</v>
      </c>
      <c r="C35" s="111" t="s">
        <v>58</v>
      </c>
      <c r="D35" s="11">
        <f>SUMIFS('XBS '!T:T,'XBS '!C:C,' General Stock Summary View  '!C35,'XBS '!L:L,' General Stock Summary View  '!B35)</f>
        <v>8.8833333333333329</v>
      </c>
      <c r="E35" s="2">
        <f>SUMIFS('Blocked for Processing'!P:P,'Blocked for Processing'!I:I,' General Stock Summary View  '!B35,'Blocked for Processing'!C:C,' General Stock Summary View  '!C35)</f>
        <v>0</v>
      </c>
      <c r="F35" s="122">
        <f t="shared" si="0"/>
        <v>8.8833333333333329</v>
      </c>
      <c r="G35" s="148">
        <f>SUMIFS('XBS '!T:T,'XBS '!H:H,' General Stock Summary View  '!$G$2,'XBS '!L:L,' General Stock Summary View  '!B35,'XBS '!C:C,' General Stock Summary View  '!C35)</f>
        <v>0</v>
      </c>
      <c r="H35" s="3">
        <f>SUMIFS('PowerApp_Physical count'!H:H,'PowerApp_Physical count'!B:B,' General Stock Summary View  '!$G$2,'PowerApp_Physical count'!C:C,' General Stock Summary View  '!C35,'PowerApp_Physical count'!A:A,' General Stock Summary View  '!B35)</f>
        <v>0</v>
      </c>
      <c r="I35" s="154">
        <f t="shared" si="16"/>
        <v>0</v>
      </c>
      <c r="J35" s="11">
        <f>SUMIFS('XBS '!T:T,'XBS '!H:H,' General Stock Summary View  '!$J$2,'XBS '!L:L,' General Stock Summary View  '!B35,'XBS '!C:C,' General Stock Summary View  '!C35)</f>
        <v>0</v>
      </c>
      <c r="K35" s="157">
        <f>SUMIFS('PowerApp_Physical count'!H:H,'PowerApp_Physical count'!B:B,' General Stock Summary View  '!$J$2,'PowerApp_Physical count'!C:C,' General Stock Summary View  '!C35,'PowerApp_Physical count'!A:A,' General Stock Summary View  '!B35)</f>
        <v>0</v>
      </c>
      <c r="L35" s="127">
        <f t="shared" si="15"/>
        <v>0</v>
      </c>
      <c r="M35" s="126">
        <f t="shared" si="2"/>
        <v>0</v>
      </c>
      <c r="N35" s="11">
        <f t="shared" si="3"/>
        <v>0</v>
      </c>
      <c r="O35" s="144">
        <f t="shared" si="10"/>
        <v>0</v>
      </c>
      <c r="P35" s="2">
        <f>SUMIFS('XBS '!T:T,'XBS '!H:H,' General Stock Summary View  '!$P$2,'XBS '!L:L,' General Stock Summary View  '!B35,'XBS '!C:C,' General Stock Summary View  '!C35)</f>
        <v>8.8833333333333329</v>
      </c>
      <c r="Q35" s="3">
        <f>SUMIFS('PowerApp_Physical count'!H:H,'PowerApp_Physical count'!B:B,' General Stock Summary View  '!$P$2,'PowerApp_Physical count'!C:C,' General Stock Summary View  '!C35,'PowerApp_Physical count'!A:A,' General Stock Summary View  '!B35)</f>
        <v>0</v>
      </c>
      <c r="R35" s="4">
        <f t="shared" si="11"/>
        <v>-8.8833333333333329</v>
      </c>
      <c r="S35" s="5">
        <f>SUMIFS('XBS '!T:T,'XBS '!L:L,' General Stock Summary View  '!B35,'XBS '!H:H,' General Stock Summary View  '!$S$2,'XBS '!C:C,' General Stock Summary View  '!C35)</f>
        <v>0</v>
      </c>
      <c r="T35" s="3">
        <f>SUMIFS('PowerApp_Physical count'!H:H,'PowerApp_Physical count'!B:B,' General Stock Summary View  '!$S$2,'PowerApp_Physical count'!C:C,' General Stock Summary View  '!C35,'PowerApp_Physical count'!A:A,' General Stock Summary View  '!B35)</f>
        <v>0</v>
      </c>
      <c r="U35" s="4">
        <f t="shared" si="4"/>
        <v>0</v>
      </c>
      <c r="V35" s="2">
        <f>SUMIFS('XBS '!T:T,'XBS '!H:H,' General Stock Summary View  '!$V$2,'XBS '!B:B,' General Stock Summary View  '!C35,'XBS '!L:L,' General Stock Summary View  '!B35)</f>
        <v>0</v>
      </c>
      <c r="W35" s="3">
        <f>SUMIFS('PowerApp_Physical count'!H:H,'PowerApp_Physical count'!B:B,' General Stock Summary View  '!$V$2,'PowerApp_Physical count'!C:C,' General Stock Summary View  '!C35,'PowerApp_Physical count'!A:A,' General Stock Summary View  '!B35)</f>
        <v>0</v>
      </c>
      <c r="X35" s="4">
        <f t="shared" si="12"/>
        <v>0</v>
      </c>
      <c r="Y35" s="5">
        <f>SUMIFS('XBS '!T:T,'XBS '!H:H,' General Stock Summary View  '!$Y$2,'XBS '!B:B,' General Stock Summary View  '!C35,'XBS '!L:L,' General Stock Summary View  '!B35)</f>
        <v>0</v>
      </c>
      <c r="Z35" s="3">
        <f>SUMIFS('PowerApp_Physical count'!H:H,'PowerApp_Physical count'!B:B,' General Stock Summary View  '!$Y$2,'PowerApp_Physical count'!C:C,' General Stock Summary View  '!C35,'PowerApp_Physical count'!A:A,' General Stock Summary View  '!B35)</f>
        <v>0</v>
      </c>
      <c r="AA35" s="4">
        <f t="shared" si="13"/>
        <v>0</v>
      </c>
      <c r="AB35" s="5">
        <f>SUMIFS('XBS '!T:T,'XBS '!H:H,' General Stock Summary View  '!$AB$2,'XBS '!B:B,' General Stock Summary View  '!C35,'XBS '!L:L,' General Stock Summary View  '!B35)</f>
        <v>0</v>
      </c>
      <c r="AC35" s="3">
        <f>SUMIFS('PowerApp_Physical count'!H:H,'PowerApp_Physical count'!B:B,' General Stock Summary View  '!$AB$2,'PowerApp_Physical count'!C:C,' General Stock Summary View  '!C35,'PowerApp_Physical count'!A:A,' General Stock Summary View  '!B35)</f>
        <v>0</v>
      </c>
      <c r="AD35" s="6">
        <f t="shared" si="14"/>
        <v>0</v>
      </c>
      <c r="AE35" s="7">
        <f t="shared" si="8"/>
        <v>0</v>
      </c>
      <c r="AF35" s="8">
        <f t="shared" si="9"/>
        <v>-8.8833333333333329</v>
      </c>
      <c r="AG35" s="112"/>
    </row>
    <row r="36" spans="2:33" s="113" customFormat="1" ht="61.15">
      <c r="B36" s="117" t="s">
        <v>67</v>
      </c>
      <c r="C36" s="111" t="s">
        <v>58</v>
      </c>
      <c r="D36" s="11">
        <f>SUMIFS('XBS '!T:T,'XBS '!C:C,' General Stock Summary View  '!C36,'XBS '!L:L,' General Stock Summary View  '!B36)</f>
        <v>3.0666666666666669</v>
      </c>
      <c r="E36" s="2">
        <f>SUMIFS('Blocked for Processing'!P:P,'Blocked for Processing'!I:I,' General Stock Summary View  '!B36,'Blocked for Processing'!C:C,' General Stock Summary View  '!C36)</f>
        <v>0</v>
      </c>
      <c r="F36" s="122">
        <f t="shared" si="0"/>
        <v>3.0666666666666669</v>
      </c>
      <c r="G36" s="148">
        <f>SUMIFS('XBS '!T:T,'XBS '!H:H,' General Stock Summary View  '!$G$2,'XBS '!L:L,' General Stock Summary View  '!B36,'XBS '!C:C,' General Stock Summary View  '!C36)</f>
        <v>0</v>
      </c>
      <c r="H36" s="3">
        <f>SUMIFS('PowerApp_Physical count'!H:H,'PowerApp_Physical count'!B:B,' General Stock Summary View  '!$G$2,'PowerApp_Physical count'!C:C,' General Stock Summary View  '!C36,'PowerApp_Physical count'!A:A,' General Stock Summary View  '!B36)</f>
        <v>0</v>
      </c>
      <c r="I36" s="154">
        <f t="shared" si="16"/>
        <v>0</v>
      </c>
      <c r="J36" s="11">
        <f>SUMIFS('XBS '!T:T,'XBS '!H:H,' General Stock Summary View  '!$J$2,'XBS '!L:L,' General Stock Summary View  '!B36,'XBS '!C:C,' General Stock Summary View  '!C36)</f>
        <v>0</v>
      </c>
      <c r="K36" s="157">
        <f>SUMIFS('PowerApp_Physical count'!H:H,'PowerApp_Physical count'!B:B,' General Stock Summary View  '!$J$2,'PowerApp_Physical count'!C:C,' General Stock Summary View  '!C36,'PowerApp_Physical count'!A:A,' General Stock Summary View  '!B36)</f>
        <v>0</v>
      </c>
      <c r="L36" s="127">
        <f t="shared" si="15"/>
        <v>0</v>
      </c>
      <c r="M36" s="126">
        <f t="shared" si="2"/>
        <v>0</v>
      </c>
      <c r="N36" s="11">
        <f t="shared" si="3"/>
        <v>0</v>
      </c>
      <c r="O36" s="144">
        <f t="shared" si="10"/>
        <v>0</v>
      </c>
      <c r="P36" s="2">
        <f>SUMIFS('XBS '!T:T,'XBS '!H:H,' General Stock Summary View  '!$P$2,'XBS '!L:L,' General Stock Summary View  '!B36,'XBS '!C:C,' General Stock Summary View  '!C36)</f>
        <v>3.0666666666666669</v>
      </c>
      <c r="Q36" s="3">
        <f>SUMIFS('PowerApp_Physical count'!H:H,'PowerApp_Physical count'!B:B,' General Stock Summary View  '!$P$2,'PowerApp_Physical count'!C:C,' General Stock Summary View  '!C36,'PowerApp_Physical count'!A:A,' General Stock Summary View  '!B36)</f>
        <v>0</v>
      </c>
      <c r="R36" s="4">
        <f t="shared" si="11"/>
        <v>-3.0666666666666669</v>
      </c>
      <c r="S36" s="5">
        <f>SUMIFS('XBS '!T:T,'XBS '!L:L,' General Stock Summary View  '!B36,'XBS '!H:H,' General Stock Summary View  '!$S$2,'XBS '!C:C,' General Stock Summary View  '!C36)</f>
        <v>0</v>
      </c>
      <c r="T36" s="3">
        <f>SUMIFS('PowerApp_Physical count'!H:H,'PowerApp_Physical count'!B:B,' General Stock Summary View  '!$S$2,'PowerApp_Physical count'!C:C,' General Stock Summary View  '!C36,'PowerApp_Physical count'!A:A,' General Stock Summary View  '!B36)</f>
        <v>0</v>
      </c>
      <c r="U36" s="4">
        <f t="shared" si="4"/>
        <v>0</v>
      </c>
      <c r="V36" s="2">
        <f>SUMIFS('XBS '!T:T,'XBS '!H:H,' General Stock Summary View  '!$V$2,'XBS '!B:B,' General Stock Summary View  '!C36,'XBS '!L:L,' General Stock Summary View  '!B36)</f>
        <v>0</v>
      </c>
      <c r="W36" s="3">
        <f>SUMIFS('PowerApp_Physical count'!H:H,'PowerApp_Physical count'!B:B,' General Stock Summary View  '!$V$2,'PowerApp_Physical count'!C:C,' General Stock Summary View  '!C36,'PowerApp_Physical count'!A:A,' General Stock Summary View  '!B36)</f>
        <v>0</v>
      </c>
      <c r="X36" s="4">
        <f t="shared" si="12"/>
        <v>0</v>
      </c>
      <c r="Y36" s="5">
        <f>SUMIFS('XBS '!T:T,'XBS '!H:H,' General Stock Summary View  '!$Y$2,'XBS '!B:B,' General Stock Summary View  '!C36,'XBS '!L:L,' General Stock Summary View  '!B36)</f>
        <v>0</v>
      </c>
      <c r="Z36" s="3">
        <f>SUMIFS('PowerApp_Physical count'!H:H,'PowerApp_Physical count'!B:B,' General Stock Summary View  '!$Y$2,'PowerApp_Physical count'!C:C,' General Stock Summary View  '!C36,'PowerApp_Physical count'!A:A,' General Stock Summary View  '!B36)</f>
        <v>0</v>
      </c>
      <c r="AA36" s="4">
        <f t="shared" si="13"/>
        <v>0</v>
      </c>
      <c r="AB36" s="5">
        <f>SUMIFS('XBS '!T:T,'XBS '!H:H,' General Stock Summary View  '!$AB$2,'XBS '!B:B,' General Stock Summary View  '!C36,'XBS '!L:L,' General Stock Summary View  '!B36)</f>
        <v>0</v>
      </c>
      <c r="AC36" s="3">
        <f>SUMIFS('PowerApp_Physical count'!H:H,'PowerApp_Physical count'!B:B,' General Stock Summary View  '!$AB$2,'PowerApp_Physical count'!C:C,' General Stock Summary View  '!C36,'PowerApp_Physical count'!A:A,' General Stock Summary View  '!B36)</f>
        <v>0</v>
      </c>
      <c r="AD36" s="6">
        <f t="shared" si="14"/>
        <v>0</v>
      </c>
      <c r="AE36" s="7">
        <f t="shared" si="8"/>
        <v>0</v>
      </c>
      <c r="AF36" s="8">
        <f t="shared" si="9"/>
        <v>-3.0666666666666669</v>
      </c>
      <c r="AG36" s="112"/>
    </row>
    <row r="37" spans="2:33" s="113" customFormat="1" ht="61.15">
      <c r="B37" s="117" t="s">
        <v>68</v>
      </c>
      <c r="C37" s="111" t="s">
        <v>58</v>
      </c>
      <c r="D37" s="11">
        <f>SUMIFS('XBS '!T:T,'XBS '!C:C,' General Stock Summary View  '!C37,'XBS '!L:L,' General Stock Summary View  '!B37)</f>
        <v>36.366666666666667</v>
      </c>
      <c r="E37" s="2">
        <f>SUMIFS('Blocked for Processing'!P:P,'Blocked for Processing'!I:I,' General Stock Summary View  '!B37,'Blocked for Processing'!C:C,' General Stock Summary View  '!C37)</f>
        <v>0</v>
      </c>
      <c r="F37" s="122">
        <f t="shared" si="0"/>
        <v>36.366666666666667</v>
      </c>
      <c r="G37" s="148">
        <f>SUMIFS('XBS '!T:T,'XBS '!H:H,' General Stock Summary View  '!$G$2,'XBS '!L:L,' General Stock Summary View  '!B37,'XBS '!C:C,' General Stock Summary View  '!C37)</f>
        <v>0</v>
      </c>
      <c r="H37" s="3">
        <f>SUMIFS('PowerApp_Physical count'!H:H,'PowerApp_Physical count'!B:B,' General Stock Summary View  '!$G$2,'PowerApp_Physical count'!C:C,' General Stock Summary View  '!C37,'PowerApp_Physical count'!A:A,' General Stock Summary View  '!B37)</f>
        <v>0</v>
      </c>
      <c r="I37" s="154">
        <f t="shared" si="16"/>
        <v>0</v>
      </c>
      <c r="J37" s="11">
        <f>SUMIFS('XBS '!T:T,'XBS '!H:H,' General Stock Summary View  '!$J$2,'XBS '!L:L,' General Stock Summary View  '!B37,'XBS '!C:C,' General Stock Summary View  '!C37)</f>
        <v>0</v>
      </c>
      <c r="K37" s="157">
        <f>SUMIFS('PowerApp_Physical count'!H:H,'PowerApp_Physical count'!B:B,' General Stock Summary View  '!$J$2,'PowerApp_Physical count'!C:C,' General Stock Summary View  '!C37,'PowerApp_Physical count'!A:A,' General Stock Summary View  '!B37)</f>
        <v>0</v>
      </c>
      <c r="L37" s="127">
        <f t="shared" si="15"/>
        <v>0</v>
      </c>
      <c r="M37" s="126">
        <f t="shared" si="2"/>
        <v>0</v>
      </c>
      <c r="N37" s="11">
        <f t="shared" si="3"/>
        <v>0</v>
      </c>
      <c r="O37" s="144">
        <f t="shared" si="10"/>
        <v>0</v>
      </c>
      <c r="P37" s="2">
        <f>SUMIFS('XBS '!T:T,'XBS '!H:H,' General Stock Summary View  '!$P$2,'XBS '!L:L,' General Stock Summary View  '!B37,'XBS '!C:C,' General Stock Summary View  '!C37)</f>
        <v>36.366666666666667</v>
      </c>
      <c r="Q37" s="3">
        <f>SUMIFS('PowerApp_Physical count'!H:H,'PowerApp_Physical count'!B:B,' General Stock Summary View  '!$P$2,'PowerApp_Physical count'!C:C,' General Stock Summary View  '!C37,'PowerApp_Physical count'!A:A,' General Stock Summary View  '!B37)</f>
        <v>0</v>
      </c>
      <c r="R37" s="4">
        <f t="shared" si="11"/>
        <v>-36.366666666666667</v>
      </c>
      <c r="S37" s="5">
        <f>SUMIFS('XBS '!T:T,'XBS '!L:L,' General Stock Summary View  '!B37,'XBS '!H:H,' General Stock Summary View  '!$S$2,'XBS '!C:C,' General Stock Summary View  '!C37)</f>
        <v>0</v>
      </c>
      <c r="T37" s="3">
        <f>SUMIFS('PowerApp_Physical count'!H:H,'PowerApp_Physical count'!B:B,' General Stock Summary View  '!$S$2,'PowerApp_Physical count'!C:C,' General Stock Summary View  '!C37,'PowerApp_Physical count'!A:A,' General Stock Summary View  '!B37)</f>
        <v>0</v>
      </c>
      <c r="U37" s="4">
        <f t="shared" si="4"/>
        <v>0</v>
      </c>
      <c r="V37" s="2">
        <f>SUMIFS('XBS '!T:T,'XBS '!H:H,' General Stock Summary View  '!$V$2,'XBS '!B:B,' General Stock Summary View  '!C37,'XBS '!L:L,' General Stock Summary View  '!B37)</f>
        <v>0</v>
      </c>
      <c r="W37" s="3">
        <f>SUMIFS('PowerApp_Physical count'!H:H,'PowerApp_Physical count'!B:B,' General Stock Summary View  '!$V$2,'PowerApp_Physical count'!C:C,' General Stock Summary View  '!C37,'PowerApp_Physical count'!A:A,' General Stock Summary View  '!B37)</f>
        <v>0</v>
      </c>
      <c r="X37" s="4">
        <f t="shared" si="12"/>
        <v>0</v>
      </c>
      <c r="Y37" s="5">
        <f>SUMIFS('XBS '!T:T,'XBS '!H:H,' General Stock Summary View  '!$Y$2,'XBS '!B:B,' General Stock Summary View  '!C37,'XBS '!L:L,' General Stock Summary View  '!B37)</f>
        <v>0</v>
      </c>
      <c r="Z37" s="3">
        <f>SUMIFS('PowerApp_Physical count'!H:H,'PowerApp_Physical count'!B:B,' General Stock Summary View  '!$Y$2,'PowerApp_Physical count'!C:C,' General Stock Summary View  '!C37,'PowerApp_Physical count'!A:A,' General Stock Summary View  '!B37)</f>
        <v>0</v>
      </c>
      <c r="AA37" s="4">
        <f t="shared" si="13"/>
        <v>0</v>
      </c>
      <c r="AB37" s="5">
        <f>SUMIFS('XBS '!T:T,'XBS '!H:H,' General Stock Summary View  '!$AB$2,'XBS '!B:B,' General Stock Summary View  '!C37,'XBS '!L:L,' General Stock Summary View  '!B37)</f>
        <v>0</v>
      </c>
      <c r="AC37" s="3">
        <f>SUMIFS('PowerApp_Physical count'!H:H,'PowerApp_Physical count'!B:B,' General Stock Summary View  '!$AB$2,'PowerApp_Physical count'!C:C,' General Stock Summary View  '!C37,'PowerApp_Physical count'!A:A,' General Stock Summary View  '!B37)</f>
        <v>0</v>
      </c>
      <c r="AD37" s="6">
        <f t="shared" si="14"/>
        <v>0</v>
      </c>
      <c r="AE37" s="7">
        <f t="shared" si="8"/>
        <v>0</v>
      </c>
      <c r="AF37" s="8">
        <f t="shared" si="9"/>
        <v>-36.366666666666667</v>
      </c>
      <c r="AG37" s="112"/>
    </row>
    <row r="38" spans="2:33" s="113" customFormat="1" ht="61.15">
      <c r="B38" s="117" t="s">
        <v>69</v>
      </c>
      <c r="C38" s="111" t="s">
        <v>58</v>
      </c>
      <c r="D38" s="11">
        <f>SUMIFS('XBS '!T:T,'XBS '!C:C,' General Stock Summary View  '!C38,'XBS '!L:L,' General Stock Summary View  '!B38)</f>
        <v>3.35</v>
      </c>
      <c r="E38" s="2">
        <f>SUMIFS('Blocked for Processing'!P:P,'Blocked for Processing'!I:I,' General Stock Summary View  '!B38,'Blocked for Processing'!C:C,' General Stock Summary View  '!C38)</f>
        <v>0</v>
      </c>
      <c r="F38" s="122">
        <f t="shared" si="0"/>
        <v>3.35</v>
      </c>
      <c r="G38" s="148">
        <f>SUMIFS('XBS '!T:T,'XBS '!H:H,' General Stock Summary View  '!$G$2,'XBS '!L:L,' General Stock Summary View  '!B38,'XBS '!C:C,' General Stock Summary View  '!C38)</f>
        <v>0</v>
      </c>
      <c r="H38" s="3">
        <f>SUMIFS('PowerApp_Physical count'!H:H,'PowerApp_Physical count'!B:B,' General Stock Summary View  '!$G$2,'PowerApp_Physical count'!C:C,' General Stock Summary View  '!C38,'PowerApp_Physical count'!A:A,' General Stock Summary View  '!B38)</f>
        <v>0</v>
      </c>
      <c r="I38" s="154">
        <f t="shared" si="16"/>
        <v>0</v>
      </c>
      <c r="J38" s="11">
        <f>SUMIFS('XBS '!T:T,'XBS '!H:H,' General Stock Summary View  '!$J$2,'XBS '!L:L,' General Stock Summary View  '!B38,'XBS '!C:C,' General Stock Summary View  '!C38)</f>
        <v>0</v>
      </c>
      <c r="K38" s="157">
        <f>SUMIFS('PowerApp_Physical count'!H:H,'PowerApp_Physical count'!B:B,' General Stock Summary View  '!$J$2,'PowerApp_Physical count'!C:C,' General Stock Summary View  '!C38,'PowerApp_Physical count'!A:A,' General Stock Summary View  '!B38)</f>
        <v>0</v>
      </c>
      <c r="L38" s="127">
        <f t="shared" si="15"/>
        <v>0</v>
      </c>
      <c r="M38" s="126">
        <f t="shared" si="2"/>
        <v>0</v>
      </c>
      <c r="N38" s="11">
        <f t="shared" si="3"/>
        <v>0</v>
      </c>
      <c r="O38" s="144">
        <f t="shared" si="10"/>
        <v>0</v>
      </c>
      <c r="P38" s="2">
        <f>SUMIFS('XBS '!T:T,'XBS '!H:H,' General Stock Summary View  '!$P$2,'XBS '!L:L,' General Stock Summary View  '!B38,'XBS '!C:C,' General Stock Summary View  '!C38)</f>
        <v>3.35</v>
      </c>
      <c r="Q38" s="3">
        <f>SUMIFS('PowerApp_Physical count'!H:H,'PowerApp_Physical count'!B:B,' General Stock Summary View  '!$P$2,'PowerApp_Physical count'!C:C,' General Stock Summary View  '!C38,'PowerApp_Physical count'!A:A,' General Stock Summary View  '!B38)</f>
        <v>0</v>
      </c>
      <c r="R38" s="4">
        <f t="shared" si="11"/>
        <v>-3.35</v>
      </c>
      <c r="S38" s="5">
        <f>SUMIFS('XBS '!T:T,'XBS '!L:L,' General Stock Summary View  '!B38,'XBS '!H:H,' General Stock Summary View  '!$S$2,'XBS '!C:C,' General Stock Summary View  '!C38)</f>
        <v>0</v>
      </c>
      <c r="T38" s="3">
        <f>SUMIFS('PowerApp_Physical count'!H:H,'PowerApp_Physical count'!B:B,' General Stock Summary View  '!$S$2,'PowerApp_Physical count'!C:C,' General Stock Summary View  '!C38,'PowerApp_Physical count'!A:A,' General Stock Summary View  '!B38)</f>
        <v>0</v>
      </c>
      <c r="U38" s="4">
        <f t="shared" si="4"/>
        <v>0</v>
      </c>
      <c r="V38" s="2">
        <f>SUMIFS('XBS '!T:T,'XBS '!H:H,' General Stock Summary View  '!$V$2,'XBS '!B:B,' General Stock Summary View  '!C38,'XBS '!L:L,' General Stock Summary View  '!B38)</f>
        <v>0</v>
      </c>
      <c r="W38" s="3">
        <f>SUMIFS('PowerApp_Physical count'!H:H,'PowerApp_Physical count'!B:B,' General Stock Summary View  '!$V$2,'PowerApp_Physical count'!C:C,' General Stock Summary View  '!C38,'PowerApp_Physical count'!A:A,' General Stock Summary View  '!B38)</f>
        <v>0</v>
      </c>
      <c r="X38" s="4">
        <f t="shared" si="12"/>
        <v>0</v>
      </c>
      <c r="Y38" s="5">
        <f>SUMIFS('XBS '!T:T,'XBS '!H:H,' General Stock Summary View  '!$Y$2,'XBS '!B:B,' General Stock Summary View  '!C38,'XBS '!L:L,' General Stock Summary View  '!B38)</f>
        <v>0</v>
      </c>
      <c r="Z38" s="3">
        <f>SUMIFS('PowerApp_Physical count'!H:H,'PowerApp_Physical count'!B:B,' General Stock Summary View  '!$Y$2,'PowerApp_Physical count'!C:C,' General Stock Summary View  '!C38,'PowerApp_Physical count'!A:A,' General Stock Summary View  '!B38)</f>
        <v>0</v>
      </c>
      <c r="AA38" s="4">
        <f t="shared" si="13"/>
        <v>0</v>
      </c>
      <c r="AB38" s="5">
        <f>SUMIFS('XBS '!T:T,'XBS '!H:H,' General Stock Summary View  '!$AB$2,'XBS '!B:B,' General Stock Summary View  '!C38,'XBS '!L:L,' General Stock Summary View  '!B38)</f>
        <v>0</v>
      </c>
      <c r="AC38" s="3">
        <f>SUMIFS('PowerApp_Physical count'!H:H,'PowerApp_Physical count'!B:B,' General Stock Summary View  '!$AB$2,'PowerApp_Physical count'!C:C,' General Stock Summary View  '!C38,'PowerApp_Physical count'!A:A,' General Stock Summary View  '!B38)</f>
        <v>0</v>
      </c>
      <c r="AD38" s="6">
        <f t="shared" si="14"/>
        <v>0</v>
      </c>
      <c r="AE38" s="7">
        <f t="shared" si="8"/>
        <v>0</v>
      </c>
      <c r="AF38" s="8">
        <f t="shared" si="9"/>
        <v>-3.35</v>
      </c>
      <c r="AG38" s="112"/>
    </row>
    <row r="39" spans="2:33" s="113" customFormat="1" ht="61.15">
      <c r="B39" s="117" t="s">
        <v>70</v>
      </c>
      <c r="C39" s="111" t="s">
        <v>58</v>
      </c>
      <c r="D39" s="11">
        <f>SUMIFS('XBS '!T:T,'XBS '!C:C,' General Stock Summary View  '!C39,'XBS '!L:L,' General Stock Summary View  '!B39)</f>
        <v>12.433333333333334</v>
      </c>
      <c r="E39" s="2">
        <f>SUMIFS('Blocked for Processing'!P:P,'Blocked for Processing'!I:I,' General Stock Summary View  '!B39,'Blocked for Processing'!C:C,' General Stock Summary View  '!C39)</f>
        <v>0</v>
      </c>
      <c r="F39" s="122">
        <f t="shared" si="0"/>
        <v>12.433333333333334</v>
      </c>
      <c r="G39" s="148">
        <f>SUMIFS('XBS '!T:T,'XBS '!H:H,' General Stock Summary View  '!$G$2,'XBS '!L:L,' General Stock Summary View  '!B39,'XBS '!C:C,' General Stock Summary View  '!C39)</f>
        <v>0</v>
      </c>
      <c r="H39" s="3">
        <f>SUMIFS('PowerApp_Physical count'!H:H,'PowerApp_Physical count'!B:B,' General Stock Summary View  '!$G$2,'PowerApp_Physical count'!C:C,' General Stock Summary View  '!C39,'PowerApp_Physical count'!A:A,' General Stock Summary View  '!B39)</f>
        <v>0</v>
      </c>
      <c r="I39" s="154">
        <f t="shared" si="16"/>
        <v>0</v>
      </c>
      <c r="J39" s="11">
        <f>SUMIFS('XBS '!T:T,'XBS '!H:H,' General Stock Summary View  '!$J$2,'XBS '!L:L,' General Stock Summary View  '!B39,'XBS '!C:C,' General Stock Summary View  '!C39)</f>
        <v>0</v>
      </c>
      <c r="K39" s="157">
        <f>SUMIFS('PowerApp_Physical count'!H:H,'PowerApp_Physical count'!B:B,' General Stock Summary View  '!$J$2,'PowerApp_Physical count'!C:C,' General Stock Summary View  '!C39,'PowerApp_Physical count'!A:A,' General Stock Summary View  '!B39)</f>
        <v>0</v>
      </c>
      <c r="L39" s="127">
        <f t="shared" si="15"/>
        <v>0</v>
      </c>
      <c r="M39" s="126">
        <f t="shared" si="2"/>
        <v>0</v>
      </c>
      <c r="N39" s="11">
        <f t="shared" si="3"/>
        <v>0</v>
      </c>
      <c r="O39" s="144">
        <f t="shared" si="10"/>
        <v>0</v>
      </c>
      <c r="P39" s="2">
        <f>SUMIFS('XBS '!T:T,'XBS '!H:H,' General Stock Summary View  '!$P$2,'XBS '!L:L,' General Stock Summary View  '!B39,'XBS '!C:C,' General Stock Summary View  '!C39)</f>
        <v>12.433333333333334</v>
      </c>
      <c r="Q39" s="3">
        <f>SUMIFS('PowerApp_Physical count'!H:H,'PowerApp_Physical count'!B:B,' General Stock Summary View  '!$P$2,'PowerApp_Physical count'!C:C,' General Stock Summary View  '!C39,'PowerApp_Physical count'!A:A,' General Stock Summary View  '!B39)</f>
        <v>0</v>
      </c>
      <c r="R39" s="4">
        <f t="shared" si="11"/>
        <v>-12.433333333333334</v>
      </c>
      <c r="S39" s="5">
        <f>SUMIFS('XBS '!T:T,'XBS '!L:L,' General Stock Summary View  '!B39,'XBS '!H:H,' General Stock Summary View  '!$S$2,'XBS '!C:C,' General Stock Summary View  '!C39)</f>
        <v>0</v>
      </c>
      <c r="T39" s="3">
        <f>SUMIFS('PowerApp_Physical count'!H:H,'PowerApp_Physical count'!B:B,' General Stock Summary View  '!$S$2,'PowerApp_Physical count'!C:C,' General Stock Summary View  '!C39,'PowerApp_Physical count'!A:A,' General Stock Summary View  '!B39)</f>
        <v>0</v>
      </c>
      <c r="U39" s="4">
        <f t="shared" si="4"/>
        <v>0</v>
      </c>
      <c r="V39" s="2">
        <f>SUMIFS('XBS '!T:T,'XBS '!H:H,' General Stock Summary View  '!$V$2,'XBS '!B:B,' General Stock Summary View  '!C39,'XBS '!L:L,' General Stock Summary View  '!B39)</f>
        <v>0</v>
      </c>
      <c r="W39" s="3">
        <f>SUMIFS('PowerApp_Physical count'!H:H,'PowerApp_Physical count'!B:B,' General Stock Summary View  '!$V$2,'PowerApp_Physical count'!C:C,' General Stock Summary View  '!C39,'PowerApp_Physical count'!A:A,' General Stock Summary View  '!B39)</f>
        <v>0</v>
      </c>
      <c r="X39" s="4">
        <f t="shared" si="12"/>
        <v>0</v>
      </c>
      <c r="Y39" s="5">
        <f>SUMIFS('XBS '!T:T,'XBS '!H:H,' General Stock Summary View  '!$Y$2,'XBS '!B:B,' General Stock Summary View  '!C39,'XBS '!L:L,' General Stock Summary View  '!B39)</f>
        <v>0</v>
      </c>
      <c r="Z39" s="3">
        <f>SUMIFS('PowerApp_Physical count'!H:H,'PowerApp_Physical count'!B:B,' General Stock Summary View  '!$Y$2,'PowerApp_Physical count'!C:C,' General Stock Summary View  '!C39,'PowerApp_Physical count'!A:A,' General Stock Summary View  '!B39)</f>
        <v>0</v>
      </c>
      <c r="AA39" s="4">
        <f t="shared" si="13"/>
        <v>0</v>
      </c>
      <c r="AB39" s="5">
        <f>SUMIFS('XBS '!T:T,'XBS '!H:H,' General Stock Summary View  '!$AB$2,'XBS '!B:B,' General Stock Summary View  '!C39,'XBS '!L:L,' General Stock Summary View  '!B39)</f>
        <v>0</v>
      </c>
      <c r="AC39" s="3">
        <f>SUMIFS('PowerApp_Physical count'!H:H,'PowerApp_Physical count'!B:B,' General Stock Summary View  '!$AB$2,'PowerApp_Physical count'!C:C,' General Stock Summary View  '!C39,'PowerApp_Physical count'!A:A,' General Stock Summary View  '!B39)</f>
        <v>0</v>
      </c>
      <c r="AD39" s="6">
        <f t="shared" si="14"/>
        <v>0</v>
      </c>
      <c r="AE39" s="7">
        <f t="shared" si="8"/>
        <v>0</v>
      </c>
      <c r="AF39" s="8">
        <f t="shared" si="9"/>
        <v>-12.433333333333334</v>
      </c>
      <c r="AG39" s="112"/>
    </row>
    <row r="40" spans="2:33" s="113" customFormat="1" ht="61.15">
      <c r="B40" s="117" t="s">
        <v>71</v>
      </c>
      <c r="C40" s="111" t="s">
        <v>58</v>
      </c>
      <c r="D40" s="11">
        <f>SUMIFS('XBS '!T:T,'XBS '!C:C,' General Stock Summary View  '!C40,'XBS '!L:L,' General Stock Summary View  '!B40)</f>
        <v>10.183333333333334</v>
      </c>
      <c r="E40" s="2">
        <f>SUMIFS('Blocked for Processing'!P:P,'Blocked for Processing'!I:I,' General Stock Summary View  '!B40,'Blocked for Processing'!C:C,' General Stock Summary View  '!C40)</f>
        <v>0</v>
      </c>
      <c r="F40" s="122">
        <f t="shared" si="0"/>
        <v>10.183333333333334</v>
      </c>
      <c r="G40" s="148">
        <f>SUMIFS('XBS '!T:T,'XBS '!H:H,' General Stock Summary View  '!$G$2,'XBS '!L:L,' General Stock Summary View  '!B40,'XBS '!C:C,' General Stock Summary View  '!C40)</f>
        <v>0</v>
      </c>
      <c r="H40" s="3">
        <f>SUMIFS('PowerApp_Physical count'!H:H,'PowerApp_Physical count'!B:B,' General Stock Summary View  '!$G$2,'PowerApp_Physical count'!C:C,' General Stock Summary View  '!C40,'PowerApp_Physical count'!A:A,' General Stock Summary View  '!B40)</f>
        <v>0</v>
      </c>
      <c r="I40" s="154">
        <f t="shared" si="16"/>
        <v>0</v>
      </c>
      <c r="J40" s="11">
        <f>SUMIFS('XBS '!T:T,'XBS '!H:H,' General Stock Summary View  '!$J$2,'XBS '!L:L,' General Stock Summary View  '!B40,'XBS '!C:C,' General Stock Summary View  '!C40)</f>
        <v>0</v>
      </c>
      <c r="K40" s="157">
        <f>SUMIFS('PowerApp_Physical count'!H:H,'PowerApp_Physical count'!B:B,' General Stock Summary View  '!$J$2,'PowerApp_Physical count'!C:C,' General Stock Summary View  '!C40,'PowerApp_Physical count'!A:A,' General Stock Summary View  '!B40)</f>
        <v>0</v>
      </c>
      <c r="L40" s="127">
        <f t="shared" si="15"/>
        <v>0</v>
      </c>
      <c r="M40" s="126">
        <f t="shared" si="2"/>
        <v>0</v>
      </c>
      <c r="N40" s="11">
        <f t="shared" si="3"/>
        <v>0</v>
      </c>
      <c r="O40" s="144">
        <f t="shared" si="10"/>
        <v>0</v>
      </c>
      <c r="P40" s="2">
        <f>SUMIFS('XBS '!T:T,'XBS '!H:H,' General Stock Summary View  '!$P$2,'XBS '!L:L,' General Stock Summary View  '!B40,'XBS '!C:C,' General Stock Summary View  '!C40)</f>
        <v>10.183333333333334</v>
      </c>
      <c r="Q40" s="3">
        <f>SUMIFS('PowerApp_Physical count'!H:H,'PowerApp_Physical count'!B:B,' General Stock Summary View  '!$P$2,'PowerApp_Physical count'!C:C,' General Stock Summary View  '!C40,'PowerApp_Physical count'!A:A,' General Stock Summary View  '!B40)</f>
        <v>0</v>
      </c>
      <c r="R40" s="4">
        <f t="shared" si="11"/>
        <v>-10.183333333333334</v>
      </c>
      <c r="S40" s="5">
        <f>SUMIFS('XBS '!T:T,'XBS '!L:L,' General Stock Summary View  '!B40,'XBS '!H:H,' General Stock Summary View  '!$S$2,'XBS '!C:C,' General Stock Summary View  '!C40)</f>
        <v>0</v>
      </c>
      <c r="T40" s="3">
        <f>SUMIFS('PowerApp_Physical count'!H:H,'PowerApp_Physical count'!B:B,' General Stock Summary View  '!$S$2,'PowerApp_Physical count'!C:C,' General Stock Summary View  '!C40,'PowerApp_Physical count'!A:A,' General Stock Summary View  '!B40)</f>
        <v>0</v>
      </c>
      <c r="U40" s="4">
        <f t="shared" si="4"/>
        <v>0</v>
      </c>
      <c r="V40" s="2">
        <f>SUMIFS('XBS '!T:T,'XBS '!H:H,' General Stock Summary View  '!$V$2,'XBS '!B:B,' General Stock Summary View  '!C40,'XBS '!L:L,' General Stock Summary View  '!B40)</f>
        <v>0</v>
      </c>
      <c r="W40" s="3">
        <f>SUMIFS('PowerApp_Physical count'!H:H,'PowerApp_Physical count'!B:B,' General Stock Summary View  '!$V$2,'PowerApp_Physical count'!C:C,' General Stock Summary View  '!C40,'PowerApp_Physical count'!A:A,' General Stock Summary View  '!B40)</f>
        <v>0</v>
      </c>
      <c r="X40" s="4">
        <f t="shared" si="12"/>
        <v>0</v>
      </c>
      <c r="Y40" s="5">
        <f>SUMIFS('XBS '!T:T,'XBS '!H:H,' General Stock Summary View  '!$Y$2,'XBS '!B:B,' General Stock Summary View  '!C40,'XBS '!L:L,' General Stock Summary View  '!B40)</f>
        <v>0</v>
      </c>
      <c r="Z40" s="3">
        <f>SUMIFS('PowerApp_Physical count'!H:H,'PowerApp_Physical count'!B:B,' General Stock Summary View  '!$Y$2,'PowerApp_Physical count'!C:C,' General Stock Summary View  '!C40,'PowerApp_Physical count'!A:A,' General Stock Summary View  '!B40)</f>
        <v>0</v>
      </c>
      <c r="AA40" s="4">
        <f t="shared" si="13"/>
        <v>0</v>
      </c>
      <c r="AB40" s="5">
        <f>SUMIFS('XBS '!T:T,'XBS '!H:H,' General Stock Summary View  '!$AB$2,'XBS '!B:B,' General Stock Summary View  '!C40,'XBS '!L:L,' General Stock Summary View  '!B40)</f>
        <v>0</v>
      </c>
      <c r="AC40" s="3">
        <f>SUMIFS('PowerApp_Physical count'!H:H,'PowerApp_Physical count'!B:B,' General Stock Summary View  '!$AB$2,'PowerApp_Physical count'!C:C,' General Stock Summary View  '!C40,'PowerApp_Physical count'!A:A,' General Stock Summary View  '!B40)</f>
        <v>0</v>
      </c>
      <c r="AD40" s="6">
        <f t="shared" si="14"/>
        <v>0</v>
      </c>
      <c r="AE40" s="7">
        <f t="shared" si="8"/>
        <v>0</v>
      </c>
      <c r="AF40" s="8">
        <f t="shared" si="9"/>
        <v>-10.183333333333334</v>
      </c>
      <c r="AG40" s="112"/>
    </row>
    <row r="41" spans="2:33" s="113" customFormat="1" ht="61.15">
      <c r="B41" s="117" t="s">
        <v>43</v>
      </c>
      <c r="C41" s="111" t="s">
        <v>58</v>
      </c>
      <c r="D41" s="11">
        <f>SUMIFS('XBS '!T:T,'XBS '!C:C,' General Stock Summary View  '!C41,'XBS '!L:L,' General Stock Summary View  '!B41)</f>
        <v>7.5166666666666666</v>
      </c>
      <c r="E41" s="2">
        <f>SUMIFS('Blocked for Processing'!P:P,'Blocked for Processing'!I:I,' General Stock Summary View  '!B41,'Blocked for Processing'!C:C,' General Stock Summary View  '!C41)</f>
        <v>0</v>
      </c>
      <c r="F41" s="122">
        <f t="shared" ref="F41:F104" si="17">SUM(D41:E41)</f>
        <v>7.5166666666666666</v>
      </c>
      <c r="G41" s="148">
        <f>SUMIFS('XBS '!T:T,'XBS '!H:H,' General Stock Summary View  '!$G$2,'XBS '!L:L,' General Stock Summary View  '!B41,'XBS '!C:C,' General Stock Summary View  '!C41)</f>
        <v>0</v>
      </c>
      <c r="H41" s="3">
        <f>SUMIFS('PowerApp_Physical count'!H:H,'PowerApp_Physical count'!B:B,' General Stock Summary View  '!$G$2,'PowerApp_Physical count'!C:C,' General Stock Summary View  '!C41,'PowerApp_Physical count'!A:A,' General Stock Summary View  '!B41)</f>
        <v>0</v>
      </c>
      <c r="I41" s="154">
        <f t="shared" si="16"/>
        <v>0</v>
      </c>
      <c r="J41" s="11">
        <f>SUMIFS('XBS '!T:T,'XBS '!H:H,' General Stock Summary View  '!$J$2,'XBS '!L:L,' General Stock Summary View  '!B41,'XBS '!C:C,' General Stock Summary View  '!C41)</f>
        <v>0</v>
      </c>
      <c r="K41" s="157">
        <f>SUMIFS('PowerApp_Physical count'!H:H,'PowerApp_Physical count'!B:B,' General Stock Summary View  '!$J$2,'PowerApp_Physical count'!C:C,' General Stock Summary View  '!C41,'PowerApp_Physical count'!A:A,' General Stock Summary View  '!B41)</f>
        <v>0</v>
      </c>
      <c r="L41" s="127">
        <f t="shared" ref="L41:L104" si="18">K41-J41</f>
        <v>0</v>
      </c>
      <c r="M41" s="126">
        <f t="shared" ref="M41:M104" si="19">J41+G41+E41</f>
        <v>0</v>
      </c>
      <c r="N41" s="11">
        <f t="shared" ref="N41:N104" si="20">K41+H41</f>
        <v>0</v>
      </c>
      <c r="O41" s="144">
        <f t="shared" ref="O41:O104" si="21">N41-M41</f>
        <v>0</v>
      </c>
      <c r="P41" s="2">
        <f>SUMIFS('XBS '!T:T,'XBS '!H:H,' General Stock Summary View  '!$P$2,'XBS '!L:L,' General Stock Summary View  '!B41,'XBS '!C:C,' General Stock Summary View  '!C41)</f>
        <v>7.5166666666666666</v>
      </c>
      <c r="Q41" s="3">
        <f>SUMIFS('PowerApp_Physical count'!H:H,'PowerApp_Physical count'!B:B,' General Stock Summary View  '!$P$2,'PowerApp_Physical count'!C:C,' General Stock Summary View  '!C41,'PowerApp_Physical count'!A:A,' General Stock Summary View  '!B41)</f>
        <v>0</v>
      </c>
      <c r="R41" s="4">
        <f t="shared" ref="R41:R104" si="22">Q41-P41</f>
        <v>-7.5166666666666666</v>
      </c>
      <c r="S41" s="5">
        <f>SUMIFS('XBS '!T:T,'XBS '!L:L,' General Stock Summary View  '!B41,'XBS '!H:H,' General Stock Summary View  '!$S$2,'XBS '!C:C,' General Stock Summary View  '!C41)</f>
        <v>0</v>
      </c>
      <c r="T41" s="3">
        <f>SUMIFS('PowerApp_Physical count'!H:H,'PowerApp_Physical count'!B:B,' General Stock Summary View  '!$S$2,'PowerApp_Physical count'!C:C,' General Stock Summary View  '!C41,'PowerApp_Physical count'!A:A,' General Stock Summary View  '!B41)</f>
        <v>0</v>
      </c>
      <c r="U41" s="4">
        <f t="shared" ref="U41:U104" si="23">T41-S41</f>
        <v>0</v>
      </c>
      <c r="V41" s="2">
        <f>SUMIFS('XBS '!T:T,'XBS '!H:H,' General Stock Summary View  '!$V$2,'XBS '!B:B,' General Stock Summary View  '!C41,'XBS '!L:L,' General Stock Summary View  '!B41)</f>
        <v>0</v>
      </c>
      <c r="W41" s="3">
        <f>SUMIFS('PowerApp_Physical count'!H:H,'PowerApp_Physical count'!B:B,' General Stock Summary View  '!$V$2,'PowerApp_Physical count'!C:C,' General Stock Summary View  '!C41,'PowerApp_Physical count'!A:A,' General Stock Summary View  '!B41)</f>
        <v>0</v>
      </c>
      <c r="X41" s="4">
        <f t="shared" ref="X41:X104" si="24">W41-V41</f>
        <v>0</v>
      </c>
      <c r="Y41" s="5">
        <f>SUMIFS('XBS '!T:T,'XBS '!H:H,' General Stock Summary View  '!$Y$2,'XBS '!B:B,' General Stock Summary View  '!C41,'XBS '!L:L,' General Stock Summary View  '!B41)</f>
        <v>0</v>
      </c>
      <c r="Z41" s="3">
        <f>SUMIFS('PowerApp_Physical count'!H:H,'PowerApp_Physical count'!B:B,' General Stock Summary View  '!$Y$2,'PowerApp_Physical count'!C:C,' General Stock Summary View  '!C41,'PowerApp_Physical count'!A:A,' General Stock Summary View  '!B41)</f>
        <v>0</v>
      </c>
      <c r="AA41" s="4">
        <f t="shared" ref="AA41:AA104" si="25">Z41-Y41</f>
        <v>0</v>
      </c>
      <c r="AB41" s="5">
        <f>SUMIFS('XBS '!T:T,'XBS '!H:H,' General Stock Summary View  '!$AB$2,'XBS '!B:B,' General Stock Summary View  '!C41,'XBS '!L:L,' General Stock Summary View  '!B41)</f>
        <v>0</v>
      </c>
      <c r="AC41" s="3">
        <f>SUMIFS('PowerApp_Physical count'!H:H,'PowerApp_Physical count'!B:B,' General Stock Summary View  '!$AB$2,'PowerApp_Physical count'!C:C,' General Stock Summary View  '!C41,'PowerApp_Physical count'!A:A,' General Stock Summary View  '!B41)</f>
        <v>0</v>
      </c>
      <c r="AD41" s="6">
        <f t="shared" ref="AD41:AD104" si="26">AC41-AB41</f>
        <v>0</v>
      </c>
      <c r="AE41" s="7">
        <f t="shared" ref="AE41:AE104" si="27">SUM(H41,Q41,T41,W41,Z41,AC41+K41)</f>
        <v>0</v>
      </c>
      <c r="AF41" s="8">
        <f t="shared" ref="AF41:AF104" si="28">AE41-F41</f>
        <v>-7.5166666666666666</v>
      </c>
      <c r="AG41" s="112"/>
    </row>
    <row r="42" spans="2:33" s="113" customFormat="1" ht="61.15">
      <c r="B42" s="117" t="s">
        <v>72</v>
      </c>
      <c r="C42" s="111" t="s">
        <v>58</v>
      </c>
      <c r="D42" s="11">
        <f>SUMIFS('XBS '!T:T,'XBS '!C:C,' General Stock Summary View  '!C42,'XBS '!L:L,' General Stock Summary View  '!B42)</f>
        <v>22.85</v>
      </c>
      <c r="E42" s="2">
        <f>SUMIFS('Blocked for Processing'!P:P,'Blocked for Processing'!I:I,' General Stock Summary View  '!B42,'Blocked for Processing'!C:C,' General Stock Summary View  '!C42)</f>
        <v>0</v>
      </c>
      <c r="F42" s="122">
        <f t="shared" si="17"/>
        <v>22.85</v>
      </c>
      <c r="G42" s="148">
        <f>SUMIFS('XBS '!T:T,'XBS '!H:H,' General Stock Summary View  '!$G$2,'XBS '!L:L,' General Stock Summary View  '!B42,'XBS '!C:C,' General Stock Summary View  '!C42)</f>
        <v>0</v>
      </c>
      <c r="H42" s="3">
        <f>SUMIFS('PowerApp_Physical count'!H:H,'PowerApp_Physical count'!B:B,' General Stock Summary View  '!$G$2,'PowerApp_Physical count'!C:C,' General Stock Summary View  '!C42,'PowerApp_Physical count'!A:A,' General Stock Summary View  '!B42)</f>
        <v>0</v>
      </c>
      <c r="I42" s="154">
        <f t="shared" si="16"/>
        <v>0</v>
      </c>
      <c r="J42" s="11">
        <f>SUMIFS('XBS '!T:T,'XBS '!H:H,' General Stock Summary View  '!$J$2,'XBS '!L:L,' General Stock Summary View  '!B42,'XBS '!C:C,' General Stock Summary View  '!C42)</f>
        <v>0</v>
      </c>
      <c r="K42" s="157">
        <f>SUMIFS('PowerApp_Physical count'!H:H,'PowerApp_Physical count'!B:B,' General Stock Summary View  '!$J$2,'PowerApp_Physical count'!C:C,' General Stock Summary View  '!C42,'PowerApp_Physical count'!A:A,' General Stock Summary View  '!B42)</f>
        <v>0</v>
      </c>
      <c r="L42" s="127">
        <f t="shared" si="18"/>
        <v>0</v>
      </c>
      <c r="M42" s="126">
        <f t="shared" si="19"/>
        <v>0</v>
      </c>
      <c r="N42" s="11">
        <f t="shared" si="20"/>
        <v>0</v>
      </c>
      <c r="O42" s="144">
        <f t="shared" si="21"/>
        <v>0</v>
      </c>
      <c r="P42" s="2">
        <f>SUMIFS('XBS '!T:T,'XBS '!H:H,' General Stock Summary View  '!$P$2,'XBS '!L:L,' General Stock Summary View  '!B42,'XBS '!C:C,' General Stock Summary View  '!C42)</f>
        <v>22.85</v>
      </c>
      <c r="Q42" s="3">
        <f>SUMIFS('PowerApp_Physical count'!H:H,'PowerApp_Physical count'!B:B,' General Stock Summary View  '!$P$2,'PowerApp_Physical count'!C:C,' General Stock Summary View  '!C42,'PowerApp_Physical count'!A:A,' General Stock Summary View  '!B42)</f>
        <v>0</v>
      </c>
      <c r="R42" s="4">
        <f t="shared" si="22"/>
        <v>-22.85</v>
      </c>
      <c r="S42" s="5">
        <f>SUMIFS('XBS '!T:T,'XBS '!L:L,' General Stock Summary View  '!B42,'XBS '!H:H,' General Stock Summary View  '!$S$2,'XBS '!C:C,' General Stock Summary View  '!C42)</f>
        <v>0</v>
      </c>
      <c r="T42" s="3">
        <f>SUMIFS('PowerApp_Physical count'!H:H,'PowerApp_Physical count'!B:B,' General Stock Summary View  '!$S$2,'PowerApp_Physical count'!C:C,' General Stock Summary View  '!C42,'PowerApp_Physical count'!A:A,' General Stock Summary View  '!B42)</f>
        <v>0</v>
      </c>
      <c r="U42" s="4">
        <f t="shared" si="23"/>
        <v>0</v>
      </c>
      <c r="V42" s="2">
        <f>SUMIFS('XBS '!T:T,'XBS '!H:H,' General Stock Summary View  '!$V$2,'XBS '!B:B,' General Stock Summary View  '!C42,'XBS '!L:L,' General Stock Summary View  '!B42)</f>
        <v>0</v>
      </c>
      <c r="W42" s="3">
        <f>SUMIFS('PowerApp_Physical count'!H:H,'PowerApp_Physical count'!B:B,' General Stock Summary View  '!$V$2,'PowerApp_Physical count'!C:C,' General Stock Summary View  '!C42,'PowerApp_Physical count'!A:A,' General Stock Summary View  '!B42)</f>
        <v>0</v>
      </c>
      <c r="X42" s="4">
        <f t="shared" si="24"/>
        <v>0</v>
      </c>
      <c r="Y42" s="5">
        <f>SUMIFS('XBS '!T:T,'XBS '!H:H,' General Stock Summary View  '!$Y$2,'XBS '!B:B,' General Stock Summary View  '!C42,'XBS '!L:L,' General Stock Summary View  '!B42)</f>
        <v>0</v>
      </c>
      <c r="Z42" s="3">
        <f>SUMIFS('PowerApp_Physical count'!H:H,'PowerApp_Physical count'!B:B,' General Stock Summary View  '!$Y$2,'PowerApp_Physical count'!C:C,' General Stock Summary View  '!C42,'PowerApp_Physical count'!A:A,' General Stock Summary View  '!B42)</f>
        <v>0</v>
      </c>
      <c r="AA42" s="4">
        <f t="shared" si="25"/>
        <v>0</v>
      </c>
      <c r="AB42" s="5">
        <f>SUMIFS('XBS '!T:T,'XBS '!H:H,' General Stock Summary View  '!$AB$2,'XBS '!B:B,' General Stock Summary View  '!C42,'XBS '!L:L,' General Stock Summary View  '!B42)</f>
        <v>0</v>
      </c>
      <c r="AC42" s="3">
        <f>SUMIFS('PowerApp_Physical count'!H:H,'PowerApp_Physical count'!B:B,' General Stock Summary View  '!$AB$2,'PowerApp_Physical count'!C:C,' General Stock Summary View  '!C42,'PowerApp_Physical count'!A:A,' General Stock Summary View  '!B42)</f>
        <v>0</v>
      </c>
      <c r="AD42" s="6">
        <f t="shared" si="26"/>
        <v>0</v>
      </c>
      <c r="AE42" s="7">
        <f t="shared" si="27"/>
        <v>0</v>
      </c>
      <c r="AF42" s="8">
        <f t="shared" si="28"/>
        <v>-22.85</v>
      </c>
      <c r="AG42" s="112"/>
    </row>
    <row r="43" spans="2:33" s="113" customFormat="1" ht="61.15">
      <c r="B43" s="117" t="s">
        <v>73</v>
      </c>
      <c r="C43" s="111" t="s">
        <v>58</v>
      </c>
      <c r="D43" s="11">
        <f>SUMIFS('XBS '!T:T,'XBS '!C:C,' General Stock Summary View  '!C43,'XBS '!L:L,' General Stock Summary View  '!B43)</f>
        <v>30.816666666666666</v>
      </c>
      <c r="E43" s="2">
        <f>SUMIFS('Blocked for Processing'!P:P,'Blocked for Processing'!I:I,' General Stock Summary View  '!B43,'Blocked for Processing'!C:C,' General Stock Summary View  '!C43)</f>
        <v>0</v>
      </c>
      <c r="F43" s="122">
        <f t="shared" si="17"/>
        <v>30.816666666666666</v>
      </c>
      <c r="G43" s="148">
        <f>SUMIFS('XBS '!T:T,'XBS '!H:H,' General Stock Summary View  '!$G$2,'XBS '!L:L,' General Stock Summary View  '!B43,'XBS '!C:C,' General Stock Summary View  '!C43)</f>
        <v>0</v>
      </c>
      <c r="H43" s="3">
        <f>SUMIFS('PowerApp_Physical count'!H:H,'PowerApp_Physical count'!B:B,' General Stock Summary View  '!$G$2,'PowerApp_Physical count'!C:C,' General Stock Summary View  '!C43,'PowerApp_Physical count'!A:A,' General Stock Summary View  '!B43)</f>
        <v>0</v>
      </c>
      <c r="I43" s="154">
        <f t="shared" si="16"/>
        <v>0</v>
      </c>
      <c r="J43" s="11">
        <f>SUMIFS('XBS '!T:T,'XBS '!H:H,' General Stock Summary View  '!$J$2,'XBS '!L:L,' General Stock Summary View  '!B43,'XBS '!C:C,' General Stock Summary View  '!C43)</f>
        <v>0</v>
      </c>
      <c r="K43" s="157">
        <f>SUMIFS('PowerApp_Physical count'!H:H,'PowerApp_Physical count'!B:B,' General Stock Summary View  '!$J$2,'PowerApp_Physical count'!C:C,' General Stock Summary View  '!C43,'PowerApp_Physical count'!A:A,' General Stock Summary View  '!B43)</f>
        <v>0</v>
      </c>
      <c r="L43" s="127">
        <f t="shared" si="18"/>
        <v>0</v>
      </c>
      <c r="M43" s="126">
        <f t="shared" si="19"/>
        <v>0</v>
      </c>
      <c r="N43" s="11">
        <f t="shared" si="20"/>
        <v>0</v>
      </c>
      <c r="O43" s="144">
        <f t="shared" si="21"/>
        <v>0</v>
      </c>
      <c r="P43" s="2">
        <f>SUMIFS('XBS '!T:T,'XBS '!H:H,' General Stock Summary View  '!$P$2,'XBS '!L:L,' General Stock Summary View  '!B43,'XBS '!C:C,' General Stock Summary View  '!C43)</f>
        <v>30.816666666666666</v>
      </c>
      <c r="Q43" s="3">
        <f>SUMIFS('PowerApp_Physical count'!H:H,'PowerApp_Physical count'!B:B,' General Stock Summary View  '!$P$2,'PowerApp_Physical count'!C:C,' General Stock Summary View  '!C43,'PowerApp_Physical count'!A:A,' General Stock Summary View  '!B43)</f>
        <v>0</v>
      </c>
      <c r="R43" s="4">
        <f t="shared" si="22"/>
        <v>-30.816666666666666</v>
      </c>
      <c r="S43" s="5">
        <f>SUMIFS('XBS '!T:T,'XBS '!L:L,' General Stock Summary View  '!B43,'XBS '!H:H,' General Stock Summary View  '!$S$2,'XBS '!C:C,' General Stock Summary View  '!C43)</f>
        <v>0</v>
      </c>
      <c r="T43" s="3">
        <f>SUMIFS('PowerApp_Physical count'!H:H,'PowerApp_Physical count'!B:B,' General Stock Summary View  '!$S$2,'PowerApp_Physical count'!C:C,' General Stock Summary View  '!C43,'PowerApp_Physical count'!A:A,' General Stock Summary View  '!B43)</f>
        <v>0</v>
      </c>
      <c r="U43" s="4">
        <f t="shared" si="23"/>
        <v>0</v>
      </c>
      <c r="V43" s="2">
        <f>SUMIFS('XBS '!T:T,'XBS '!H:H,' General Stock Summary View  '!$V$2,'XBS '!B:B,' General Stock Summary View  '!C43,'XBS '!L:L,' General Stock Summary View  '!B43)</f>
        <v>0</v>
      </c>
      <c r="W43" s="3">
        <f>SUMIFS('PowerApp_Physical count'!H:H,'PowerApp_Physical count'!B:B,' General Stock Summary View  '!$V$2,'PowerApp_Physical count'!C:C,' General Stock Summary View  '!C43,'PowerApp_Physical count'!A:A,' General Stock Summary View  '!B43)</f>
        <v>0</v>
      </c>
      <c r="X43" s="4">
        <f t="shared" si="24"/>
        <v>0</v>
      </c>
      <c r="Y43" s="5">
        <f>SUMIFS('XBS '!T:T,'XBS '!H:H,' General Stock Summary View  '!$Y$2,'XBS '!B:B,' General Stock Summary View  '!C43,'XBS '!L:L,' General Stock Summary View  '!B43)</f>
        <v>0</v>
      </c>
      <c r="Z43" s="3">
        <f>SUMIFS('PowerApp_Physical count'!H:H,'PowerApp_Physical count'!B:B,' General Stock Summary View  '!$Y$2,'PowerApp_Physical count'!C:C,' General Stock Summary View  '!C43,'PowerApp_Physical count'!A:A,' General Stock Summary View  '!B43)</f>
        <v>0</v>
      </c>
      <c r="AA43" s="4">
        <f t="shared" si="25"/>
        <v>0</v>
      </c>
      <c r="AB43" s="5">
        <f>SUMIFS('XBS '!T:T,'XBS '!H:H,' General Stock Summary View  '!$AB$2,'XBS '!B:B,' General Stock Summary View  '!C43,'XBS '!L:L,' General Stock Summary View  '!B43)</f>
        <v>0</v>
      </c>
      <c r="AC43" s="3">
        <f>SUMIFS('PowerApp_Physical count'!H:H,'PowerApp_Physical count'!B:B,' General Stock Summary View  '!$AB$2,'PowerApp_Physical count'!C:C,' General Stock Summary View  '!C43,'PowerApp_Physical count'!A:A,' General Stock Summary View  '!B43)</f>
        <v>0</v>
      </c>
      <c r="AD43" s="6">
        <f t="shared" si="26"/>
        <v>0</v>
      </c>
      <c r="AE43" s="7">
        <f t="shared" si="27"/>
        <v>0</v>
      </c>
      <c r="AF43" s="8">
        <f t="shared" si="28"/>
        <v>-30.816666666666666</v>
      </c>
      <c r="AG43" s="112"/>
    </row>
    <row r="44" spans="2:33" s="113" customFormat="1" ht="61.15">
      <c r="B44" s="117" t="s">
        <v>74</v>
      </c>
      <c r="C44" s="111" t="s">
        <v>58</v>
      </c>
      <c r="D44" s="11">
        <f>SUMIFS('XBS '!T:T,'XBS '!C:C,' General Stock Summary View  '!C44,'XBS '!L:L,' General Stock Summary View  '!B44)</f>
        <v>29.016666666666666</v>
      </c>
      <c r="E44" s="2">
        <f>SUMIFS('Blocked for Processing'!P:P,'Blocked for Processing'!I:I,' General Stock Summary View  '!B44,'Blocked for Processing'!C:C,' General Stock Summary View  '!C44)</f>
        <v>0</v>
      </c>
      <c r="F44" s="122">
        <f t="shared" si="17"/>
        <v>29.016666666666666</v>
      </c>
      <c r="G44" s="148">
        <f>SUMIFS('XBS '!T:T,'XBS '!H:H,' General Stock Summary View  '!$G$2,'XBS '!L:L,' General Stock Summary View  '!B44,'XBS '!C:C,' General Stock Summary View  '!C44)</f>
        <v>0</v>
      </c>
      <c r="H44" s="3">
        <f>SUMIFS('PowerApp_Physical count'!H:H,'PowerApp_Physical count'!B:B,' General Stock Summary View  '!$G$2,'PowerApp_Physical count'!C:C,' General Stock Summary View  '!C44,'PowerApp_Physical count'!A:A,' General Stock Summary View  '!B44)</f>
        <v>0</v>
      </c>
      <c r="I44" s="154">
        <f t="shared" si="16"/>
        <v>0</v>
      </c>
      <c r="J44" s="11">
        <f>SUMIFS('XBS '!T:T,'XBS '!H:H,' General Stock Summary View  '!$J$2,'XBS '!L:L,' General Stock Summary View  '!B44,'XBS '!C:C,' General Stock Summary View  '!C44)</f>
        <v>0</v>
      </c>
      <c r="K44" s="157">
        <f>SUMIFS('PowerApp_Physical count'!H:H,'PowerApp_Physical count'!B:B,' General Stock Summary View  '!$J$2,'PowerApp_Physical count'!C:C,' General Stock Summary View  '!C44,'PowerApp_Physical count'!A:A,' General Stock Summary View  '!B44)</f>
        <v>0</v>
      </c>
      <c r="L44" s="127">
        <f t="shared" si="18"/>
        <v>0</v>
      </c>
      <c r="M44" s="126">
        <f t="shared" si="19"/>
        <v>0</v>
      </c>
      <c r="N44" s="11">
        <f t="shared" si="20"/>
        <v>0</v>
      </c>
      <c r="O44" s="144">
        <f t="shared" si="21"/>
        <v>0</v>
      </c>
      <c r="P44" s="2">
        <f>SUMIFS('XBS '!T:T,'XBS '!H:H,' General Stock Summary View  '!$P$2,'XBS '!L:L,' General Stock Summary View  '!B44,'XBS '!C:C,' General Stock Summary View  '!C44)</f>
        <v>29.016666666666666</v>
      </c>
      <c r="Q44" s="3">
        <f>SUMIFS('PowerApp_Physical count'!H:H,'PowerApp_Physical count'!B:B,' General Stock Summary View  '!$P$2,'PowerApp_Physical count'!C:C,' General Stock Summary View  '!C44,'PowerApp_Physical count'!A:A,' General Stock Summary View  '!B44)</f>
        <v>0</v>
      </c>
      <c r="R44" s="4">
        <f t="shared" si="22"/>
        <v>-29.016666666666666</v>
      </c>
      <c r="S44" s="5">
        <f>SUMIFS('XBS '!T:T,'XBS '!L:L,' General Stock Summary View  '!B44,'XBS '!H:H,' General Stock Summary View  '!$S$2,'XBS '!C:C,' General Stock Summary View  '!C44)</f>
        <v>0</v>
      </c>
      <c r="T44" s="3">
        <f>SUMIFS('PowerApp_Physical count'!H:H,'PowerApp_Physical count'!B:B,' General Stock Summary View  '!$S$2,'PowerApp_Physical count'!C:C,' General Stock Summary View  '!C44,'PowerApp_Physical count'!A:A,' General Stock Summary View  '!B44)</f>
        <v>0</v>
      </c>
      <c r="U44" s="4">
        <f t="shared" si="23"/>
        <v>0</v>
      </c>
      <c r="V44" s="2">
        <f>SUMIFS('XBS '!T:T,'XBS '!H:H,' General Stock Summary View  '!$V$2,'XBS '!B:B,' General Stock Summary View  '!C44,'XBS '!L:L,' General Stock Summary View  '!B44)</f>
        <v>0</v>
      </c>
      <c r="W44" s="3">
        <f>SUMIFS('PowerApp_Physical count'!H:H,'PowerApp_Physical count'!B:B,' General Stock Summary View  '!$V$2,'PowerApp_Physical count'!C:C,' General Stock Summary View  '!C44,'PowerApp_Physical count'!A:A,' General Stock Summary View  '!B44)</f>
        <v>0</v>
      </c>
      <c r="X44" s="4">
        <f t="shared" si="24"/>
        <v>0</v>
      </c>
      <c r="Y44" s="5">
        <f>SUMIFS('XBS '!T:T,'XBS '!H:H,' General Stock Summary View  '!$Y$2,'XBS '!B:B,' General Stock Summary View  '!C44,'XBS '!L:L,' General Stock Summary View  '!B44)</f>
        <v>0</v>
      </c>
      <c r="Z44" s="3">
        <f>SUMIFS('PowerApp_Physical count'!H:H,'PowerApp_Physical count'!B:B,' General Stock Summary View  '!$Y$2,'PowerApp_Physical count'!C:C,' General Stock Summary View  '!C44,'PowerApp_Physical count'!A:A,' General Stock Summary View  '!B44)</f>
        <v>0</v>
      </c>
      <c r="AA44" s="4">
        <f t="shared" si="25"/>
        <v>0</v>
      </c>
      <c r="AB44" s="5">
        <f>SUMIFS('XBS '!T:T,'XBS '!H:H,' General Stock Summary View  '!$AB$2,'XBS '!B:B,' General Stock Summary View  '!C44,'XBS '!L:L,' General Stock Summary View  '!B44)</f>
        <v>0</v>
      </c>
      <c r="AC44" s="3">
        <f>SUMIFS('PowerApp_Physical count'!H:H,'PowerApp_Physical count'!B:B,' General Stock Summary View  '!$AB$2,'PowerApp_Physical count'!C:C,' General Stock Summary View  '!C44,'PowerApp_Physical count'!A:A,' General Stock Summary View  '!B44)</f>
        <v>0</v>
      </c>
      <c r="AD44" s="6">
        <f t="shared" si="26"/>
        <v>0</v>
      </c>
      <c r="AE44" s="7">
        <f t="shared" si="27"/>
        <v>0</v>
      </c>
      <c r="AF44" s="8">
        <f t="shared" si="28"/>
        <v>-29.016666666666666</v>
      </c>
      <c r="AG44" s="112"/>
    </row>
    <row r="45" spans="2:33" s="113" customFormat="1" ht="61.15">
      <c r="B45" s="117" t="s">
        <v>75</v>
      </c>
      <c r="C45" s="111" t="s">
        <v>58</v>
      </c>
      <c r="D45" s="11">
        <f>SUMIFS('XBS '!T:T,'XBS '!C:C,' General Stock Summary View  '!C45,'XBS '!L:L,' General Stock Summary View  '!B45)</f>
        <v>22.333333333333332</v>
      </c>
      <c r="E45" s="2">
        <f>SUMIFS('Blocked for Processing'!P:P,'Blocked for Processing'!I:I,' General Stock Summary View  '!B45,'Blocked for Processing'!C:C,' General Stock Summary View  '!C45)</f>
        <v>0</v>
      </c>
      <c r="F45" s="122">
        <f t="shared" si="17"/>
        <v>22.333333333333332</v>
      </c>
      <c r="G45" s="148">
        <f>SUMIFS('XBS '!T:T,'XBS '!H:H,' General Stock Summary View  '!$G$2,'XBS '!L:L,' General Stock Summary View  '!B45,'XBS '!C:C,' General Stock Summary View  '!C45)</f>
        <v>0</v>
      </c>
      <c r="H45" s="3">
        <f>SUMIFS('PowerApp_Physical count'!H:H,'PowerApp_Physical count'!B:B,' General Stock Summary View  '!$G$2,'PowerApp_Physical count'!C:C,' General Stock Summary View  '!C45,'PowerApp_Physical count'!A:A,' General Stock Summary View  '!B45)</f>
        <v>0</v>
      </c>
      <c r="I45" s="154">
        <f t="shared" si="16"/>
        <v>0</v>
      </c>
      <c r="J45" s="11">
        <f>SUMIFS('XBS '!T:T,'XBS '!H:H,' General Stock Summary View  '!$J$2,'XBS '!L:L,' General Stock Summary View  '!B45,'XBS '!C:C,' General Stock Summary View  '!C45)</f>
        <v>0</v>
      </c>
      <c r="K45" s="157">
        <f>SUMIFS('PowerApp_Physical count'!H:H,'PowerApp_Physical count'!B:B,' General Stock Summary View  '!$J$2,'PowerApp_Physical count'!C:C,' General Stock Summary View  '!C45,'PowerApp_Physical count'!A:A,' General Stock Summary View  '!B45)</f>
        <v>0</v>
      </c>
      <c r="L45" s="127">
        <f t="shared" si="18"/>
        <v>0</v>
      </c>
      <c r="M45" s="126">
        <f t="shared" si="19"/>
        <v>0</v>
      </c>
      <c r="N45" s="11">
        <f t="shared" si="20"/>
        <v>0</v>
      </c>
      <c r="O45" s="144">
        <f t="shared" si="21"/>
        <v>0</v>
      </c>
      <c r="P45" s="2">
        <f>SUMIFS('XBS '!T:T,'XBS '!H:H,' General Stock Summary View  '!$P$2,'XBS '!L:L,' General Stock Summary View  '!B45,'XBS '!C:C,' General Stock Summary View  '!C45)</f>
        <v>22.333333333333332</v>
      </c>
      <c r="Q45" s="3">
        <f>SUMIFS('PowerApp_Physical count'!H:H,'PowerApp_Physical count'!B:B,' General Stock Summary View  '!$P$2,'PowerApp_Physical count'!C:C,' General Stock Summary View  '!C45,'PowerApp_Physical count'!A:A,' General Stock Summary View  '!B45)</f>
        <v>0</v>
      </c>
      <c r="R45" s="4">
        <f t="shared" si="22"/>
        <v>-22.333333333333332</v>
      </c>
      <c r="S45" s="5">
        <f>SUMIFS('XBS '!T:T,'XBS '!L:L,' General Stock Summary View  '!B45,'XBS '!H:H,' General Stock Summary View  '!$S$2,'XBS '!C:C,' General Stock Summary View  '!C45)</f>
        <v>0</v>
      </c>
      <c r="T45" s="3">
        <f>SUMIFS('PowerApp_Physical count'!H:H,'PowerApp_Physical count'!B:B,' General Stock Summary View  '!$S$2,'PowerApp_Physical count'!C:C,' General Stock Summary View  '!C45,'PowerApp_Physical count'!A:A,' General Stock Summary View  '!B45)</f>
        <v>0</v>
      </c>
      <c r="U45" s="4">
        <f t="shared" si="23"/>
        <v>0</v>
      </c>
      <c r="V45" s="2">
        <f>SUMIFS('XBS '!T:T,'XBS '!H:H,' General Stock Summary View  '!$V$2,'XBS '!B:B,' General Stock Summary View  '!C45,'XBS '!L:L,' General Stock Summary View  '!B45)</f>
        <v>0</v>
      </c>
      <c r="W45" s="3">
        <f>SUMIFS('PowerApp_Physical count'!H:H,'PowerApp_Physical count'!B:B,' General Stock Summary View  '!$V$2,'PowerApp_Physical count'!C:C,' General Stock Summary View  '!C45,'PowerApp_Physical count'!A:A,' General Stock Summary View  '!B45)</f>
        <v>0</v>
      </c>
      <c r="X45" s="4">
        <f t="shared" si="24"/>
        <v>0</v>
      </c>
      <c r="Y45" s="5">
        <f>SUMIFS('XBS '!T:T,'XBS '!H:H,' General Stock Summary View  '!$Y$2,'XBS '!B:B,' General Stock Summary View  '!C45,'XBS '!L:L,' General Stock Summary View  '!B45)</f>
        <v>0</v>
      </c>
      <c r="Z45" s="3">
        <f>SUMIFS('PowerApp_Physical count'!H:H,'PowerApp_Physical count'!B:B,' General Stock Summary View  '!$Y$2,'PowerApp_Physical count'!C:C,' General Stock Summary View  '!C45,'PowerApp_Physical count'!A:A,' General Stock Summary View  '!B45)</f>
        <v>0</v>
      </c>
      <c r="AA45" s="4">
        <f t="shared" si="25"/>
        <v>0</v>
      </c>
      <c r="AB45" s="5">
        <f>SUMIFS('XBS '!T:T,'XBS '!H:H,' General Stock Summary View  '!$AB$2,'XBS '!B:B,' General Stock Summary View  '!C45,'XBS '!L:L,' General Stock Summary View  '!B45)</f>
        <v>0</v>
      </c>
      <c r="AC45" s="3">
        <f>SUMIFS('PowerApp_Physical count'!H:H,'PowerApp_Physical count'!B:B,' General Stock Summary View  '!$AB$2,'PowerApp_Physical count'!C:C,' General Stock Summary View  '!C45,'PowerApp_Physical count'!A:A,' General Stock Summary View  '!B45)</f>
        <v>0</v>
      </c>
      <c r="AD45" s="6">
        <f t="shared" si="26"/>
        <v>0</v>
      </c>
      <c r="AE45" s="7">
        <f t="shared" si="27"/>
        <v>0</v>
      </c>
      <c r="AF45" s="8">
        <f t="shared" si="28"/>
        <v>-22.333333333333332</v>
      </c>
      <c r="AG45" s="112"/>
    </row>
    <row r="46" spans="2:33" s="113" customFormat="1" ht="61.15">
      <c r="B46" s="117" t="s">
        <v>76</v>
      </c>
      <c r="C46" s="111" t="s">
        <v>58</v>
      </c>
      <c r="D46" s="11">
        <f>SUMIFS('XBS '!T:T,'XBS '!C:C,' General Stock Summary View  '!C46,'XBS '!L:L,' General Stock Summary View  '!B46)</f>
        <v>12.583333333333334</v>
      </c>
      <c r="E46" s="2">
        <f>SUMIFS('Blocked for Processing'!P:P,'Blocked for Processing'!I:I,' General Stock Summary View  '!B46,'Blocked for Processing'!C:C,' General Stock Summary View  '!C46)</f>
        <v>0</v>
      </c>
      <c r="F46" s="122">
        <f t="shared" si="17"/>
        <v>12.583333333333334</v>
      </c>
      <c r="G46" s="148">
        <f>SUMIFS('XBS '!T:T,'XBS '!H:H,' General Stock Summary View  '!$G$2,'XBS '!L:L,' General Stock Summary View  '!B46,'XBS '!C:C,' General Stock Summary View  '!C46)</f>
        <v>0</v>
      </c>
      <c r="H46" s="3">
        <f>SUMIFS('PowerApp_Physical count'!H:H,'PowerApp_Physical count'!B:B,' General Stock Summary View  '!$G$2,'PowerApp_Physical count'!C:C,' General Stock Summary View  '!C46,'PowerApp_Physical count'!A:A,' General Stock Summary View  '!B46)</f>
        <v>0</v>
      </c>
      <c r="I46" s="154">
        <f t="shared" si="16"/>
        <v>0</v>
      </c>
      <c r="J46" s="11">
        <f>SUMIFS('XBS '!T:T,'XBS '!H:H,' General Stock Summary View  '!$J$2,'XBS '!L:L,' General Stock Summary View  '!B46,'XBS '!C:C,' General Stock Summary View  '!C46)</f>
        <v>0</v>
      </c>
      <c r="K46" s="157">
        <f>SUMIFS('PowerApp_Physical count'!H:H,'PowerApp_Physical count'!B:B,' General Stock Summary View  '!$J$2,'PowerApp_Physical count'!C:C,' General Stock Summary View  '!C46,'PowerApp_Physical count'!A:A,' General Stock Summary View  '!B46)</f>
        <v>0</v>
      </c>
      <c r="L46" s="127">
        <f t="shared" si="18"/>
        <v>0</v>
      </c>
      <c r="M46" s="126">
        <f t="shared" si="19"/>
        <v>0</v>
      </c>
      <c r="N46" s="11">
        <f t="shared" si="20"/>
        <v>0</v>
      </c>
      <c r="O46" s="144">
        <f t="shared" si="21"/>
        <v>0</v>
      </c>
      <c r="P46" s="2">
        <f>SUMIFS('XBS '!T:T,'XBS '!H:H,' General Stock Summary View  '!$P$2,'XBS '!L:L,' General Stock Summary View  '!B46,'XBS '!C:C,' General Stock Summary View  '!C46)</f>
        <v>12.583333333333334</v>
      </c>
      <c r="Q46" s="3">
        <f>SUMIFS('PowerApp_Physical count'!H:H,'PowerApp_Physical count'!B:B,' General Stock Summary View  '!$P$2,'PowerApp_Physical count'!C:C,' General Stock Summary View  '!C46,'PowerApp_Physical count'!A:A,' General Stock Summary View  '!B46)</f>
        <v>0</v>
      </c>
      <c r="R46" s="4">
        <f t="shared" si="22"/>
        <v>-12.583333333333334</v>
      </c>
      <c r="S46" s="5">
        <f>SUMIFS('XBS '!T:T,'XBS '!L:L,' General Stock Summary View  '!B46,'XBS '!H:H,' General Stock Summary View  '!$S$2,'XBS '!C:C,' General Stock Summary View  '!C46)</f>
        <v>0</v>
      </c>
      <c r="T46" s="3">
        <f>SUMIFS('PowerApp_Physical count'!H:H,'PowerApp_Physical count'!B:B,' General Stock Summary View  '!$S$2,'PowerApp_Physical count'!C:C,' General Stock Summary View  '!C46,'PowerApp_Physical count'!A:A,' General Stock Summary View  '!B46)</f>
        <v>0</v>
      </c>
      <c r="U46" s="4">
        <f t="shared" si="23"/>
        <v>0</v>
      </c>
      <c r="V46" s="2">
        <f>SUMIFS('XBS '!T:T,'XBS '!H:H,' General Stock Summary View  '!$V$2,'XBS '!B:B,' General Stock Summary View  '!C46,'XBS '!L:L,' General Stock Summary View  '!B46)</f>
        <v>0</v>
      </c>
      <c r="W46" s="3">
        <f>SUMIFS('PowerApp_Physical count'!H:H,'PowerApp_Physical count'!B:B,' General Stock Summary View  '!$V$2,'PowerApp_Physical count'!C:C,' General Stock Summary View  '!C46,'PowerApp_Physical count'!A:A,' General Stock Summary View  '!B46)</f>
        <v>0</v>
      </c>
      <c r="X46" s="4">
        <f t="shared" si="24"/>
        <v>0</v>
      </c>
      <c r="Y46" s="5">
        <f>SUMIFS('XBS '!T:T,'XBS '!H:H,' General Stock Summary View  '!$Y$2,'XBS '!B:B,' General Stock Summary View  '!C46,'XBS '!L:L,' General Stock Summary View  '!B46)</f>
        <v>0</v>
      </c>
      <c r="Z46" s="3">
        <f>SUMIFS('PowerApp_Physical count'!H:H,'PowerApp_Physical count'!B:B,' General Stock Summary View  '!$Y$2,'PowerApp_Physical count'!C:C,' General Stock Summary View  '!C46,'PowerApp_Physical count'!A:A,' General Stock Summary View  '!B46)</f>
        <v>0</v>
      </c>
      <c r="AA46" s="4">
        <f t="shared" si="25"/>
        <v>0</v>
      </c>
      <c r="AB46" s="5">
        <f>SUMIFS('XBS '!T:T,'XBS '!H:H,' General Stock Summary View  '!$AB$2,'XBS '!B:B,' General Stock Summary View  '!C46,'XBS '!L:L,' General Stock Summary View  '!B46)</f>
        <v>0</v>
      </c>
      <c r="AC46" s="3">
        <f>SUMIFS('PowerApp_Physical count'!H:H,'PowerApp_Physical count'!B:B,' General Stock Summary View  '!$AB$2,'PowerApp_Physical count'!C:C,' General Stock Summary View  '!C46,'PowerApp_Physical count'!A:A,' General Stock Summary View  '!B46)</f>
        <v>0</v>
      </c>
      <c r="AD46" s="6">
        <f t="shared" si="26"/>
        <v>0</v>
      </c>
      <c r="AE46" s="7">
        <f t="shared" si="27"/>
        <v>0</v>
      </c>
      <c r="AF46" s="8">
        <f t="shared" si="28"/>
        <v>-12.583333333333334</v>
      </c>
      <c r="AG46" s="112"/>
    </row>
    <row r="47" spans="2:33" s="113" customFormat="1" ht="61.15">
      <c r="B47" s="117" t="s">
        <v>77</v>
      </c>
      <c r="C47" s="111" t="s">
        <v>58</v>
      </c>
      <c r="D47" s="11">
        <f>SUMIFS('XBS '!T:T,'XBS '!C:C,' General Stock Summary View  '!C47,'XBS '!L:L,' General Stock Summary View  '!B47)</f>
        <v>38.333333333333336</v>
      </c>
      <c r="E47" s="2">
        <f>SUMIFS('Blocked for Processing'!P:P,'Blocked for Processing'!I:I,' General Stock Summary View  '!B47,'Blocked for Processing'!C:C,' General Stock Summary View  '!C47)</f>
        <v>0</v>
      </c>
      <c r="F47" s="122">
        <f t="shared" si="17"/>
        <v>38.333333333333336</v>
      </c>
      <c r="G47" s="148">
        <f>SUMIFS('XBS '!T:T,'XBS '!H:H,' General Stock Summary View  '!$G$2,'XBS '!L:L,' General Stock Summary View  '!B47,'XBS '!C:C,' General Stock Summary View  '!C47)</f>
        <v>0</v>
      </c>
      <c r="H47" s="3">
        <f>SUMIFS('PowerApp_Physical count'!H:H,'PowerApp_Physical count'!B:B,' General Stock Summary View  '!$G$2,'PowerApp_Physical count'!C:C,' General Stock Summary View  '!C47,'PowerApp_Physical count'!A:A,' General Stock Summary View  '!B47)</f>
        <v>0</v>
      </c>
      <c r="I47" s="154">
        <f t="shared" si="16"/>
        <v>0</v>
      </c>
      <c r="J47" s="11">
        <f>SUMIFS('XBS '!T:T,'XBS '!H:H,' General Stock Summary View  '!$J$2,'XBS '!L:L,' General Stock Summary View  '!B47,'XBS '!C:C,' General Stock Summary View  '!C47)</f>
        <v>0</v>
      </c>
      <c r="K47" s="157">
        <f>SUMIFS('PowerApp_Physical count'!H:H,'PowerApp_Physical count'!B:B,' General Stock Summary View  '!$J$2,'PowerApp_Physical count'!C:C,' General Stock Summary View  '!C47,'PowerApp_Physical count'!A:A,' General Stock Summary View  '!B47)</f>
        <v>0</v>
      </c>
      <c r="L47" s="127">
        <f t="shared" si="18"/>
        <v>0</v>
      </c>
      <c r="M47" s="126">
        <f t="shared" si="19"/>
        <v>0</v>
      </c>
      <c r="N47" s="11">
        <f t="shared" si="20"/>
        <v>0</v>
      </c>
      <c r="O47" s="144">
        <f t="shared" si="21"/>
        <v>0</v>
      </c>
      <c r="P47" s="2">
        <f>SUMIFS('XBS '!T:T,'XBS '!H:H,' General Stock Summary View  '!$P$2,'XBS '!L:L,' General Stock Summary View  '!B47,'XBS '!C:C,' General Stock Summary View  '!C47)</f>
        <v>38.333333333333336</v>
      </c>
      <c r="Q47" s="3">
        <f>SUMIFS('PowerApp_Physical count'!H:H,'PowerApp_Physical count'!B:B,' General Stock Summary View  '!$P$2,'PowerApp_Physical count'!C:C,' General Stock Summary View  '!C47,'PowerApp_Physical count'!A:A,' General Stock Summary View  '!B47)</f>
        <v>0</v>
      </c>
      <c r="R47" s="4">
        <f t="shared" si="22"/>
        <v>-38.333333333333336</v>
      </c>
      <c r="S47" s="5">
        <f>SUMIFS('XBS '!T:T,'XBS '!L:L,' General Stock Summary View  '!B47,'XBS '!H:H,' General Stock Summary View  '!$S$2,'XBS '!C:C,' General Stock Summary View  '!C47)</f>
        <v>0</v>
      </c>
      <c r="T47" s="3">
        <f>SUMIFS('PowerApp_Physical count'!H:H,'PowerApp_Physical count'!B:B,' General Stock Summary View  '!$S$2,'PowerApp_Physical count'!C:C,' General Stock Summary View  '!C47,'PowerApp_Physical count'!A:A,' General Stock Summary View  '!B47)</f>
        <v>0</v>
      </c>
      <c r="U47" s="4">
        <f t="shared" si="23"/>
        <v>0</v>
      </c>
      <c r="V47" s="2">
        <f>SUMIFS('XBS '!T:T,'XBS '!H:H,' General Stock Summary View  '!$V$2,'XBS '!B:B,' General Stock Summary View  '!C47,'XBS '!L:L,' General Stock Summary View  '!B47)</f>
        <v>0</v>
      </c>
      <c r="W47" s="3">
        <f>SUMIFS('PowerApp_Physical count'!H:H,'PowerApp_Physical count'!B:B,' General Stock Summary View  '!$V$2,'PowerApp_Physical count'!C:C,' General Stock Summary View  '!C47,'PowerApp_Physical count'!A:A,' General Stock Summary View  '!B47)</f>
        <v>0</v>
      </c>
      <c r="X47" s="4">
        <f t="shared" si="24"/>
        <v>0</v>
      </c>
      <c r="Y47" s="5">
        <f>SUMIFS('XBS '!T:T,'XBS '!H:H,' General Stock Summary View  '!$Y$2,'XBS '!B:B,' General Stock Summary View  '!C47,'XBS '!L:L,' General Stock Summary View  '!B47)</f>
        <v>0</v>
      </c>
      <c r="Z47" s="3">
        <f>SUMIFS('PowerApp_Physical count'!H:H,'PowerApp_Physical count'!B:B,' General Stock Summary View  '!$Y$2,'PowerApp_Physical count'!C:C,' General Stock Summary View  '!C47,'PowerApp_Physical count'!A:A,' General Stock Summary View  '!B47)</f>
        <v>0</v>
      </c>
      <c r="AA47" s="4">
        <f t="shared" si="25"/>
        <v>0</v>
      </c>
      <c r="AB47" s="5">
        <f>SUMIFS('XBS '!T:T,'XBS '!H:H,' General Stock Summary View  '!$AB$2,'XBS '!B:B,' General Stock Summary View  '!C47,'XBS '!L:L,' General Stock Summary View  '!B47)</f>
        <v>0</v>
      </c>
      <c r="AC47" s="3">
        <f>SUMIFS('PowerApp_Physical count'!H:H,'PowerApp_Physical count'!B:B,' General Stock Summary View  '!$AB$2,'PowerApp_Physical count'!C:C,' General Stock Summary View  '!C47,'PowerApp_Physical count'!A:A,' General Stock Summary View  '!B47)</f>
        <v>0</v>
      </c>
      <c r="AD47" s="6">
        <f t="shared" si="26"/>
        <v>0</v>
      </c>
      <c r="AE47" s="7">
        <f t="shared" si="27"/>
        <v>0</v>
      </c>
      <c r="AF47" s="8">
        <f t="shared" si="28"/>
        <v>-38.333333333333336</v>
      </c>
      <c r="AG47" s="112"/>
    </row>
    <row r="48" spans="2:33" s="113" customFormat="1" ht="61.15">
      <c r="B48" s="117" t="s">
        <v>78</v>
      </c>
      <c r="C48" s="111" t="s">
        <v>58</v>
      </c>
      <c r="D48" s="11">
        <f>SUMIFS('XBS '!T:T,'XBS '!C:C,' General Stock Summary View  '!C48,'XBS '!L:L,' General Stock Summary View  '!B48)</f>
        <v>60.633333333333333</v>
      </c>
      <c r="E48" s="2">
        <f>SUMIFS('Blocked for Processing'!P:P,'Blocked for Processing'!I:I,' General Stock Summary View  '!B48,'Blocked for Processing'!C:C,' General Stock Summary View  '!C48)</f>
        <v>0</v>
      </c>
      <c r="F48" s="122">
        <f t="shared" si="17"/>
        <v>60.633333333333333</v>
      </c>
      <c r="G48" s="148">
        <f>SUMIFS('XBS '!T:T,'XBS '!H:H,' General Stock Summary View  '!$G$2,'XBS '!L:L,' General Stock Summary View  '!B48,'XBS '!C:C,' General Stock Summary View  '!C48)</f>
        <v>0</v>
      </c>
      <c r="H48" s="3">
        <f>SUMIFS('PowerApp_Physical count'!H:H,'PowerApp_Physical count'!B:B,' General Stock Summary View  '!$G$2,'PowerApp_Physical count'!C:C,' General Stock Summary View  '!C48,'PowerApp_Physical count'!A:A,' General Stock Summary View  '!B48)</f>
        <v>0</v>
      </c>
      <c r="I48" s="154">
        <f t="shared" si="16"/>
        <v>0</v>
      </c>
      <c r="J48" s="11">
        <f>SUMIFS('XBS '!T:T,'XBS '!H:H,' General Stock Summary View  '!$J$2,'XBS '!L:L,' General Stock Summary View  '!B48,'XBS '!C:C,' General Stock Summary View  '!C48)</f>
        <v>0</v>
      </c>
      <c r="K48" s="157">
        <f>SUMIFS('PowerApp_Physical count'!H:H,'PowerApp_Physical count'!B:B,' General Stock Summary View  '!$J$2,'PowerApp_Physical count'!C:C,' General Stock Summary View  '!C48,'PowerApp_Physical count'!A:A,' General Stock Summary View  '!B48)</f>
        <v>0</v>
      </c>
      <c r="L48" s="127">
        <f t="shared" si="18"/>
        <v>0</v>
      </c>
      <c r="M48" s="126">
        <f t="shared" si="19"/>
        <v>0</v>
      </c>
      <c r="N48" s="11">
        <f t="shared" si="20"/>
        <v>0</v>
      </c>
      <c r="O48" s="144">
        <f t="shared" si="21"/>
        <v>0</v>
      </c>
      <c r="P48" s="2">
        <f>SUMIFS('XBS '!T:T,'XBS '!H:H,' General Stock Summary View  '!$P$2,'XBS '!L:L,' General Stock Summary View  '!B48,'XBS '!C:C,' General Stock Summary View  '!C48)</f>
        <v>60.633333333333333</v>
      </c>
      <c r="Q48" s="3">
        <f>SUMIFS('PowerApp_Physical count'!H:H,'PowerApp_Physical count'!B:B,' General Stock Summary View  '!$P$2,'PowerApp_Physical count'!C:C,' General Stock Summary View  '!C48,'PowerApp_Physical count'!A:A,' General Stock Summary View  '!B48)</f>
        <v>0</v>
      </c>
      <c r="R48" s="4">
        <f t="shared" si="22"/>
        <v>-60.633333333333333</v>
      </c>
      <c r="S48" s="5">
        <f>SUMIFS('XBS '!T:T,'XBS '!L:L,' General Stock Summary View  '!B48,'XBS '!H:H,' General Stock Summary View  '!$S$2,'XBS '!C:C,' General Stock Summary View  '!C48)</f>
        <v>0</v>
      </c>
      <c r="T48" s="3">
        <f>SUMIFS('PowerApp_Physical count'!H:H,'PowerApp_Physical count'!B:B,' General Stock Summary View  '!$S$2,'PowerApp_Physical count'!C:C,' General Stock Summary View  '!C48,'PowerApp_Physical count'!A:A,' General Stock Summary View  '!B48)</f>
        <v>0</v>
      </c>
      <c r="U48" s="4">
        <f t="shared" si="23"/>
        <v>0</v>
      </c>
      <c r="V48" s="2">
        <f>SUMIFS('XBS '!T:T,'XBS '!H:H,' General Stock Summary View  '!$V$2,'XBS '!B:B,' General Stock Summary View  '!C48,'XBS '!L:L,' General Stock Summary View  '!B48)</f>
        <v>0</v>
      </c>
      <c r="W48" s="3">
        <f>SUMIFS('PowerApp_Physical count'!H:H,'PowerApp_Physical count'!B:B,' General Stock Summary View  '!$V$2,'PowerApp_Physical count'!C:C,' General Stock Summary View  '!C48,'PowerApp_Physical count'!A:A,' General Stock Summary View  '!B48)</f>
        <v>0</v>
      </c>
      <c r="X48" s="4">
        <f t="shared" si="24"/>
        <v>0</v>
      </c>
      <c r="Y48" s="5">
        <f>SUMIFS('XBS '!T:T,'XBS '!H:H,' General Stock Summary View  '!$Y$2,'XBS '!B:B,' General Stock Summary View  '!C48,'XBS '!L:L,' General Stock Summary View  '!B48)</f>
        <v>0</v>
      </c>
      <c r="Z48" s="3">
        <f>SUMIFS('PowerApp_Physical count'!H:H,'PowerApp_Physical count'!B:B,' General Stock Summary View  '!$Y$2,'PowerApp_Physical count'!C:C,' General Stock Summary View  '!C48,'PowerApp_Physical count'!A:A,' General Stock Summary View  '!B48)</f>
        <v>0</v>
      </c>
      <c r="AA48" s="4">
        <f t="shared" si="25"/>
        <v>0</v>
      </c>
      <c r="AB48" s="5">
        <f>SUMIFS('XBS '!T:T,'XBS '!H:H,' General Stock Summary View  '!$AB$2,'XBS '!B:B,' General Stock Summary View  '!C48,'XBS '!L:L,' General Stock Summary View  '!B48)</f>
        <v>0</v>
      </c>
      <c r="AC48" s="3">
        <f>SUMIFS('PowerApp_Physical count'!H:H,'PowerApp_Physical count'!B:B,' General Stock Summary View  '!$AB$2,'PowerApp_Physical count'!C:C,' General Stock Summary View  '!C48,'PowerApp_Physical count'!A:A,' General Stock Summary View  '!B48)</f>
        <v>0</v>
      </c>
      <c r="AD48" s="6">
        <f t="shared" si="26"/>
        <v>0</v>
      </c>
      <c r="AE48" s="7">
        <f t="shared" si="27"/>
        <v>0</v>
      </c>
      <c r="AF48" s="8">
        <f t="shared" si="28"/>
        <v>-60.633333333333333</v>
      </c>
      <c r="AG48" s="112"/>
    </row>
    <row r="49" spans="2:33" s="113" customFormat="1" ht="61.15">
      <c r="B49" s="117" t="s">
        <v>79</v>
      </c>
      <c r="C49" s="111" t="s">
        <v>58</v>
      </c>
      <c r="D49" s="11">
        <f>SUMIFS('XBS '!T:T,'XBS '!C:C,' General Stock Summary View  '!C49,'XBS '!L:L,' General Stock Summary View  '!B49)</f>
        <v>55.05</v>
      </c>
      <c r="E49" s="2">
        <f>SUMIFS('Blocked for Processing'!P:P,'Blocked for Processing'!I:I,' General Stock Summary View  '!B49,'Blocked for Processing'!C:C,' General Stock Summary View  '!C49)</f>
        <v>0</v>
      </c>
      <c r="F49" s="122">
        <f t="shared" si="17"/>
        <v>55.05</v>
      </c>
      <c r="G49" s="148">
        <f>SUMIFS('XBS '!T:T,'XBS '!H:H,' General Stock Summary View  '!$G$2,'XBS '!L:L,' General Stock Summary View  '!B49,'XBS '!C:C,' General Stock Summary View  '!C49)</f>
        <v>0</v>
      </c>
      <c r="H49" s="3">
        <f>SUMIFS('PowerApp_Physical count'!H:H,'PowerApp_Physical count'!B:B,' General Stock Summary View  '!$G$2,'PowerApp_Physical count'!C:C,' General Stock Summary View  '!C49,'PowerApp_Physical count'!A:A,' General Stock Summary View  '!B49)</f>
        <v>0</v>
      </c>
      <c r="I49" s="154">
        <f t="shared" si="16"/>
        <v>0</v>
      </c>
      <c r="J49" s="11">
        <f>SUMIFS('XBS '!T:T,'XBS '!H:H,' General Stock Summary View  '!$J$2,'XBS '!L:L,' General Stock Summary View  '!B49,'XBS '!C:C,' General Stock Summary View  '!C49)</f>
        <v>0</v>
      </c>
      <c r="K49" s="157">
        <f>SUMIFS('PowerApp_Physical count'!H:H,'PowerApp_Physical count'!B:B,' General Stock Summary View  '!$J$2,'PowerApp_Physical count'!C:C,' General Stock Summary View  '!C49,'PowerApp_Physical count'!A:A,' General Stock Summary View  '!B49)</f>
        <v>0</v>
      </c>
      <c r="L49" s="127">
        <f t="shared" si="18"/>
        <v>0</v>
      </c>
      <c r="M49" s="126">
        <f t="shared" si="19"/>
        <v>0</v>
      </c>
      <c r="N49" s="11">
        <f t="shared" si="20"/>
        <v>0</v>
      </c>
      <c r="O49" s="144">
        <f t="shared" si="21"/>
        <v>0</v>
      </c>
      <c r="P49" s="2">
        <f>SUMIFS('XBS '!T:T,'XBS '!H:H,' General Stock Summary View  '!$P$2,'XBS '!L:L,' General Stock Summary View  '!B49,'XBS '!C:C,' General Stock Summary View  '!C49)</f>
        <v>55.05</v>
      </c>
      <c r="Q49" s="3">
        <f>SUMIFS('PowerApp_Physical count'!H:H,'PowerApp_Physical count'!B:B,' General Stock Summary View  '!$P$2,'PowerApp_Physical count'!C:C,' General Stock Summary View  '!C49,'PowerApp_Physical count'!A:A,' General Stock Summary View  '!B49)</f>
        <v>0</v>
      </c>
      <c r="R49" s="4">
        <f t="shared" si="22"/>
        <v>-55.05</v>
      </c>
      <c r="S49" s="5">
        <f>SUMIFS('XBS '!T:T,'XBS '!L:L,' General Stock Summary View  '!B49,'XBS '!H:H,' General Stock Summary View  '!$S$2,'XBS '!C:C,' General Stock Summary View  '!C49)</f>
        <v>0</v>
      </c>
      <c r="T49" s="3">
        <f>SUMIFS('PowerApp_Physical count'!H:H,'PowerApp_Physical count'!B:B,' General Stock Summary View  '!$S$2,'PowerApp_Physical count'!C:C,' General Stock Summary View  '!C49,'PowerApp_Physical count'!A:A,' General Stock Summary View  '!B49)</f>
        <v>0</v>
      </c>
      <c r="U49" s="4">
        <f t="shared" si="23"/>
        <v>0</v>
      </c>
      <c r="V49" s="2">
        <f>SUMIFS('XBS '!T:T,'XBS '!H:H,' General Stock Summary View  '!$V$2,'XBS '!B:B,' General Stock Summary View  '!C49,'XBS '!L:L,' General Stock Summary View  '!B49)</f>
        <v>0</v>
      </c>
      <c r="W49" s="3">
        <f>SUMIFS('PowerApp_Physical count'!H:H,'PowerApp_Physical count'!B:B,' General Stock Summary View  '!$V$2,'PowerApp_Physical count'!C:C,' General Stock Summary View  '!C49,'PowerApp_Physical count'!A:A,' General Stock Summary View  '!B49)</f>
        <v>0</v>
      </c>
      <c r="X49" s="4">
        <f t="shared" si="24"/>
        <v>0</v>
      </c>
      <c r="Y49" s="5">
        <f>SUMIFS('XBS '!T:T,'XBS '!H:H,' General Stock Summary View  '!$Y$2,'XBS '!B:B,' General Stock Summary View  '!C49,'XBS '!L:L,' General Stock Summary View  '!B49)</f>
        <v>0</v>
      </c>
      <c r="Z49" s="3">
        <f>SUMIFS('PowerApp_Physical count'!H:H,'PowerApp_Physical count'!B:B,' General Stock Summary View  '!$Y$2,'PowerApp_Physical count'!C:C,' General Stock Summary View  '!C49,'PowerApp_Physical count'!A:A,' General Stock Summary View  '!B49)</f>
        <v>0</v>
      </c>
      <c r="AA49" s="4">
        <f t="shared" si="25"/>
        <v>0</v>
      </c>
      <c r="AB49" s="5">
        <f>SUMIFS('XBS '!T:T,'XBS '!H:H,' General Stock Summary View  '!$AB$2,'XBS '!B:B,' General Stock Summary View  '!C49,'XBS '!L:L,' General Stock Summary View  '!B49)</f>
        <v>0</v>
      </c>
      <c r="AC49" s="3">
        <f>SUMIFS('PowerApp_Physical count'!H:H,'PowerApp_Physical count'!B:B,' General Stock Summary View  '!$AB$2,'PowerApp_Physical count'!C:C,' General Stock Summary View  '!C49,'PowerApp_Physical count'!A:A,' General Stock Summary View  '!B49)</f>
        <v>0</v>
      </c>
      <c r="AD49" s="6">
        <f t="shared" si="26"/>
        <v>0</v>
      </c>
      <c r="AE49" s="7">
        <f t="shared" si="27"/>
        <v>0</v>
      </c>
      <c r="AF49" s="8">
        <f t="shared" si="28"/>
        <v>-55.05</v>
      </c>
      <c r="AG49" s="112"/>
    </row>
    <row r="50" spans="2:33" s="113" customFormat="1" ht="61.15">
      <c r="B50" s="117" t="s">
        <v>80</v>
      </c>
      <c r="C50" s="111" t="s">
        <v>58</v>
      </c>
      <c r="D50" s="11">
        <f>SUMIFS('XBS '!T:T,'XBS '!C:C,' General Stock Summary View  '!C50,'XBS '!L:L,' General Stock Summary View  '!B50)</f>
        <v>22.4</v>
      </c>
      <c r="E50" s="2">
        <f>SUMIFS('Blocked for Processing'!P:P,'Blocked for Processing'!I:I,' General Stock Summary View  '!B50,'Blocked for Processing'!C:C,' General Stock Summary View  '!C50)</f>
        <v>0</v>
      </c>
      <c r="F50" s="122">
        <f t="shared" si="17"/>
        <v>22.4</v>
      </c>
      <c r="G50" s="148">
        <f>SUMIFS('XBS '!T:T,'XBS '!H:H,' General Stock Summary View  '!$G$2,'XBS '!L:L,' General Stock Summary View  '!B50,'XBS '!C:C,' General Stock Summary View  '!C50)</f>
        <v>0</v>
      </c>
      <c r="H50" s="3">
        <f>SUMIFS('PowerApp_Physical count'!H:H,'PowerApp_Physical count'!B:B,' General Stock Summary View  '!$G$2,'PowerApp_Physical count'!C:C,' General Stock Summary View  '!C50,'PowerApp_Physical count'!A:A,' General Stock Summary View  '!B50)</f>
        <v>0</v>
      </c>
      <c r="I50" s="154">
        <f t="shared" si="16"/>
        <v>0</v>
      </c>
      <c r="J50" s="11">
        <f>SUMIFS('XBS '!T:T,'XBS '!H:H,' General Stock Summary View  '!$J$2,'XBS '!L:L,' General Stock Summary View  '!B50,'XBS '!C:C,' General Stock Summary View  '!C50)</f>
        <v>0</v>
      </c>
      <c r="K50" s="157">
        <f>SUMIFS('PowerApp_Physical count'!H:H,'PowerApp_Physical count'!B:B,' General Stock Summary View  '!$J$2,'PowerApp_Physical count'!C:C,' General Stock Summary View  '!C50,'PowerApp_Physical count'!A:A,' General Stock Summary View  '!B50)</f>
        <v>0</v>
      </c>
      <c r="L50" s="127">
        <f t="shared" si="18"/>
        <v>0</v>
      </c>
      <c r="M50" s="126">
        <f t="shared" si="19"/>
        <v>0</v>
      </c>
      <c r="N50" s="11">
        <f t="shared" si="20"/>
        <v>0</v>
      </c>
      <c r="O50" s="144">
        <f t="shared" si="21"/>
        <v>0</v>
      </c>
      <c r="P50" s="2">
        <f>SUMIFS('XBS '!T:T,'XBS '!H:H,' General Stock Summary View  '!$P$2,'XBS '!L:L,' General Stock Summary View  '!B50,'XBS '!C:C,' General Stock Summary View  '!C50)</f>
        <v>22.4</v>
      </c>
      <c r="Q50" s="3">
        <f>SUMIFS('PowerApp_Physical count'!H:H,'PowerApp_Physical count'!B:B,' General Stock Summary View  '!$P$2,'PowerApp_Physical count'!C:C,' General Stock Summary View  '!C50,'PowerApp_Physical count'!A:A,' General Stock Summary View  '!B50)</f>
        <v>0</v>
      </c>
      <c r="R50" s="4">
        <f t="shared" si="22"/>
        <v>-22.4</v>
      </c>
      <c r="S50" s="5">
        <f>SUMIFS('XBS '!T:T,'XBS '!L:L,' General Stock Summary View  '!B50,'XBS '!H:H,' General Stock Summary View  '!$S$2,'XBS '!C:C,' General Stock Summary View  '!C50)</f>
        <v>0</v>
      </c>
      <c r="T50" s="3">
        <f>SUMIFS('PowerApp_Physical count'!H:H,'PowerApp_Physical count'!B:B,' General Stock Summary View  '!$S$2,'PowerApp_Physical count'!C:C,' General Stock Summary View  '!C50,'PowerApp_Physical count'!A:A,' General Stock Summary View  '!B50)</f>
        <v>0</v>
      </c>
      <c r="U50" s="4">
        <f t="shared" si="23"/>
        <v>0</v>
      </c>
      <c r="V50" s="2">
        <f>SUMIFS('XBS '!T:T,'XBS '!H:H,' General Stock Summary View  '!$V$2,'XBS '!B:B,' General Stock Summary View  '!C50,'XBS '!L:L,' General Stock Summary View  '!B50)</f>
        <v>0</v>
      </c>
      <c r="W50" s="3">
        <f>SUMIFS('PowerApp_Physical count'!H:H,'PowerApp_Physical count'!B:B,' General Stock Summary View  '!$V$2,'PowerApp_Physical count'!C:C,' General Stock Summary View  '!C50,'PowerApp_Physical count'!A:A,' General Stock Summary View  '!B50)</f>
        <v>0</v>
      </c>
      <c r="X50" s="4">
        <f t="shared" si="24"/>
        <v>0</v>
      </c>
      <c r="Y50" s="5">
        <f>SUMIFS('XBS '!T:T,'XBS '!H:H,' General Stock Summary View  '!$Y$2,'XBS '!B:B,' General Stock Summary View  '!C50,'XBS '!L:L,' General Stock Summary View  '!B50)</f>
        <v>0</v>
      </c>
      <c r="Z50" s="3">
        <f>SUMIFS('PowerApp_Physical count'!H:H,'PowerApp_Physical count'!B:B,' General Stock Summary View  '!$Y$2,'PowerApp_Physical count'!C:C,' General Stock Summary View  '!C50,'PowerApp_Physical count'!A:A,' General Stock Summary View  '!B50)</f>
        <v>0</v>
      </c>
      <c r="AA50" s="4">
        <f t="shared" si="25"/>
        <v>0</v>
      </c>
      <c r="AB50" s="5">
        <f>SUMIFS('XBS '!T:T,'XBS '!H:H,' General Stock Summary View  '!$AB$2,'XBS '!B:B,' General Stock Summary View  '!C50,'XBS '!L:L,' General Stock Summary View  '!B50)</f>
        <v>0</v>
      </c>
      <c r="AC50" s="3">
        <f>SUMIFS('PowerApp_Physical count'!H:H,'PowerApp_Physical count'!B:B,' General Stock Summary View  '!$AB$2,'PowerApp_Physical count'!C:C,' General Stock Summary View  '!C50,'PowerApp_Physical count'!A:A,' General Stock Summary View  '!B50)</f>
        <v>0</v>
      </c>
      <c r="AD50" s="6">
        <f t="shared" si="26"/>
        <v>0</v>
      </c>
      <c r="AE50" s="7">
        <f t="shared" si="27"/>
        <v>0</v>
      </c>
      <c r="AF50" s="8">
        <f t="shared" si="28"/>
        <v>-22.4</v>
      </c>
      <c r="AG50" s="112"/>
    </row>
    <row r="51" spans="2:33" s="113" customFormat="1" ht="61.15">
      <c r="B51" s="117" t="s">
        <v>46</v>
      </c>
      <c r="C51" s="111" t="s">
        <v>58</v>
      </c>
      <c r="D51" s="11">
        <f>SUMIFS('XBS '!T:T,'XBS '!C:C,' General Stock Summary View  '!C51,'XBS '!L:L,' General Stock Summary View  '!B51)</f>
        <v>57</v>
      </c>
      <c r="E51" s="2">
        <f>SUMIFS('Blocked for Processing'!P:P,'Blocked for Processing'!I:I,' General Stock Summary View  '!B51,'Blocked for Processing'!C:C,' General Stock Summary View  '!C51)</f>
        <v>0</v>
      </c>
      <c r="F51" s="122">
        <f t="shared" si="17"/>
        <v>57</v>
      </c>
      <c r="G51" s="148">
        <f>SUMIFS('XBS '!T:T,'XBS '!H:H,' General Stock Summary View  '!$G$2,'XBS '!L:L,' General Stock Summary View  '!B51,'XBS '!C:C,' General Stock Summary View  '!C51)</f>
        <v>0</v>
      </c>
      <c r="H51" s="3">
        <f>SUMIFS('PowerApp_Physical count'!H:H,'PowerApp_Physical count'!B:B,' General Stock Summary View  '!$G$2,'PowerApp_Physical count'!C:C,' General Stock Summary View  '!C51,'PowerApp_Physical count'!A:A,' General Stock Summary View  '!B51)</f>
        <v>0</v>
      </c>
      <c r="I51" s="154">
        <f t="shared" si="16"/>
        <v>0</v>
      </c>
      <c r="J51" s="11">
        <f>SUMIFS('XBS '!T:T,'XBS '!H:H,' General Stock Summary View  '!$J$2,'XBS '!L:L,' General Stock Summary View  '!B51,'XBS '!C:C,' General Stock Summary View  '!C51)</f>
        <v>0</v>
      </c>
      <c r="K51" s="157">
        <f>SUMIFS('PowerApp_Physical count'!H:H,'PowerApp_Physical count'!B:B,' General Stock Summary View  '!$J$2,'PowerApp_Physical count'!C:C,' General Stock Summary View  '!C51,'PowerApp_Physical count'!A:A,' General Stock Summary View  '!B51)</f>
        <v>0</v>
      </c>
      <c r="L51" s="127">
        <f t="shared" si="18"/>
        <v>0</v>
      </c>
      <c r="M51" s="126">
        <f t="shared" si="19"/>
        <v>0</v>
      </c>
      <c r="N51" s="11">
        <f t="shared" si="20"/>
        <v>0</v>
      </c>
      <c r="O51" s="144">
        <f t="shared" si="21"/>
        <v>0</v>
      </c>
      <c r="P51" s="2">
        <f>SUMIFS('XBS '!T:T,'XBS '!H:H,' General Stock Summary View  '!$P$2,'XBS '!L:L,' General Stock Summary View  '!B51,'XBS '!C:C,' General Stock Summary View  '!C51)</f>
        <v>57</v>
      </c>
      <c r="Q51" s="3">
        <f>SUMIFS('PowerApp_Physical count'!H:H,'PowerApp_Physical count'!B:B,' General Stock Summary View  '!$P$2,'PowerApp_Physical count'!C:C,' General Stock Summary View  '!C51,'PowerApp_Physical count'!A:A,' General Stock Summary View  '!B51)</f>
        <v>0</v>
      </c>
      <c r="R51" s="4">
        <f t="shared" si="22"/>
        <v>-57</v>
      </c>
      <c r="S51" s="5">
        <f>SUMIFS('XBS '!T:T,'XBS '!L:L,' General Stock Summary View  '!B51,'XBS '!H:H,' General Stock Summary View  '!$S$2,'XBS '!C:C,' General Stock Summary View  '!C51)</f>
        <v>0</v>
      </c>
      <c r="T51" s="3">
        <f>SUMIFS('PowerApp_Physical count'!H:H,'PowerApp_Physical count'!B:B,' General Stock Summary View  '!$S$2,'PowerApp_Physical count'!C:C,' General Stock Summary View  '!C51,'PowerApp_Physical count'!A:A,' General Stock Summary View  '!B51)</f>
        <v>0</v>
      </c>
      <c r="U51" s="4">
        <f t="shared" si="23"/>
        <v>0</v>
      </c>
      <c r="V51" s="2">
        <f>SUMIFS('XBS '!T:T,'XBS '!H:H,' General Stock Summary View  '!$V$2,'XBS '!B:B,' General Stock Summary View  '!C51,'XBS '!L:L,' General Stock Summary View  '!B51)</f>
        <v>0</v>
      </c>
      <c r="W51" s="3">
        <f>SUMIFS('PowerApp_Physical count'!H:H,'PowerApp_Physical count'!B:B,' General Stock Summary View  '!$V$2,'PowerApp_Physical count'!C:C,' General Stock Summary View  '!C51,'PowerApp_Physical count'!A:A,' General Stock Summary View  '!B51)</f>
        <v>0</v>
      </c>
      <c r="X51" s="4">
        <f t="shared" si="24"/>
        <v>0</v>
      </c>
      <c r="Y51" s="5">
        <f>SUMIFS('XBS '!T:T,'XBS '!H:H,' General Stock Summary View  '!$Y$2,'XBS '!B:B,' General Stock Summary View  '!C51,'XBS '!L:L,' General Stock Summary View  '!B51)</f>
        <v>0</v>
      </c>
      <c r="Z51" s="3">
        <f>SUMIFS('PowerApp_Physical count'!H:H,'PowerApp_Physical count'!B:B,' General Stock Summary View  '!$Y$2,'PowerApp_Physical count'!C:C,' General Stock Summary View  '!C51,'PowerApp_Physical count'!A:A,' General Stock Summary View  '!B51)</f>
        <v>0</v>
      </c>
      <c r="AA51" s="4">
        <f t="shared" si="25"/>
        <v>0</v>
      </c>
      <c r="AB51" s="5">
        <f>SUMIFS('XBS '!T:T,'XBS '!H:H,' General Stock Summary View  '!$AB$2,'XBS '!B:B,' General Stock Summary View  '!C51,'XBS '!L:L,' General Stock Summary View  '!B51)</f>
        <v>0</v>
      </c>
      <c r="AC51" s="3">
        <f>SUMIFS('PowerApp_Physical count'!H:H,'PowerApp_Physical count'!B:B,' General Stock Summary View  '!$AB$2,'PowerApp_Physical count'!C:C,' General Stock Summary View  '!C51,'PowerApp_Physical count'!A:A,' General Stock Summary View  '!B51)</f>
        <v>0</v>
      </c>
      <c r="AD51" s="6">
        <f t="shared" si="26"/>
        <v>0</v>
      </c>
      <c r="AE51" s="7">
        <f t="shared" si="27"/>
        <v>0</v>
      </c>
      <c r="AF51" s="8">
        <f t="shared" si="28"/>
        <v>-57</v>
      </c>
      <c r="AG51" s="112"/>
    </row>
    <row r="52" spans="2:33" s="113" customFormat="1" ht="61.15">
      <c r="B52" s="117" t="s">
        <v>81</v>
      </c>
      <c r="C52" s="111" t="s">
        <v>58</v>
      </c>
      <c r="D52" s="11">
        <f>SUMIFS('XBS '!T:T,'XBS '!C:C,' General Stock Summary View  '!C52,'XBS '!L:L,' General Stock Summary View  '!B52)</f>
        <v>90.483333333333334</v>
      </c>
      <c r="E52" s="2">
        <f>SUMIFS('Blocked for Processing'!P:P,'Blocked for Processing'!I:I,' General Stock Summary View  '!B52,'Blocked for Processing'!C:C,' General Stock Summary View  '!C52)</f>
        <v>0</v>
      </c>
      <c r="F52" s="122">
        <f t="shared" si="17"/>
        <v>90.483333333333334</v>
      </c>
      <c r="G52" s="148">
        <f>SUMIFS('XBS '!T:T,'XBS '!H:H,' General Stock Summary View  '!$G$2,'XBS '!L:L,' General Stock Summary View  '!B52,'XBS '!C:C,' General Stock Summary View  '!C52)</f>
        <v>0</v>
      </c>
      <c r="H52" s="3">
        <f>SUMIFS('PowerApp_Physical count'!H:H,'PowerApp_Physical count'!B:B,' General Stock Summary View  '!$G$2,'PowerApp_Physical count'!C:C,' General Stock Summary View  '!C52,'PowerApp_Physical count'!A:A,' General Stock Summary View  '!B52)</f>
        <v>0</v>
      </c>
      <c r="I52" s="154">
        <f t="shared" si="16"/>
        <v>0</v>
      </c>
      <c r="J52" s="11">
        <f>SUMIFS('XBS '!T:T,'XBS '!H:H,' General Stock Summary View  '!$J$2,'XBS '!L:L,' General Stock Summary View  '!B52,'XBS '!C:C,' General Stock Summary View  '!C52)</f>
        <v>0</v>
      </c>
      <c r="K52" s="157">
        <f>SUMIFS('PowerApp_Physical count'!H:H,'PowerApp_Physical count'!B:B,' General Stock Summary View  '!$J$2,'PowerApp_Physical count'!C:C,' General Stock Summary View  '!C52,'PowerApp_Physical count'!A:A,' General Stock Summary View  '!B52)</f>
        <v>0</v>
      </c>
      <c r="L52" s="127">
        <f t="shared" si="18"/>
        <v>0</v>
      </c>
      <c r="M52" s="126">
        <f t="shared" si="19"/>
        <v>0</v>
      </c>
      <c r="N52" s="11">
        <f t="shared" si="20"/>
        <v>0</v>
      </c>
      <c r="O52" s="144">
        <f t="shared" si="21"/>
        <v>0</v>
      </c>
      <c r="P52" s="2">
        <f>SUMIFS('XBS '!T:T,'XBS '!H:H,' General Stock Summary View  '!$P$2,'XBS '!L:L,' General Stock Summary View  '!B52,'XBS '!C:C,' General Stock Summary View  '!C52)</f>
        <v>90.483333333333334</v>
      </c>
      <c r="Q52" s="3">
        <f>SUMIFS('PowerApp_Physical count'!H:H,'PowerApp_Physical count'!B:B,' General Stock Summary View  '!$P$2,'PowerApp_Physical count'!C:C,' General Stock Summary View  '!C52,'PowerApp_Physical count'!A:A,' General Stock Summary View  '!B52)</f>
        <v>0</v>
      </c>
      <c r="R52" s="4">
        <f t="shared" si="22"/>
        <v>-90.483333333333334</v>
      </c>
      <c r="S52" s="5">
        <f>SUMIFS('XBS '!T:T,'XBS '!L:L,' General Stock Summary View  '!B52,'XBS '!H:H,' General Stock Summary View  '!$S$2,'XBS '!C:C,' General Stock Summary View  '!C52)</f>
        <v>0</v>
      </c>
      <c r="T52" s="3">
        <f>SUMIFS('PowerApp_Physical count'!H:H,'PowerApp_Physical count'!B:B,' General Stock Summary View  '!$S$2,'PowerApp_Physical count'!C:C,' General Stock Summary View  '!C52,'PowerApp_Physical count'!A:A,' General Stock Summary View  '!B52)</f>
        <v>0</v>
      </c>
      <c r="U52" s="4">
        <f t="shared" si="23"/>
        <v>0</v>
      </c>
      <c r="V52" s="2">
        <f>SUMIFS('XBS '!T:T,'XBS '!H:H,' General Stock Summary View  '!$V$2,'XBS '!B:B,' General Stock Summary View  '!C52,'XBS '!L:L,' General Stock Summary View  '!B52)</f>
        <v>0</v>
      </c>
      <c r="W52" s="3">
        <f>SUMIFS('PowerApp_Physical count'!H:H,'PowerApp_Physical count'!B:B,' General Stock Summary View  '!$V$2,'PowerApp_Physical count'!C:C,' General Stock Summary View  '!C52,'PowerApp_Physical count'!A:A,' General Stock Summary View  '!B52)</f>
        <v>0</v>
      </c>
      <c r="X52" s="4">
        <f t="shared" si="24"/>
        <v>0</v>
      </c>
      <c r="Y52" s="5">
        <f>SUMIFS('XBS '!T:T,'XBS '!H:H,' General Stock Summary View  '!$Y$2,'XBS '!B:B,' General Stock Summary View  '!C52,'XBS '!L:L,' General Stock Summary View  '!B52)</f>
        <v>0</v>
      </c>
      <c r="Z52" s="3">
        <f>SUMIFS('PowerApp_Physical count'!H:H,'PowerApp_Physical count'!B:B,' General Stock Summary View  '!$Y$2,'PowerApp_Physical count'!C:C,' General Stock Summary View  '!C52,'PowerApp_Physical count'!A:A,' General Stock Summary View  '!B52)</f>
        <v>0</v>
      </c>
      <c r="AA52" s="4">
        <f t="shared" si="25"/>
        <v>0</v>
      </c>
      <c r="AB52" s="5">
        <f>SUMIFS('XBS '!T:T,'XBS '!H:H,' General Stock Summary View  '!$AB$2,'XBS '!B:B,' General Stock Summary View  '!C52,'XBS '!L:L,' General Stock Summary View  '!B52)</f>
        <v>0</v>
      </c>
      <c r="AC52" s="3">
        <f>SUMIFS('PowerApp_Physical count'!H:H,'PowerApp_Physical count'!B:B,' General Stock Summary View  '!$AB$2,'PowerApp_Physical count'!C:C,' General Stock Summary View  '!C52,'PowerApp_Physical count'!A:A,' General Stock Summary View  '!B52)</f>
        <v>0</v>
      </c>
      <c r="AD52" s="6">
        <f t="shared" si="26"/>
        <v>0</v>
      </c>
      <c r="AE52" s="7">
        <f t="shared" si="27"/>
        <v>0</v>
      </c>
      <c r="AF52" s="8">
        <f t="shared" si="28"/>
        <v>-90.483333333333334</v>
      </c>
      <c r="AG52" s="112"/>
    </row>
    <row r="53" spans="2:33" s="113" customFormat="1" ht="61.15">
      <c r="B53" s="117" t="s">
        <v>82</v>
      </c>
      <c r="C53" s="111" t="s">
        <v>58</v>
      </c>
      <c r="D53" s="11">
        <f>SUMIFS('XBS '!T:T,'XBS '!C:C,' General Stock Summary View  '!C53,'XBS '!L:L,' General Stock Summary View  '!B53)</f>
        <v>5.3666666666666663</v>
      </c>
      <c r="E53" s="2">
        <f>SUMIFS('Blocked for Processing'!P:P,'Blocked for Processing'!I:I,' General Stock Summary View  '!B53,'Blocked for Processing'!C:C,' General Stock Summary View  '!C53)</f>
        <v>0</v>
      </c>
      <c r="F53" s="122">
        <f t="shared" si="17"/>
        <v>5.3666666666666663</v>
      </c>
      <c r="G53" s="148">
        <f>SUMIFS('XBS '!T:T,'XBS '!H:H,' General Stock Summary View  '!$G$2,'XBS '!L:L,' General Stock Summary View  '!B53,'XBS '!C:C,' General Stock Summary View  '!C53)</f>
        <v>0</v>
      </c>
      <c r="H53" s="3">
        <f>SUMIFS('PowerApp_Physical count'!H:H,'PowerApp_Physical count'!B:B,' General Stock Summary View  '!$G$2,'PowerApp_Physical count'!C:C,' General Stock Summary View  '!C53,'PowerApp_Physical count'!A:A,' General Stock Summary View  '!B53)</f>
        <v>0</v>
      </c>
      <c r="I53" s="154">
        <f t="shared" si="16"/>
        <v>0</v>
      </c>
      <c r="J53" s="11">
        <f>SUMIFS('XBS '!T:T,'XBS '!H:H,' General Stock Summary View  '!$J$2,'XBS '!L:L,' General Stock Summary View  '!B53,'XBS '!C:C,' General Stock Summary View  '!C53)</f>
        <v>0</v>
      </c>
      <c r="K53" s="157">
        <f>SUMIFS('PowerApp_Physical count'!H:H,'PowerApp_Physical count'!B:B,' General Stock Summary View  '!$J$2,'PowerApp_Physical count'!C:C,' General Stock Summary View  '!C53,'PowerApp_Physical count'!A:A,' General Stock Summary View  '!B53)</f>
        <v>0</v>
      </c>
      <c r="L53" s="127">
        <f t="shared" si="18"/>
        <v>0</v>
      </c>
      <c r="M53" s="126">
        <f t="shared" si="19"/>
        <v>0</v>
      </c>
      <c r="N53" s="11">
        <f t="shared" si="20"/>
        <v>0</v>
      </c>
      <c r="O53" s="144">
        <f t="shared" si="21"/>
        <v>0</v>
      </c>
      <c r="P53" s="2">
        <f>SUMIFS('XBS '!T:T,'XBS '!H:H,' General Stock Summary View  '!$P$2,'XBS '!L:L,' General Stock Summary View  '!B53,'XBS '!C:C,' General Stock Summary View  '!C53)</f>
        <v>5.3666666666666663</v>
      </c>
      <c r="Q53" s="3">
        <f>SUMIFS('PowerApp_Physical count'!H:H,'PowerApp_Physical count'!B:B,' General Stock Summary View  '!$P$2,'PowerApp_Physical count'!C:C,' General Stock Summary View  '!C53,'PowerApp_Physical count'!A:A,' General Stock Summary View  '!B53)</f>
        <v>0</v>
      </c>
      <c r="R53" s="4">
        <f t="shared" si="22"/>
        <v>-5.3666666666666663</v>
      </c>
      <c r="S53" s="5">
        <f>SUMIFS('XBS '!T:T,'XBS '!L:L,' General Stock Summary View  '!B53,'XBS '!H:H,' General Stock Summary View  '!$S$2,'XBS '!C:C,' General Stock Summary View  '!C53)</f>
        <v>0</v>
      </c>
      <c r="T53" s="3">
        <f>SUMIFS('PowerApp_Physical count'!H:H,'PowerApp_Physical count'!B:B,' General Stock Summary View  '!$S$2,'PowerApp_Physical count'!C:C,' General Stock Summary View  '!C53,'PowerApp_Physical count'!A:A,' General Stock Summary View  '!B53)</f>
        <v>0</v>
      </c>
      <c r="U53" s="4">
        <f t="shared" si="23"/>
        <v>0</v>
      </c>
      <c r="V53" s="2">
        <f>SUMIFS('XBS '!T:T,'XBS '!H:H,' General Stock Summary View  '!$V$2,'XBS '!B:B,' General Stock Summary View  '!C53,'XBS '!L:L,' General Stock Summary View  '!B53)</f>
        <v>0</v>
      </c>
      <c r="W53" s="3">
        <f>SUMIFS('PowerApp_Physical count'!H:H,'PowerApp_Physical count'!B:B,' General Stock Summary View  '!$V$2,'PowerApp_Physical count'!C:C,' General Stock Summary View  '!C53,'PowerApp_Physical count'!A:A,' General Stock Summary View  '!B53)</f>
        <v>0</v>
      </c>
      <c r="X53" s="4">
        <f t="shared" si="24"/>
        <v>0</v>
      </c>
      <c r="Y53" s="5">
        <f>SUMIFS('XBS '!T:T,'XBS '!H:H,' General Stock Summary View  '!$Y$2,'XBS '!B:B,' General Stock Summary View  '!C53,'XBS '!L:L,' General Stock Summary View  '!B53)</f>
        <v>0</v>
      </c>
      <c r="Z53" s="3">
        <f>SUMIFS('PowerApp_Physical count'!H:H,'PowerApp_Physical count'!B:B,' General Stock Summary View  '!$Y$2,'PowerApp_Physical count'!C:C,' General Stock Summary View  '!C53,'PowerApp_Physical count'!A:A,' General Stock Summary View  '!B53)</f>
        <v>0</v>
      </c>
      <c r="AA53" s="4">
        <f t="shared" si="25"/>
        <v>0</v>
      </c>
      <c r="AB53" s="5">
        <f>SUMIFS('XBS '!T:T,'XBS '!H:H,' General Stock Summary View  '!$AB$2,'XBS '!B:B,' General Stock Summary View  '!C53,'XBS '!L:L,' General Stock Summary View  '!B53)</f>
        <v>0</v>
      </c>
      <c r="AC53" s="3">
        <f>SUMIFS('PowerApp_Physical count'!H:H,'PowerApp_Physical count'!B:B,' General Stock Summary View  '!$AB$2,'PowerApp_Physical count'!C:C,' General Stock Summary View  '!C53,'PowerApp_Physical count'!A:A,' General Stock Summary View  '!B53)</f>
        <v>0</v>
      </c>
      <c r="AD53" s="6">
        <f t="shared" si="26"/>
        <v>0</v>
      </c>
      <c r="AE53" s="7">
        <f t="shared" si="27"/>
        <v>0</v>
      </c>
      <c r="AF53" s="8">
        <f t="shared" si="28"/>
        <v>-5.3666666666666663</v>
      </c>
      <c r="AG53" s="112"/>
    </row>
    <row r="54" spans="2:33" s="113" customFormat="1" ht="61.15">
      <c r="B54" s="117" t="s">
        <v>83</v>
      </c>
      <c r="C54" s="111" t="s">
        <v>58</v>
      </c>
      <c r="D54" s="11">
        <f>SUMIFS('XBS '!T:T,'XBS '!C:C,' General Stock Summary View  '!C54,'XBS '!L:L,' General Stock Summary View  '!B54)</f>
        <v>9.6833333333333336</v>
      </c>
      <c r="E54" s="2">
        <f>SUMIFS('Blocked for Processing'!P:P,'Blocked for Processing'!I:I,' General Stock Summary View  '!B54,'Blocked for Processing'!C:C,' General Stock Summary View  '!C54)</f>
        <v>0</v>
      </c>
      <c r="F54" s="122">
        <f t="shared" si="17"/>
        <v>9.6833333333333336</v>
      </c>
      <c r="G54" s="148">
        <f>SUMIFS('XBS '!T:T,'XBS '!H:H,' General Stock Summary View  '!$G$2,'XBS '!L:L,' General Stock Summary View  '!B54,'XBS '!C:C,' General Stock Summary View  '!C54)</f>
        <v>0</v>
      </c>
      <c r="H54" s="3">
        <f>SUMIFS('PowerApp_Physical count'!H:H,'PowerApp_Physical count'!B:B,' General Stock Summary View  '!$G$2,'PowerApp_Physical count'!C:C,' General Stock Summary View  '!C54,'PowerApp_Physical count'!A:A,' General Stock Summary View  '!B54)</f>
        <v>0</v>
      </c>
      <c r="I54" s="154">
        <f t="shared" si="16"/>
        <v>0</v>
      </c>
      <c r="J54" s="11">
        <f>SUMIFS('XBS '!T:T,'XBS '!H:H,' General Stock Summary View  '!$J$2,'XBS '!L:L,' General Stock Summary View  '!B54,'XBS '!C:C,' General Stock Summary View  '!C54)</f>
        <v>0</v>
      </c>
      <c r="K54" s="157">
        <f>SUMIFS('PowerApp_Physical count'!H:H,'PowerApp_Physical count'!B:B,' General Stock Summary View  '!$J$2,'PowerApp_Physical count'!C:C,' General Stock Summary View  '!C54,'PowerApp_Physical count'!A:A,' General Stock Summary View  '!B54)</f>
        <v>0</v>
      </c>
      <c r="L54" s="127">
        <f t="shared" si="18"/>
        <v>0</v>
      </c>
      <c r="M54" s="126">
        <f t="shared" si="19"/>
        <v>0</v>
      </c>
      <c r="N54" s="11">
        <f t="shared" si="20"/>
        <v>0</v>
      </c>
      <c r="O54" s="144">
        <f t="shared" si="21"/>
        <v>0</v>
      </c>
      <c r="P54" s="2">
        <f>SUMIFS('XBS '!T:T,'XBS '!H:H,' General Stock Summary View  '!$P$2,'XBS '!L:L,' General Stock Summary View  '!B54,'XBS '!C:C,' General Stock Summary View  '!C54)</f>
        <v>9.6833333333333336</v>
      </c>
      <c r="Q54" s="3">
        <f>SUMIFS('PowerApp_Physical count'!H:H,'PowerApp_Physical count'!B:B,' General Stock Summary View  '!$P$2,'PowerApp_Physical count'!C:C,' General Stock Summary View  '!C54,'PowerApp_Physical count'!A:A,' General Stock Summary View  '!B54)</f>
        <v>0</v>
      </c>
      <c r="R54" s="4">
        <f t="shared" si="22"/>
        <v>-9.6833333333333336</v>
      </c>
      <c r="S54" s="5">
        <f>SUMIFS('XBS '!T:T,'XBS '!L:L,' General Stock Summary View  '!B54,'XBS '!H:H,' General Stock Summary View  '!$S$2,'XBS '!C:C,' General Stock Summary View  '!C54)</f>
        <v>0</v>
      </c>
      <c r="T54" s="3">
        <f>SUMIFS('PowerApp_Physical count'!H:H,'PowerApp_Physical count'!B:B,' General Stock Summary View  '!$S$2,'PowerApp_Physical count'!C:C,' General Stock Summary View  '!C54,'PowerApp_Physical count'!A:A,' General Stock Summary View  '!B54)</f>
        <v>0</v>
      </c>
      <c r="U54" s="4">
        <f t="shared" si="23"/>
        <v>0</v>
      </c>
      <c r="V54" s="2">
        <f>SUMIFS('XBS '!T:T,'XBS '!H:H,' General Stock Summary View  '!$V$2,'XBS '!B:B,' General Stock Summary View  '!C54,'XBS '!L:L,' General Stock Summary View  '!B54)</f>
        <v>0</v>
      </c>
      <c r="W54" s="3">
        <f>SUMIFS('PowerApp_Physical count'!H:H,'PowerApp_Physical count'!B:B,' General Stock Summary View  '!$V$2,'PowerApp_Physical count'!C:C,' General Stock Summary View  '!C54,'PowerApp_Physical count'!A:A,' General Stock Summary View  '!B54)</f>
        <v>0</v>
      </c>
      <c r="X54" s="4">
        <f t="shared" si="24"/>
        <v>0</v>
      </c>
      <c r="Y54" s="5">
        <f>SUMIFS('XBS '!T:T,'XBS '!H:H,' General Stock Summary View  '!$Y$2,'XBS '!B:B,' General Stock Summary View  '!C54,'XBS '!L:L,' General Stock Summary View  '!B54)</f>
        <v>0</v>
      </c>
      <c r="Z54" s="3">
        <f>SUMIFS('PowerApp_Physical count'!H:H,'PowerApp_Physical count'!B:B,' General Stock Summary View  '!$Y$2,'PowerApp_Physical count'!C:C,' General Stock Summary View  '!C54,'PowerApp_Physical count'!A:A,' General Stock Summary View  '!B54)</f>
        <v>0</v>
      </c>
      <c r="AA54" s="4">
        <f t="shared" si="25"/>
        <v>0</v>
      </c>
      <c r="AB54" s="5">
        <f>SUMIFS('XBS '!T:T,'XBS '!H:H,' General Stock Summary View  '!$AB$2,'XBS '!B:B,' General Stock Summary View  '!C54,'XBS '!L:L,' General Stock Summary View  '!B54)</f>
        <v>0</v>
      </c>
      <c r="AC54" s="3">
        <f>SUMIFS('PowerApp_Physical count'!H:H,'PowerApp_Physical count'!B:B,' General Stock Summary View  '!$AB$2,'PowerApp_Physical count'!C:C,' General Stock Summary View  '!C54,'PowerApp_Physical count'!A:A,' General Stock Summary View  '!B54)</f>
        <v>0</v>
      </c>
      <c r="AD54" s="6">
        <f t="shared" si="26"/>
        <v>0</v>
      </c>
      <c r="AE54" s="7">
        <f t="shared" si="27"/>
        <v>0</v>
      </c>
      <c r="AF54" s="8">
        <f t="shared" si="28"/>
        <v>-9.6833333333333336</v>
      </c>
      <c r="AG54" s="112"/>
    </row>
    <row r="55" spans="2:33" s="113" customFormat="1" ht="61.15">
      <c r="B55" s="117" t="s">
        <v>84</v>
      </c>
      <c r="C55" s="111" t="s">
        <v>58</v>
      </c>
      <c r="D55" s="11">
        <f>SUMIFS('XBS '!T:T,'XBS '!C:C,' General Stock Summary View  '!C55,'XBS '!L:L,' General Stock Summary View  '!B55)</f>
        <v>3.9333333333333331</v>
      </c>
      <c r="E55" s="2">
        <f>SUMIFS('Blocked for Processing'!P:P,'Blocked for Processing'!I:I,' General Stock Summary View  '!B55,'Blocked for Processing'!C:C,' General Stock Summary View  '!C55)</f>
        <v>0</v>
      </c>
      <c r="F55" s="122">
        <f t="shared" si="17"/>
        <v>3.9333333333333331</v>
      </c>
      <c r="G55" s="148">
        <f>SUMIFS('XBS '!T:T,'XBS '!H:H,' General Stock Summary View  '!$G$2,'XBS '!L:L,' General Stock Summary View  '!B55,'XBS '!C:C,' General Stock Summary View  '!C55)</f>
        <v>0</v>
      </c>
      <c r="H55" s="3">
        <f>SUMIFS('PowerApp_Physical count'!H:H,'PowerApp_Physical count'!B:B,' General Stock Summary View  '!$G$2,'PowerApp_Physical count'!C:C,' General Stock Summary View  '!C55,'PowerApp_Physical count'!A:A,' General Stock Summary View  '!B55)</f>
        <v>0</v>
      </c>
      <c r="I55" s="154">
        <f t="shared" si="16"/>
        <v>0</v>
      </c>
      <c r="J55" s="11">
        <f>SUMIFS('XBS '!T:T,'XBS '!H:H,' General Stock Summary View  '!$J$2,'XBS '!L:L,' General Stock Summary View  '!B55,'XBS '!C:C,' General Stock Summary View  '!C55)</f>
        <v>0</v>
      </c>
      <c r="K55" s="157">
        <f>SUMIFS('PowerApp_Physical count'!H:H,'PowerApp_Physical count'!B:B,' General Stock Summary View  '!$J$2,'PowerApp_Physical count'!C:C,' General Stock Summary View  '!C55,'PowerApp_Physical count'!A:A,' General Stock Summary View  '!B55)</f>
        <v>0</v>
      </c>
      <c r="L55" s="127">
        <f t="shared" si="18"/>
        <v>0</v>
      </c>
      <c r="M55" s="126">
        <f t="shared" si="19"/>
        <v>0</v>
      </c>
      <c r="N55" s="11">
        <f t="shared" si="20"/>
        <v>0</v>
      </c>
      <c r="O55" s="144">
        <f t="shared" si="21"/>
        <v>0</v>
      </c>
      <c r="P55" s="2">
        <f>SUMIFS('XBS '!T:T,'XBS '!H:H,' General Stock Summary View  '!$P$2,'XBS '!L:L,' General Stock Summary View  '!B55,'XBS '!C:C,' General Stock Summary View  '!C55)</f>
        <v>3.9333333333333331</v>
      </c>
      <c r="Q55" s="3">
        <f>SUMIFS('PowerApp_Physical count'!H:H,'PowerApp_Physical count'!B:B,' General Stock Summary View  '!$P$2,'PowerApp_Physical count'!C:C,' General Stock Summary View  '!C55,'PowerApp_Physical count'!A:A,' General Stock Summary View  '!B55)</f>
        <v>0</v>
      </c>
      <c r="R55" s="4">
        <f t="shared" si="22"/>
        <v>-3.9333333333333331</v>
      </c>
      <c r="S55" s="5">
        <f>SUMIFS('XBS '!T:T,'XBS '!L:L,' General Stock Summary View  '!B55,'XBS '!H:H,' General Stock Summary View  '!$S$2,'XBS '!C:C,' General Stock Summary View  '!C55)</f>
        <v>0</v>
      </c>
      <c r="T55" s="3">
        <f>SUMIFS('PowerApp_Physical count'!H:H,'PowerApp_Physical count'!B:B,' General Stock Summary View  '!$S$2,'PowerApp_Physical count'!C:C,' General Stock Summary View  '!C55,'PowerApp_Physical count'!A:A,' General Stock Summary View  '!B55)</f>
        <v>0</v>
      </c>
      <c r="U55" s="4">
        <f t="shared" si="23"/>
        <v>0</v>
      </c>
      <c r="V55" s="2">
        <f>SUMIFS('XBS '!T:T,'XBS '!H:H,' General Stock Summary View  '!$V$2,'XBS '!B:B,' General Stock Summary View  '!C55,'XBS '!L:L,' General Stock Summary View  '!B55)</f>
        <v>0</v>
      </c>
      <c r="W55" s="3">
        <f>SUMIFS('PowerApp_Physical count'!H:H,'PowerApp_Physical count'!B:B,' General Stock Summary View  '!$V$2,'PowerApp_Physical count'!C:C,' General Stock Summary View  '!C55,'PowerApp_Physical count'!A:A,' General Stock Summary View  '!B55)</f>
        <v>0</v>
      </c>
      <c r="X55" s="4">
        <f t="shared" si="24"/>
        <v>0</v>
      </c>
      <c r="Y55" s="5">
        <f>SUMIFS('XBS '!T:T,'XBS '!H:H,' General Stock Summary View  '!$Y$2,'XBS '!B:B,' General Stock Summary View  '!C55,'XBS '!L:L,' General Stock Summary View  '!B55)</f>
        <v>0</v>
      </c>
      <c r="Z55" s="3">
        <f>SUMIFS('PowerApp_Physical count'!H:H,'PowerApp_Physical count'!B:B,' General Stock Summary View  '!$Y$2,'PowerApp_Physical count'!C:C,' General Stock Summary View  '!C55,'PowerApp_Physical count'!A:A,' General Stock Summary View  '!B55)</f>
        <v>0</v>
      </c>
      <c r="AA55" s="4">
        <f t="shared" si="25"/>
        <v>0</v>
      </c>
      <c r="AB55" s="5">
        <f>SUMIFS('XBS '!T:T,'XBS '!H:H,' General Stock Summary View  '!$AB$2,'XBS '!B:B,' General Stock Summary View  '!C55,'XBS '!L:L,' General Stock Summary View  '!B55)</f>
        <v>0</v>
      </c>
      <c r="AC55" s="3">
        <f>SUMIFS('PowerApp_Physical count'!H:H,'PowerApp_Physical count'!B:B,' General Stock Summary View  '!$AB$2,'PowerApp_Physical count'!C:C,' General Stock Summary View  '!C55,'PowerApp_Physical count'!A:A,' General Stock Summary View  '!B55)</f>
        <v>0</v>
      </c>
      <c r="AD55" s="6">
        <f t="shared" si="26"/>
        <v>0</v>
      </c>
      <c r="AE55" s="7">
        <f t="shared" si="27"/>
        <v>0</v>
      </c>
      <c r="AF55" s="8">
        <f t="shared" si="28"/>
        <v>-3.9333333333333331</v>
      </c>
      <c r="AG55" s="112"/>
    </row>
    <row r="56" spans="2:33" s="113" customFormat="1" ht="61.15">
      <c r="B56" s="117" t="s">
        <v>85</v>
      </c>
      <c r="C56" s="111" t="s">
        <v>58</v>
      </c>
      <c r="D56" s="11">
        <f>SUMIFS('XBS '!T:T,'XBS '!C:C,' General Stock Summary View  '!C56,'XBS '!L:L,' General Stock Summary View  '!B56)</f>
        <v>4.5</v>
      </c>
      <c r="E56" s="2">
        <f>SUMIFS('Blocked for Processing'!P:P,'Blocked for Processing'!I:I,' General Stock Summary View  '!B56,'Blocked for Processing'!C:C,' General Stock Summary View  '!C56)</f>
        <v>0</v>
      </c>
      <c r="F56" s="122">
        <f t="shared" si="17"/>
        <v>4.5</v>
      </c>
      <c r="G56" s="148">
        <f>SUMIFS('XBS '!T:T,'XBS '!H:H,' General Stock Summary View  '!$G$2,'XBS '!L:L,' General Stock Summary View  '!B56,'XBS '!C:C,' General Stock Summary View  '!C56)</f>
        <v>0</v>
      </c>
      <c r="H56" s="3">
        <f>SUMIFS('PowerApp_Physical count'!H:H,'PowerApp_Physical count'!B:B,' General Stock Summary View  '!$G$2,'PowerApp_Physical count'!C:C,' General Stock Summary View  '!C56,'PowerApp_Physical count'!A:A,' General Stock Summary View  '!B56)</f>
        <v>0</v>
      </c>
      <c r="I56" s="154">
        <f t="shared" si="16"/>
        <v>0</v>
      </c>
      <c r="J56" s="11">
        <f>SUMIFS('XBS '!T:T,'XBS '!H:H,' General Stock Summary View  '!$J$2,'XBS '!L:L,' General Stock Summary View  '!B56,'XBS '!C:C,' General Stock Summary View  '!C56)</f>
        <v>0</v>
      </c>
      <c r="K56" s="157">
        <f>SUMIFS('PowerApp_Physical count'!H:H,'PowerApp_Physical count'!B:B,' General Stock Summary View  '!$J$2,'PowerApp_Physical count'!C:C,' General Stock Summary View  '!C56,'PowerApp_Physical count'!A:A,' General Stock Summary View  '!B56)</f>
        <v>0</v>
      </c>
      <c r="L56" s="127">
        <f t="shared" si="18"/>
        <v>0</v>
      </c>
      <c r="M56" s="126">
        <f t="shared" si="19"/>
        <v>0</v>
      </c>
      <c r="N56" s="11">
        <f t="shared" si="20"/>
        <v>0</v>
      </c>
      <c r="O56" s="144">
        <f t="shared" si="21"/>
        <v>0</v>
      </c>
      <c r="P56" s="2">
        <f>SUMIFS('XBS '!T:T,'XBS '!H:H,' General Stock Summary View  '!$P$2,'XBS '!L:L,' General Stock Summary View  '!B56,'XBS '!C:C,' General Stock Summary View  '!C56)</f>
        <v>4.5</v>
      </c>
      <c r="Q56" s="3">
        <f>SUMIFS('PowerApp_Physical count'!H:H,'PowerApp_Physical count'!B:B,' General Stock Summary View  '!$P$2,'PowerApp_Physical count'!C:C,' General Stock Summary View  '!C56,'PowerApp_Physical count'!A:A,' General Stock Summary View  '!B56)</f>
        <v>0</v>
      </c>
      <c r="R56" s="4">
        <f t="shared" si="22"/>
        <v>-4.5</v>
      </c>
      <c r="S56" s="5">
        <f>SUMIFS('XBS '!T:T,'XBS '!L:L,' General Stock Summary View  '!B56,'XBS '!H:H,' General Stock Summary View  '!$S$2,'XBS '!C:C,' General Stock Summary View  '!C56)</f>
        <v>0</v>
      </c>
      <c r="T56" s="3">
        <f>SUMIFS('PowerApp_Physical count'!H:H,'PowerApp_Physical count'!B:B,' General Stock Summary View  '!$S$2,'PowerApp_Physical count'!C:C,' General Stock Summary View  '!C56,'PowerApp_Physical count'!A:A,' General Stock Summary View  '!B56)</f>
        <v>0</v>
      </c>
      <c r="U56" s="4">
        <f t="shared" si="23"/>
        <v>0</v>
      </c>
      <c r="V56" s="2">
        <f>SUMIFS('XBS '!T:T,'XBS '!H:H,' General Stock Summary View  '!$V$2,'XBS '!B:B,' General Stock Summary View  '!C56,'XBS '!L:L,' General Stock Summary View  '!B56)</f>
        <v>0</v>
      </c>
      <c r="W56" s="3">
        <f>SUMIFS('PowerApp_Physical count'!H:H,'PowerApp_Physical count'!B:B,' General Stock Summary View  '!$V$2,'PowerApp_Physical count'!C:C,' General Stock Summary View  '!C56,'PowerApp_Physical count'!A:A,' General Stock Summary View  '!B56)</f>
        <v>0</v>
      </c>
      <c r="X56" s="4">
        <f t="shared" si="24"/>
        <v>0</v>
      </c>
      <c r="Y56" s="5">
        <f>SUMIFS('XBS '!T:T,'XBS '!H:H,' General Stock Summary View  '!$Y$2,'XBS '!B:B,' General Stock Summary View  '!C56,'XBS '!L:L,' General Stock Summary View  '!B56)</f>
        <v>0</v>
      </c>
      <c r="Z56" s="3">
        <f>SUMIFS('PowerApp_Physical count'!H:H,'PowerApp_Physical count'!B:B,' General Stock Summary View  '!$Y$2,'PowerApp_Physical count'!C:C,' General Stock Summary View  '!C56,'PowerApp_Physical count'!A:A,' General Stock Summary View  '!B56)</f>
        <v>0</v>
      </c>
      <c r="AA56" s="4">
        <f t="shared" si="25"/>
        <v>0</v>
      </c>
      <c r="AB56" s="5">
        <f>SUMIFS('XBS '!T:T,'XBS '!H:H,' General Stock Summary View  '!$AB$2,'XBS '!B:B,' General Stock Summary View  '!C56,'XBS '!L:L,' General Stock Summary View  '!B56)</f>
        <v>0</v>
      </c>
      <c r="AC56" s="3">
        <f>SUMIFS('PowerApp_Physical count'!H:H,'PowerApp_Physical count'!B:B,' General Stock Summary View  '!$AB$2,'PowerApp_Physical count'!C:C,' General Stock Summary View  '!C56,'PowerApp_Physical count'!A:A,' General Stock Summary View  '!B56)</f>
        <v>0</v>
      </c>
      <c r="AD56" s="6">
        <f t="shared" si="26"/>
        <v>0</v>
      </c>
      <c r="AE56" s="7">
        <f t="shared" si="27"/>
        <v>0</v>
      </c>
      <c r="AF56" s="8">
        <f t="shared" si="28"/>
        <v>-4.5</v>
      </c>
      <c r="AG56" s="112"/>
    </row>
    <row r="57" spans="2:33" s="113" customFormat="1" ht="61.15">
      <c r="B57" s="117" t="s">
        <v>86</v>
      </c>
      <c r="C57" s="111" t="s">
        <v>58</v>
      </c>
      <c r="D57" s="11">
        <f>SUMIFS('XBS '!T:T,'XBS '!C:C,' General Stock Summary View  '!C57,'XBS '!L:L,' General Stock Summary View  '!B57)</f>
        <v>17.899999999999999</v>
      </c>
      <c r="E57" s="2">
        <f>SUMIFS('Blocked for Processing'!P:P,'Blocked for Processing'!I:I,' General Stock Summary View  '!B57,'Blocked for Processing'!C:C,' General Stock Summary View  '!C57)</f>
        <v>0</v>
      </c>
      <c r="F57" s="122">
        <f t="shared" si="17"/>
        <v>17.899999999999999</v>
      </c>
      <c r="G57" s="148">
        <f>SUMIFS('XBS '!T:T,'XBS '!H:H,' General Stock Summary View  '!$G$2,'XBS '!L:L,' General Stock Summary View  '!B57,'XBS '!C:C,' General Stock Summary View  '!C57)</f>
        <v>0</v>
      </c>
      <c r="H57" s="3">
        <f>SUMIFS('PowerApp_Physical count'!H:H,'PowerApp_Physical count'!B:B,' General Stock Summary View  '!$G$2,'PowerApp_Physical count'!C:C,' General Stock Summary View  '!C57,'PowerApp_Physical count'!A:A,' General Stock Summary View  '!B57)</f>
        <v>0</v>
      </c>
      <c r="I57" s="154">
        <f t="shared" si="16"/>
        <v>0</v>
      </c>
      <c r="J57" s="11">
        <f>SUMIFS('XBS '!T:T,'XBS '!H:H,' General Stock Summary View  '!$J$2,'XBS '!L:L,' General Stock Summary View  '!B57,'XBS '!C:C,' General Stock Summary View  '!C57)</f>
        <v>0</v>
      </c>
      <c r="K57" s="157">
        <f>SUMIFS('PowerApp_Physical count'!H:H,'PowerApp_Physical count'!B:B,' General Stock Summary View  '!$J$2,'PowerApp_Physical count'!C:C,' General Stock Summary View  '!C57,'PowerApp_Physical count'!A:A,' General Stock Summary View  '!B57)</f>
        <v>0</v>
      </c>
      <c r="L57" s="127">
        <f t="shared" si="18"/>
        <v>0</v>
      </c>
      <c r="M57" s="126">
        <f t="shared" si="19"/>
        <v>0</v>
      </c>
      <c r="N57" s="11">
        <f t="shared" si="20"/>
        <v>0</v>
      </c>
      <c r="O57" s="144">
        <f t="shared" si="21"/>
        <v>0</v>
      </c>
      <c r="P57" s="2">
        <f>SUMIFS('XBS '!T:T,'XBS '!H:H,' General Stock Summary View  '!$P$2,'XBS '!L:L,' General Stock Summary View  '!B57,'XBS '!C:C,' General Stock Summary View  '!C57)</f>
        <v>17.899999999999999</v>
      </c>
      <c r="Q57" s="3">
        <f>SUMIFS('PowerApp_Physical count'!H:H,'PowerApp_Physical count'!B:B,' General Stock Summary View  '!$P$2,'PowerApp_Physical count'!C:C,' General Stock Summary View  '!C57,'PowerApp_Physical count'!A:A,' General Stock Summary View  '!B57)</f>
        <v>0</v>
      </c>
      <c r="R57" s="4">
        <f t="shared" si="22"/>
        <v>-17.899999999999999</v>
      </c>
      <c r="S57" s="5">
        <f>SUMIFS('XBS '!T:T,'XBS '!L:L,' General Stock Summary View  '!B57,'XBS '!H:H,' General Stock Summary View  '!$S$2,'XBS '!C:C,' General Stock Summary View  '!C57)</f>
        <v>0</v>
      </c>
      <c r="T57" s="3">
        <f>SUMIFS('PowerApp_Physical count'!H:H,'PowerApp_Physical count'!B:B,' General Stock Summary View  '!$S$2,'PowerApp_Physical count'!C:C,' General Stock Summary View  '!C57,'PowerApp_Physical count'!A:A,' General Stock Summary View  '!B57)</f>
        <v>0</v>
      </c>
      <c r="U57" s="4">
        <f t="shared" si="23"/>
        <v>0</v>
      </c>
      <c r="V57" s="2">
        <f>SUMIFS('XBS '!T:T,'XBS '!H:H,' General Stock Summary View  '!$V$2,'XBS '!B:B,' General Stock Summary View  '!C57,'XBS '!L:L,' General Stock Summary View  '!B57)</f>
        <v>0</v>
      </c>
      <c r="W57" s="3">
        <f>SUMIFS('PowerApp_Physical count'!H:H,'PowerApp_Physical count'!B:B,' General Stock Summary View  '!$V$2,'PowerApp_Physical count'!C:C,' General Stock Summary View  '!C57,'PowerApp_Physical count'!A:A,' General Stock Summary View  '!B57)</f>
        <v>0</v>
      </c>
      <c r="X57" s="4">
        <f t="shared" si="24"/>
        <v>0</v>
      </c>
      <c r="Y57" s="5">
        <f>SUMIFS('XBS '!T:T,'XBS '!H:H,' General Stock Summary View  '!$Y$2,'XBS '!B:B,' General Stock Summary View  '!C57,'XBS '!L:L,' General Stock Summary View  '!B57)</f>
        <v>0</v>
      </c>
      <c r="Z57" s="3">
        <f>SUMIFS('PowerApp_Physical count'!H:H,'PowerApp_Physical count'!B:B,' General Stock Summary View  '!$Y$2,'PowerApp_Physical count'!C:C,' General Stock Summary View  '!C57,'PowerApp_Physical count'!A:A,' General Stock Summary View  '!B57)</f>
        <v>0</v>
      </c>
      <c r="AA57" s="4">
        <f t="shared" si="25"/>
        <v>0</v>
      </c>
      <c r="AB57" s="5">
        <f>SUMIFS('XBS '!T:T,'XBS '!H:H,' General Stock Summary View  '!$AB$2,'XBS '!B:B,' General Stock Summary View  '!C57,'XBS '!L:L,' General Stock Summary View  '!B57)</f>
        <v>0</v>
      </c>
      <c r="AC57" s="3">
        <f>SUMIFS('PowerApp_Physical count'!H:H,'PowerApp_Physical count'!B:B,' General Stock Summary View  '!$AB$2,'PowerApp_Physical count'!C:C,' General Stock Summary View  '!C57,'PowerApp_Physical count'!A:A,' General Stock Summary View  '!B57)</f>
        <v>0</v>
      </c>
      <c r="AD57" s="6">
        <f t="shared" si="26"/>
        <v>0</v>
      </c>
      <c r="AE57" s="7">
        <f t="shared" si="27"/>
        <v>0</v>
      </c>
      <c r="AF57" s="8">
        <f t="shared" si="28"/>
        <v>-17.899999999999999</v>
      </c>
      <c r="AG57" s="112"/>
    </row>
    <row r="58" spans="2:33" s="113" customFormat="1" ht="61.15">
      <c r="B58" s="117" t="s">
        <v>87</v>
      </c>
      <c r="C58" s="111" t="s">
        <v>58</v>
      </c>
      <c r="D58" s="11">
        <f>SUMIFS('XBS '!T:T,'XBS '!C:C,' General Stock Summary View  '!C58,'XBS '!L:L,' General Stock Summary View  '!B58)</f>
        <v>21.683333333333334</v>
      </c>
      <c r="E58" s="2">
        <f>SUMIFS('Blocked for Processing'!P:P,'Blocked for Processing'!I:I,' General Stock Summary View  '!B58,'Blocked for Processing'!C:C,' General Stock Summary View  '!C58)</f>
        <v>0</v>
      </c>
      <c r="F58" s="122">
        <f t="shared" si="17"/>
        <v>21.683333333333334</v>
      </c>
      <c r="G58" s="148">
        <f>SUMIFS('XBS '!T:T,'XBS '!H:H,' General Stock Summary View  '!$G$2,'XBS '!L:L,' General Stock Summary View  '!B58,'XBS '!C:C,' General Stock Summary View  '!C58)</f>
        <v>0</v>
      </c>
      <c r="H58" s="3">
        <f>SUMIFS('PowerApp_Physical count'!H:H,'PowerApp_Physical count'!B:B,' General Stock Summary View  '!$G$2,'PowerApp_Physical count'!C:C,' General Stock Summary View  '!C58,'PowerApp_Physical count'!A:A,' General Stock Summary View  '!B58)</f>
        <v>0</v>
      </c>
      <c r="I58" s="154">
        <f t="shared" si="16"/>
        <v>0</v>
      </c>
      <c r="J58" s="11">
        <f>SUMIFS('XBS '!T:T,'XBS '!H:H,' General Stock Summary View  '!$J$2,'XBS '!L:L,' General Stock Summary View  '!B58,'XBS '!C:C,' General Stock Summary View  '!C58)</f>
        <v>0</v>
      </c>
      <c r="K58" s="157">
        <f>SUMIFS('PowerApp_Physical count'!H:H,'PowerApp_Physical count'!B:B,' General Stock Summary View  '!$J$2,'PowerApp_Physical count'!C:C,' General Stock Summary View  '!C58,'PowerApp_Physical count'!A:A,' General Stock Summary View  '!B58)</f>
        <v>0</v>
      </c>
      <c r="L58" s="127">
        <f t="shared" si="18"/>
        <v>0</v>
      </c>
      <c r="M58" s="126">
        <f t="shared" si="19"/>
        <v>0</v>
      </c>
      <c r="N58" s="11">
        <f t="shared" si="20"/>
        <v>0</v>
      </c>
      <c r="O58" s="144">
        <f t="shared" si="21"/>
        <v>0</v>
      </c>
      <c r="P58" s="2">
        <f>SUMIFS('XBS '!T:T,'XBS '!H:H,' General Stock Summary View  '!$P$2,'XBS '!L:L,' General Stock Summary View  '!B58,'XBS '!C:C,' General Stock Summary View  '!C58)</f>
        <v>21.683333333333334</v>
      </c>
      <c r="Q58" s="3">
        <f>SUMIFS('PowerApp_Physical count'!H:H,'PowerApp_Physical count'!B:B,' General Stock Summary View  '!$P$2,'PowerApp_Physical count'!C:C,' General Stock Summary View  '!C58,'PowerApp_Physical count'!A:A,' General Stock Summary View  '!B58)</f>
        <v>0</v>
      </c>
      <c r="R58" s="4">
        <f t="shared" si="22"/>
        <v>-21.683333333333334</v>
      </c>
      <c r="S58" s="5">
        <f>SUMIFS('XBS '!T:T,'XBS '!L:L,' General Stock Summary View  '!B58,'XBS '!H:H,' General Stock Summary View  '!$S$2,'XBS '!C:C,' General Stock Summary View  '!C58)</f>
        <v>0</v>
      </c>
      <c r="T58" s="3">
        <f>SUMIFS('PowerApp_Physical count'!H:H,'PowerApp_Physical count'!B:B,' General Stock Summary View  '!$S$2,'PowerApp_Physical count'!C:C,' General Stock Summary View  '!C58,'PowerApp_Physical count'!A:A,' General Stock Summary View  '!B58)</f>
        <v>0</v>
      </c>
      <c r="U58" s="4">
        <f t="shared" si="23"/>
        <v>0</v>
      </c>
      <c r="V58" s="2">
        <f>SUMIFS('XBS '!T:T,'XBS '!H:H,' General Stock Summary View  '!$V$2,'XBS '!B:B,' General Stock Summary View  '!C58,'XBS '!L:L,' General Stock Summary View  '!B58)</f>
        <v>0</v>
      </c>
      <c r="W58" s="3">
        <f>SUMIFS('PowerApp_Physical count'!H:H,'PowerApp_Physical count'!B:B,' General Stock Summary View  '!$V$2,'PowerApp_Physical count'!C:C,' General Stock Summary View  '!C58,'PowerApp_Physical count'!A:A,' General Stock Summary View  '!B58)</f>
        <v>0</v>
      </c>
      <c r="X58" s="4">
        <f t="shared" si="24"/>
        <v>0</v>
      </c>
      <c r="Y58" s="5">
        <f>SUMIFS('XBS '!T:T,'XBS '!H:H,' General Stock Summary View  '!$Y$2,'XBS '!B:B,' General Stock Summary View  '!C58,'XBS '!L:L,' General Stock Summary View  '!B58)</f>
        <v>0</v>
      </c>
      <c r="Z58" s="3">
        <f>SUMIFS('PowerApp_Physical count'!H:H,'PowerApp_Physical count'!B:B,' General Stock Summary View  '!$Y$2,'PowerApp_Physical count'!C:C,' General Stock Summary View  '!C58,'PowerApp_Physical count'!A:A,' General Stock Summary View  '!B58)</f>
        <v>0</v>
      </c>
      <c r="AA58" s="4">
        <f t="shared" si="25"/>
        <v>0</v>
      </c>
      <c r="AB58" s="5">
        <f>SUMIFS('XBS '!T:T,'XBS '!H:H,' General Stock Summary View  '!$AB$2,'XBS '!B:B,' General Stock Summary View  '!C58,'XBS '!L:L,' General Stock Summary View  '!B58)</f>
        <v>0</v>
      </c>
      <c r="AC58" s="3">
        <f>SUMIFS('PowerApp_Physical count'!H:H,'PowerApp_Physical count'!B:B,' General Stock Summary View  '!$AB$2,'PowerApp_Physical count'!C:C,' General Stock Summary View  '!C58,'PowerApp_Physical count'!A:A,' General Stock Summary View  '!B58)</f>
        <v>0</v>
      </c>
      <c r="AD58" s="6">
        <f t="shared" si="26"/>
        <v>0</v>
      </c>
      <c r="AE58" s="7">
        <f t="shared" si="27"/>
        <v>0</v>
      </c>
      <c r="AF58" s="8">
        <f t="shared" si="28"/>
        <v>-21.683333333333334</v>
      </c>
      <c r="AG58" s="112"/>
    </row>
    <row r="59" spans="2:33" s="113" customFormat="1" ht="61.15">
      <c r="B59" s="117" t="s">
        <v>88</v>
      </c>
      <c r="C59" s="111" t="s">
        <v>58</v>
      </c>
      <c r="D59" s="11">
        <f>SUMIFS('XBS '!T:T,'XBS '!C:C,' General Stock Summary View  '!C59,'XBS '!L:L,' General Stock Summary View  '!B59)</f>
        <v>3.4</v>
      </c>
      <c r="E59" s="2">
        <f>SUMIFS('Blocked for Processing'!P:P,'Blocked for Processing'!I:I,' General Stock Summary View  '!B59,'Blocked for Processing'!C:C,' General Stock Summary View  '!C59)</f>
        <v>0</v>
      </c>
      <c r="F59" s="122">
        <f t="shared" si="17"/>
        <v>3.4</v>
      </c>
      <c r="G59" s="148">
        <f>SUMIFS('XBS '!T:T,'XBS '!H:H,' General Stock Summary View  '!$G$2,'XBS '!L:L,' General Stock Summary View  '!B59,'XBS '!C:C,' General Stock Summary View  '!C59)</f>
        <v>0</v>
      </c>
      <c r="H59" s="3">
        <f>SUMIFS('PowerApp_Physical count'!H:H,'PowerApp_Physical count'!B:B,' General Stock Summary View  '!$G$2,'PowerApp_Physical count'!C:C,' General Stock Summary View  '!C59,'PowerApp_Physical count'!A:A,' General Stock Summary View  '!B59)</f>
        <v>0</v>
      </c>
      <c r="I59" s="154">
        <f t="shared" si="16"/>
        <v>0</v>
      </c>
      <c r="J59" s="11">
        <f>SUMIFS('XBS '!T:T,'XBS '!H:H,' General Stock Summary View  '!$J$2,'XBS '!L:L,' General Stock Summary View  '!B59,'XBS '!C:C,' General Stock Summary View  '!C59)</f>
        <v>0</v>
      </c>
      <c r="K59" s="157">
        <f>SUMIFS('PowerApp_Physical count'!H:H,'PowerApp_Physical count'!B:B,' General Stock Summary View  '!$J$2,'PowerApp_Physical count'!C:C,' General Stock Summary View  '!C59,'PowerApp_Physical count'!A:A,' General Stock Summary View  '!B59)</f>
        <v>0</v>
      </c>
      <c r="L59" s="127">
        <f t="shared" si="18"/>
        <v>0</v>
      </c>
      <c r="M59" s="126">
        <f t="shared" si="19"/>
        <v>0</v>
      </c>
      <c r="N59" s="11">
        <f t="shared" si="20"/>
        <v>0</v>
      </c>
      <c r="O59" s="144">
        <f t="shared" si="21"/>
        <v>0</v>
      </c>
      <c r="P59" s="2">
        <f>SUMIFS('XBS '!T:T,'XBS '!H:H,' General Stock Summary View  '!$P$2,'XBS '!L:L,' General Stock Summary View  '!B59,'XBS '!C:C,' General Stock Summary View  '!C59)</f>
        <v>3.4</v>
      </c>
      <c r="Q59" s="3">
        <f>SUMIFS('PowerApp_Physical count'!H:H,'PowerApp_Physical count'!B:B,' General Stock Summary View  '!$P$2,'PowerApp_Physical count'!C:C,' General Stock Summary View  '!C59,'PowerApp_Physical count'!A:A,' General Stock Summary View  '!B59)</f>
        <v>0</v>
      </c>
      <c r="R59" s="4">
        <f t="shared" si="22"/>
        <v>-3.4</v>
      </c>
      <c r="S59" s="5">
        <f>SUMIFS('XBS '!T:T,'XBS '!L:L,' General Stock Summary View  '!B59,'XBS '!H:H,' General Stock Summary View  '!$S$2,'XBS '!C:C,' General Stock Summary View  '!C59)</f>
        <v>0</v>
      </c>
      <c r="T59" s="3">
        <f>SUMIFS('PowerApp_Physical count'!H:H,'PowerApp_Physical count'!B:B,' General Stock Summary View  '!$S$2,'PowerApp_Physical count'!C:C,' General Stock Summary View  '!C59,'PowerApp_Physical count'!A:A,' General Stock Summary View  '!B59)</f>
        <v>0</v>
      </c>
      <c r="U59" s="4">
        <f t="shared" si="23"/>
        <v>0</v>
      </c>
      <c r="V59" s="2">
        <f>SUMIFS('XBS '!T:T,'XBS '!H:H,' General Stock Summary View  '!$V$2,'XBS '!B:B,' General Stock Summary View  '!C59,'XBS '!L:L,' General Stock Summary View  '!B59)</f>
        <v>0</v>
      </c>
      <c r="W59" s="3">
        <f>SUMIFS('PowerApp_Physical count'!H:H,'PowerApp_Physical count'!B:B,' General Stock Summary View  '!$V$2,'PowerApp_Physical count'!C:C,' General Stock Summary View  '!C59,'PowerApp_Physical count'!A:A,' General Stock Summary View  '!B59)</f>
        <v>0</v>
      </c>
      <c r="X59" s="4">
        <f t="shared" si="24"/>
        <v>0</v>
      </c>
      <c r="Y59" s="5">
        <f>SUMIFS('XBS '!T:T,'XBS '!H:H,' General Stock Summary View  '!$Y$2,'XBS '!B:B,' General Stock Summary View  '!C59,'XBS '!L:L,' General Stock Summary View  '!B59)</f>
        <v>0</v>
      </c>
      <c r="Z59" s="3">
        <f>SUMIFS('PowerApp_Physical count'!H:H,'PowerApp_Physical count'!B:B,' General Stock Summary View  '!$Y$2,'PowerApp_Physical count'!C:C,' General Stock Summary View  '!C59,'PowerApp_Physical count'!A:A,' General Stock Summary View  '!B59)</f>
        <v>0</v>
      </c>
      <c r="AA59" s="4">
        <f t="shared" si="25"/>
        <v>0</v>
      </c>
      <c r="AB59" s="5">
        <f>SUMIFS('XBS '!T:T,'XBS '!H:H,' General Stock Summary View  '!$AB$2,'XBS '!B:B,' General Stock Summary View  '!C59,'XBS '!L:L,' General Stock Summary View  '!B59)</f>
        <v>0</v>
      </c>
      <c r="AC59" s="3">
        <f>SUMIFS('PowerApp_Physical count'!H:H,'PowerApp_Physical count'!B:B,' General Stock Summary View  '!$AB$2,'PowerApp_Physical count'!C:C,' General Stock Summary View  '!C59,'PowerApp_Physical count'!A:A,' General Stock Summary View  '!B59)</f>
        <v>0</v>
      </c>
      <c r="AD59" s="6">
        <f t="shared" si="26"/>
        <v>0</v>
      </c>
      <c r="AE59" s="7">
        <f t="shared" si="27"/>
        <v>0</v>
      </c>
      <c r="AF59" s="8">
        <f t="shared" si="28"/>
        <v>-3.4</v>
      </c>
      <c r="AG59" s="112"/>
    </row>
    <row r="60" spans="2:33" s="113" customFormat="1" ht="61.15">
      <c r="B60" s="117" t="s">
        <v>89</v>
      </c>
      <c r="C60" s="111" t="s">
        <v>58</v>
      </c>
      <c r="D60" s="11">
        <f>SUMIFS('XBS '!T:T,'XBS '!C:C,' General Stock Summary View  '!C60,'XBS '!L:L,' General Stock Summary View  '!B60)</f>
        <v>9.0166666666666675</v>
      </c>
      <c r="E60" s="2">
        <f>SUMIFS('Blocked for Processing'!P:P,'Blocked for Processing'!I:I,' General Stock Summary View  '!B60,'Blocked for Processing'!C:C,' General Stock Summary View  '!C60)</f>
        <v>0</v>
      </c>
      <c r="F60" s="122">
        <f t="shared" si="17"/>
        <v>9.0166666666666675</v>
      </c>
      <c r="G60" s="148">
        <f>SUMIFS('XBS '!T:T,'XBS '!H:H,' General Stock Summary View  '!$G$2,'XBS '!L:L,' General Stock Summary View  '!B60,'XBS '!C:C,' General Stock Summary View  '!C60)</f>
        <v>0</v>
      </c>
      <c r="H60" s="3">
        <f>SUMIFS('PowerApp_Physical count'!H:H,'PowerApp_Physical count'!B:B,' General Stock Summary View  '!$G$2,'PowerApp_Physical count'!C:C,' General Stock Summary View  '!C60,'PowerApp_Physical count'!A:A,' General Stock Summary View  '!B60)</f>
        <v>0</v>
      </c>
      <c r="I60" s="154">
        <f t="shared" si="16"/>
        <v>0</v>
      </c>
      <c r="J60" s="11">
        <f>SUMIFS('XBS '!T:T,'XBS '!H:H,' General Stock Summary View  '!$J$2,'XBS '!L:L,' General Stock Summary View  '!B60,'XBS '!C:C,' General Stock Summary View  '!C60)</f>
        <v>0</v>
      </c>
      <c r="K60" s="157">
        <f>SUMIFS('PowerApp_Physical count'!H:H,'PowerApp_Physical count'!B:B,' General Stock Summary View  '!$J$2,'PowerApp_Physical count'!C:C,' General Stock Summary View  '!C60,'PowerApp_Physical count'!A:A,' General Stock Summary View  '!B60)</f>
        <v>0</v>
      </c>
      <c r="L60" s="127">
        <f t="shared" si="18"/>
        <v>0</v>
      </c>
      <c r="M60" s="126">
        <f t="shared" si="19"/>
        <v>0</v>
      </c>
      <c r="N60" s="11">
        <f t="shared" si="20"/>
        <v>0</v>
      </c>
      <c r="O60" s="144">
        <f t="shared" si="21"/>
        <v>0</v>
      </c>
      <c r="P60" s="2">
        <f>SUMIFS('XBS '!T:T,'XBS '!H:H,' General Stock Summary View  '!$P$2,'XBS '!L:L,' General Stock Summary View  '!B60,'XBS '!C:C,' General Stock Summary View  '!C60)</f>
        <v>9.0166666666666675</v>
      </c>
      <c r="Q60" s="3">
        <f>SUMIFS('PowerApp_Physical count'!H:H,'PowerApp_Physical count'!B:B,' General Stock Summary View  '!$P$2,'PowerApp_Physical count'!C:C,' General Stock Summary View  '!C60,'PowerApp_Physical count'!A:A,' General Stock Summary View  '!B60)</f>
        <v>0</v>
      </c>
      <c r="R60" s="4">
        <f t="shared" si="22"/>
        <v>-9.0166666666666675</v>
      </c>
      <c r="S60" s="5">
        <f>SUMIFS('XBS '!T:T,'XBS '!L:L,' General Stock Summary View  '!B60,'XBS '!H:H,' General Stock Summary View  '!$S$2,'XBS '!C:C,' General Stock Summary View  '!C60)</f>
        <v>0</v>
      </c>
      <c r="T60" s="3">
        <f>SUMIFS('PowerApp_Physical count'!H:H,'PowerApp_Physical count'!B:B,' General Stock Summary View  '!$S$2,'PowerApp_Physical count'!C:C,' General Stock Summary View  '!C60,'PowerApp_Physical count'!A:A,' General Stock Summary View  '!B60)</f>
        <v>0</v>
      </c>
      <c r="U60" s="4">
        <f t="shared" si="23"/>
        <v>0</v>
      </c>
      <c r="V60" s="2">
        <f>SUMIFS('XBS '!T:T,'XBS '!H:H,' General Stock Summary View  '!$V$2,'XBS '!B:B,' General Stock Summary View  '!C60,'XBS '!L:L,' General Stock Summary View  '!B60)</f>
        <v>0</v>
      </c>
      <c r="W60" s="3">
        <f>SUMIFS('PowerApp_Physical count'!H:H,'PowerApp_Physical count'!B:B,' General Stock Summary View  '!$V$2,'PowerApp_Physical count'!C:C,' General Stock Summary View  '!C60,'PowerApp_Physical count'!A:A,' General Stock Summary View  '!B60)</f>
        <v>0</v>
      </c>
      <c r="X60" s="4">
        <f t="shared" si="24"/>
        <v>0</v>
      </c>
      <c r="Y60" s="5">
        <f>SUMIFS('XBS '!T:T,'XBS '!H:H,' General Stock Summary View  '!$Y$2,'XBS '!B:B,' General Stock Summary View  '!C60,'XBS '!L:L,' General Stock Summary View  '!B60)</f>
        <v>0</v>
      </c>
      <c r="Z60" s="3">
        <f>SUMIFS('PowerApp_Physical count'!H:H,'PowerApp_Physical count'!B:B,' General Stock Summary View  '!$Y$2,'PowerApp_Physical count'!C:C,' General Stock Summary View  '!C60,'PowerApp_Physical count'!A:A,' General Stock Summary View  '!B60)</f>
        <v>0</v>
      </c>
      <c r="AA60" s="4">
        <f t="shared" si="25"/>
        <v>0</v>
      </c>
      <c r="AB60" s="5">
        <f>SUMIFS('XBS '!T:T,'XBS '!H:H,' General Stock Summary View  '!$AB$2,'XBS '!B:B,' General Stock Summary View  '!C60,'XBS '!L:L,' General Stock Summary View  '!B60)</f>
        <v>0</v>
      </c>
      <c r="AC60" s="3">
        <f>SUMIFS('PowerApp_Physical count'!H:H,'PowerApp_Physical count'!B:B,' General Stock Summary View  '!$AB$2,'PowerApp_Physical count'!C:C,' General Stock Summary View  '!C60,'PowerApp_Physical count'!A:A,' General Stock Summary View  '!B60)</f>
        <v>0</v>
      </c>
      <c r="AD60" s="6">
        <f t="shared" si="26"/>
        <v>0</v>
      </c>
      <c r="AE60" s="7">
        <f t="shared" si="27"/>
        <v>0</v>
      </c>
      <c r="AF60" s="8">
        <f t="shared" si="28"/>
        <v>-9.0166666666666675</v>
      </c>
      <c r="AG60" s="112"/>
    </row>
    <row r="61" spans="2:33" s="113" customFormat="1" ht="61.15">
      <c r="B61" s="117" t="s">
        <v>90</v>
      </c>
      <c r="C61" s="111" t="s">
        <v>58</v>
      </c>
      <c r="D61" s="11">
        <f>SUMIFS('XBS '!T:T,'XBS '!C:C,' General Stock Summary View  '!C61,'XBS '!L:L,' General Stock Summary View  '!B61)</f>
        <v>74.333333333333329</v>
      </c>
      <c r="E61" s="2">
        <f>SUMIFS('Blocked for Processing'!P:P,'Blocked for Processing'!I:I,' General Stock Summary View  '!B61,'Blocked for Processing'!C:C,' General Stock Summary View  '!C61)</f>
        <v>0</v>
      </c>
      <c r="F61" s="122">
        <f t="shared" si="17"/>
        <v>74.333333333333329</v>
      </c>
      <c r="G61" s="148">
        <f>SUMIFS('XBS '!T:T,'XBS '!H:H,' General Stock Summary View  '!$G$2,'XBS '!L:L,' General Stock Summary View  '!B61,'XBS '!C:C,' General Stock Summary View  '!C61)</f>
        <v>0</v>
      </c>
      <c r="H61" s="3">
        <f>SUMIFS('PowerApp_Physical count'!H:H,'PowerApp_Physical count'!B:B,' General Stock Summary View  '!$G$2,'PowerApp_Physical count'!C:C,' General Stock Summary View  '!C61,'PowerApp_Physical count'!A:A,' General Stock Summary View  '!B61)</f>
        <v>0</v>
      </c>
      <c r="I61" s="154">
        <f t="shared" si="16"/>
        <v>0</v>
      </c>
      <c r="J61" s="11">
        <f>SUMIFS('XBS '!T:T,'XBS '!H:H,' General Stock Summary View  '!$J$2,'XBS '!L:L,' General Stock Summary View  '!B61,'XBS '!C:C,' General Stock Summary View  '!C61)</f>
        <v>0</v>
      </c>
      <c r="K61" s="157">
        <f>SUMIFS('PowerApp_Physical count'!H:H,'PowerApp_Physical count'!B:B,' General Stock Summary View  '!$J$2,'PowerApp_Physical count'!C:C,' General Stock Summary View  '!C61,'PowerApp_Physical count'!A:A,' General Stock Summary View  '!B61)</f>
        <v>0</v>
      </c>
      <c r="L61" s="127">
        <f t="shared" si="18"/>
        <v>0</v>
      </c>
      <c r="M61" s="126">
        <f t="shared" si="19"/>
        <v>0</v>
      </c>
      <c r="N61" s="11">
        <f t="shared" si="20"/>
        <v>0</v>
      </c>
      <c r="O61" s="144">
        <f t="shared" si="21"/>
        <v>0</v>
      </c>
      <c r="P61" s="2">
        <f>SUMIFS('XBS '!T:T,'XBS '!H:H,' General Stock Summary View  '!$P$2,'XBS '!L:L,' General Stock Summary View  '!B61,'XBS '!C:C,' General Stock Summary View  '!C61)</f>
        <v>74.333333333333329</v>
      </c>
      <c r="Q61" s="3">
        <f>SUMIFS('PowerApp_Physical count'!H:H,'PowerApp_Physical count'!B:B,' General Stock Summary View  '!$P$2,'PowerApp_Physical count'!C:C,' General Stock Summary View  '!C61,'PowerApp_Physical count'!A:A,' General Stock Summary View  '!B61)</f>
        <v>0</v>
      </c>
      <c r="R61" s="4">
        <f t="shared" si="22"/>
        <v>-74.333333333333329</v>
      </c>
      <c r="S61" s="5">
        <f>SUMIFS('XBS '!T:T,'XBS '!L:L,' General Stock Summary View  '!B61,'XBS '!H:H,' General Stock Summary View  '!$S$2,'XBS '!C:C,' General Stock Summary View  '!C61)</f>
        <v>0</v>
      </c>
      <c r="T61" s="3">
        <f>SUMIFS('PowerApp_Physical count'!H:H,'PowerApp_Physical count'!B:B,' General Stock Summary View  '!$S$2,'PowerApp_Physical count'!C:C,' General Stock Summary View  '!C61,'PowerApp_Physical count'!A:A,' General Stock Summary View  '!B61)</f>
        <v>0</v>
      </c>
      <c r="U61" s="4">
        <f t="shared" si="23"/>
        <v>0</v>
      </c>
      <c r="V61" s="2">
        <f>SUMIFS('XBS '!T:T,'XBS '!H:H,' General Stock Summary View  '!$V$2,'XBS '!B:B,' General Stock Summary View  '!C61,'XBS '!L:L,' General Stock Summary View  '!B61)</f>
        <v>0</v>
      </c>
      <c r="W61" s="3">
        <f>SUMIFS('PowerApp_Physical count'!H:H,'PowerApp_Physical count'!B:B,' General Stock Summary View  '!$V$2,'PowerApp_Physical count'!C:C,' General Stock Summary View  '!C61,'PowerApp_Physical count'!A:A,' General Stock Summary View  '!B61)</f>
        <v>0</v>
      </c>
      <c r="X61" s="4">
        <f t="shared" si="24"/>
        <v>0</v>
      </c>
      <c r="Y61" s="5">
        <f>SUMIFS('XBS '!T:T,'XBS '!H:H,' General Stock Summary View  '!$Y$2,'XBS '!B:B,' General Stock Summary View  '!C61,'XBS '!L:L,' General Stock Summary View  '!B61)</f>
        <v>0</v>
      </c>
      <c r="Z61" s="3">
        <f>SUMIFS('PowerApp_Physical count'!H:H,'PowerApp_Physical count'!B:B,' General Stock Summary View  '!$Y$2,'PowerApp_Physical count'!C:C,' General Stock Summary View  '!C61,'PowerApp_Physical count'!A:A,' General Stock Summary View  '!B61)</f>
        <v>0</v>
      </c>
      <c r="AA61" s="4">
        <f t="shared" si="25"/>
        <v>0</v>
      </c>
      <c r="AB61" s="5">
        <f>SUMIFS('XBS '!T:T,'XBS '!H:H,' General Stock Summary View  '!$AB$2,'XBS '!B:B,' General Stock Summary View  '!C61,'XBS '!L:L,' General Stock Summary View  '!B61)</f>
        <v>0</v>
      </c>
      <c r="AC61" s="3">
        <f>SUMIFS('PowerApp_Physical count'!H:H,'PowerApp_Physical count'!B:B,' General Stock Summary View  '!$AB$2,'PowerApp_Physical count'!C:C,' General Stock Summary View  '!C61,'PowerApp_Physical count'!A:A,' General Stock Summary View  '!B61)</f>
        <v>0</v>
      </c>
      <c r="AD61" s="6">
        <f t="shared" si="26"/>
        <v>0</v>
      </c>
      <c r="AE61" s="7">
        <f t="shared" si="27"/>
        <v>0</v>
      </c>
      <c r="AF61" s="8">
        <f t="shared" si="28"/>
        <v>-74.333333333333329</v>
      </c>
      <c r="AG61" s="112"/>
    </row>
    <row r="62" spans="2:33" s="113" customFormat="1" ht="61.15">
      <c r="B62" s="117" t="s">
        <v>91</v>
      </c>
      <c r="C62" s="111" t="s">
        <v>58</v>
      </c>
      <c r="D62" s="11">
        <f>SUMIFS('XBS '!T:T,'XBS '!C:C,' General Stock Summary View  '!C62,'XBS '!L:L,' General Stock Summary View  '!B62)</f>
        <v>9.8833333333333329</v>
      </c>
      <c r="E62" s="2">
        <f>SUMIFS('Blocked for Processing'!P:P,'Blocked for Processing'!I:I,' General Stock Summary View  '!B62,'Blocked for Processing'!C:C,' General Stock Summary View  '!C62)</f>
        <v>0</v>
      </c>
      <c r="F62" s="122">
        <f t="shared" si="17"/>
        <v>9.8833333333333329</v>
      </c>
      <c r="G62" s="148">
        <f>SUMIFS('XBS '!T:T,'XBS '!H:H,' General Stock Summary View  '!$G$2,'XBS '!L:L,' General Stock Summary View  '!B62,'XBS '!C:C,' General Stock Summary View  '!C62)</f>
        <v>0</v>
      </c>
      <c r="H62" s="3">
        <f>SUMIFS('PowerApp_Physical count'!H:H,'PowerApp_Physical count'!B:B,' General Stock Summary View  '!$G$2,'PowerApp_Physical count'!C:C,' General Stock Summary View  '!C62,'PowerApp_Physical count'!A:A,' General Stock Summary View  '!B62)</f>
        <v>0</v>
      </c>
      <c r="I62" s="154">
        <f t="shared" si="16"/>
        <v>0</v>
      </c>
      <c r="J62" s="11">
        <f>SUMIFS('XBS '!T:T,'XBS '!H:H,' General Stock Summary View  '!$J$2,'XBS '!L:L,' General Stock Summary View  '!B62,'XBS '!C:C,' General Stock Summary View  '!C62)</f>
        <v>0</v>
      </c>
      <c r="K62" s="157">
        <f>SUMIFS('PowerApp_Physical count'!H:H,'PowerApp_Physical count'!B:B,' General Stock Summary View  '!$J$2,'PowerApp_Physical count'!C:C,' General Stock Summary View  '!C62,'PowerApp_Physical count'!A:A,' General Stock Summary View  '!B62)</f>
        <v>0</v>
      </c>
      <c r="L62" s="127">
        <f t="shared" si="18"/>
        <v>0</v>
      </c>
      <c r="M62" s="126">
        <f t="shared" si="19"/>
        <v>0</v>
      </c>
      <c r="N62" s="11">
        <f t="shared" si="20"/>
        <v>0</v>
      </c>
      <c r="O62" s="144">
        <f t="shared" si="21"/>
        <v>0</v>
      </c>
      <c r="P62" s="2">
        <f>SUMIFS('XBS '!T:T,'XBS '!H:H,' General Stock Summary View  '!$P$2,'XBS '!L:L,' General Stock Summary View  '!B62,'XBS '!C:C,' General Stock Summary View  '!C62)</f>
        <v>9.8833333333333329</v>
      </c>
      <c r="Q62" s="3">
        <f>SUMIFS('PowerApp_Physical count'!H:H,'PowerApp_Physical count'!B:B,' General Stock Summary View  '!$P$2,'PowerApp_Physical count'!C:C,' General Stock Summary View  '!C62,'PowerApp_Physical count'!A:A,' General Stock Summary View  '!B62)</f>
        <v>0</v>
      </c>
      <c r="R62" s="4">
        <f t="shared" si="22"/>
        <v>-9.8833333333333329</v>
      </c>
      <c r="S62" s="5">
        <f>SUMIFS('XBS '!T:T,'XBS '!L:L,' General Stock Summary View  '!B62,'XBS '!H:H,' General Stock Summary View  '!$S$2,'XBS '!C:C,' General Stock Summary View  '!C62)</f>
        <v>0</v>
      </c>
      <c r="T62" s="3">
        <f>SUMIFS('PowerApp_Physical count'!H:H,'PowerApp_Physical count'!B:B,' General Stock Summary View  '!$S$2,'PowerApp_Physical count'!C:C,' General Stock Summary View  '!C62,'PowerApp_Physical count'!A:A,' General Stock Summary View  '!B62)</f>
        <v>0</v>
      </c>
      <c r="U62" s="4">
        <f t="shared" si="23"/>
        <v>0</v>
      </c>
      <c r="V62" s="2">
        <f>SUMIFS('XBS '!T:T,'XBS '!H:H,' General Stock Summary View  '!$V$2,'XBS '!B:B,' General Stock Summary View  '!C62,'XBS '!L:L,' General Stock Summary View  '!B62)</f>
        <v>0</v>
      </c>
      <c r="W62" s="3">
        <f>SUMIFS('PowerApp_Physical count'!H:H,'PowerApp_Physical count'!B:B,' General Stock Summary View  '!$V$2,'PowerApp_Physical count'!C:C,' General Stock Summary View  '!C62,'PowerApp_Physical count'!A:A,' General Stock Summary View  '!B62)</f>
        <v>0</v>
      </c>
      <c r="X62" s="4">
        <f t="shared" si="24"/>
        <v>0</v>
      </c>
      <c r="Y62" s="5">
        <f>SUMIFS('XBS '!T:T,'XBS '!H:H,' General Stock Summary View  '!$Y$2,'XBS '!B:B,' General Stock Summary View  '!C62,'XBS '!L:L,' General Stock Summary View  '!B62)</f>
        <v>0</v>
      </c>
      <c r="Z62" s="3">
        <f>SUMIFS('PowerApp_Physical count'!H:H,'PowerApp_Physical count'!B:B,' General Stock Summary View  '!$Y$2,'PowerApp_Physical count'!C:C,' General Stock Summary View  '!C62,'PowerApp_Physical count'!A:A,' General Stock Summary View  '!B62)</f>
        <v>0</v>
      </c>
      <c r="AA62" s="4">
        <f t="shared" si="25"/>
        <v>0</v>
      </c>
      <c r="AB62" s="5">
        <f>SUMIFS('XBS '!T:T,'XBS '!H:H,' General Stock Summary View  '!$AB$2,'XBS '!B:B,' General Stock Summary View  '!C62,'XBS '!L:L,' General Stock Summary View  '!B62)</f>
        <v>0</v>
      </c>
      <c r="AC62" s="3">
        <f>SUMIFS('PowerApp_Physical count'!H:H,'PowerApp_Physical count'!B:B,' General Stock Summary View  '!$AB$2,'PowerApp_Physical count'!C:C,' General Stock Summary View  '!C62,'PowerApp_Physical count'!A:A,' General Stock Summary View  '!B62)</f>
        <v>0</v>
      </c>
      <c r="AD62" s="6">
        <f t="shared" si="26"/>
        <v>0</v>
      </c>
      <c r="AE62" s="7">
        <f t="shared" si="27"/>
        <v>0</v>
      </c>
      <c r="AF62" s="8">
        <f t="shared" si="28"/>
        <v>-9.8833333333333329</v>
      </c>
      <c r="AG62" s="112"/>
    </row>
    <row r="63" spans="2:33" s="113" customFormat="1" ht="61.15">
      <c r="B63" s="117" t="s">
        <v>92</v>
      </c>
      <c r="C63" s="111" t="s">
        <v>58</v>
      </c>
      <c r="D63" s="11">
        <f>SUMIFS('XBS '!T:T,'XBS '!C:C,' General Stock Summary View  '!C63,'XBS '!L:L,' General Stock Summary View  '!B63)</f>
        <v>59.865000000000002</v>
      </c>
      <c r="E63" s="2">
        <f>SUMIFS('Blocked for Processing'!P:P,'Blocked for Processing'!I:I,' General Stock Summary View  '!B63,'Blocked for Processing'!C:C,' General Stock Summary View  '!C63)</f>
        <v>0</v>
      </c>
      <c r="F63" s="122">
        <f t="shared" si="17"/>
        <v>59.865000000000002</v>
      </c>
      <c r="G63" s="148">
        <f>SUMIFS('XBS '!T:T,'XBS '!H:H,' General Stock Summary View  '!$G$2,'XBS '!L:L,' General Stock Summary View  '!B63,'XBS '!C:C,' General Stock Summary View  '!C63)</f>
        <v>59.865000000000002</v>
      </c>
      <c r="H63" s="3">
        <f>SUMIFS('PowerApp_Physical count'!H:H,'PowerApp_Physical count'!B:B,' General Stock Summary View  '!$G$2,'PowerApp_Physical count'!C:C,' General Stock Summary View  '!C63,'PowerApp_Physical count'!A:A,' General Stock Summary View  '!B63)</f>
        <v>59.583333333333336</v>
      </c>
      <c r="I63" s="154">
        <f t="shared" si="16"/>
        <v>-0.28166666666666629</v>
      </c>
      <c r="J63" s="11">
        <f>SUMIFS('XBS '!T:T,'XBS '!H:H,' General Stock Summary View  '!$J$2,'XBS '!L:L,' General Stock Summary View  '!B63,'XBS '!C:C,' General Stock Summary View  '!C63)</f>
        <v>0</v>
      </c>
      <c r="K63" s="157">
        <f>SUMIFS('PowerApp_Physical count'!H:H,'PowerApp_Physical count'!B:B,' General Stock Summary View  '!$J$2,'PowerApp_Physical count'!C:C,' General Stock Summary View  '!C63,'PowerApp_Physical count'!A:A,' General Stock Summary View  '!B63)</f>
        <v>0</v>
      </c>
      <c r="L63" s="127">
        <f t="shared" si="18"/>
        <v>0</v>
      </c>
      <c r="M63" s="126">
        <f t="shared" si="19"/>
        <v>59.865000000000002</v>
      </c>
      <c r="N63" s="11">
        <f t="shared" si="20"/>
        <v>59.583333333333336</v>
      </c>
      <c r="O63" s="144">
        <f t="shared" si="21"/>
        <v>-0.28166666666666629</v>
      </c>
      <c r="P63" s="2">
        <f>SUMIFS('XBS '!T:T,'XBS '!H:H,' General Stock Summary View  '!$P$2,'XBS '!L:L,' General Stock Summary View  '!B63,'XBS '!C:C,' General Stock Summary View  '!C63)</f>
        <v>0</v>
      </c>
      <c r="Q63" s="3">
        <f>SUMIFS('PowerApp_Physical count'!H:H,'PowerApp_Physical count'!B:B,' General Stock Summary View  '!$P$2,'PowerApp_Physical count'!C:C,' General Stock Summary View  '!C63,'PowerApp_Physical count'!A:A,' General Stock Summary View  '!B63)</f>
        <v>0</v>
      </c>
      <c r="R63" s="4">
        <f t="shared" si="22"/>
        <v>0</v>
      </c>
      <c r="S63" s="5">
        <f>SUMIFS('XBS '!T:T,'XBS '!L:L,' General Stock Summary View  '!B63,'XBS '!H:H,' General Stock Summary View  '!$S$2,'XBS '!C:C,' General Stock Summary View  '!C63)</f>
        <v>0</v>
      </c>
      <c r="T63" s="3">
        <f>SUMIFS('PowerApp_Physical count'!H:H,'PowerApp_Physical count'!B:B,' General Stock Summary View  '!$S$2,'PowerApp_Physical count'!C:C,' General Stock Summary View  '!C63,'PowerApp_Physical count'!A:A,' General Stock Summary View  '!B63)</f>
        <v>0</v>
      </c>
      <c r="U63" s="4">
        <f t="shared" si="23"/>
        <v>0</v>
      </c>
      <c r="V63" s="2">
        <f>SUMIFS('XBS '!T:T,'XBS '!H:H,' General Stock Summary View  '!$V$2,'XBS '!B:B,' General Stock Summary View  '!C63,'XBS '!L:L,' General Stock Summary View  '!B63)</f>
        <v>0</v>
      </c>
      <c r="W63" s="3">
        <f>SUMIFS('PowerApp_Physical count'!H:H,'PowerApp_Physical count'!B:B,' General Stock Summary View  '!$V$2,'PowerApp_Physical count'!C:C,' General Stock Summary View  '!C63,'PowerApp_Physical count'!A:A,' General Stock Summary View  '!B63)</f>
        <v>0</v>
      </c>
      <c r="X63" s="4">
        <f t="shared" si="24"/>
        <v>0</v>
      </c>
      <c r="Y63" s="5">
        <f>SUMIFS('XBS '!T:T,'XBS '!H:H,' General Stock Summary View  '!$Y$2,'XBS '!B:B,' General Stock Summary View  '!C63,'XBS '!L:L,' General Stock Summary View  '!B63)</f>
        <v>0</v>
      </c>
      <c r="Z63" s="3">
        <f>SUMIFS('PowerApp_Physical count'!H:H,'PowerApp_Physical count'!B:B,' General Stock Summary View  '!$Y$2,'PowerApp_Physical count'!C:C,' General Stock Summary View  '!C63,'PowerApp_Physical count'!A:A,' General Stock Summary View  '!B63)</f>
        <v>0</v>
      </c>
      <c r="AA63" s="4">
        <f t="shared" si="25"/>
        <v>0</v>
      </c>
      <c r="AB63" s="5">
        <f>SUMIFS('XBS '!T:T,'XBS '!H:H,' General Stock Summary View  '!$AB$2,'XBS '!B:B,' General Stock Summary View  '!C63,'XBS '!L:L,' General Stock Summary View  '!B63)</f>
        <v>0</v>
      </c>
      <c r="AC63" s="3">
        <f>SUMIFS('PowerApp_Physical count'!H:H,'PowerApp_Physical count'!B:B,' General Stock Summary View  '!$AB$2,'PowerApp_Physical count'!C:C,' General Stock Summary View  '!C63,'PowerApp_Physical count'!A:A,' General Stock Summary View  '!B63)</f>
        <v>0</v>
      </c>
      <c r="AD63" s="6">
        <f t="shared" si="26"/>
        <v>0</v>
      </c>
      <c r="AE63" s="7">
        <f t="shared" si="27"/>
        <v>59.583333333333336</v>
      </c>
      <c r="AF63" s="8">
        <f t="shared" si="28"/>
        <v>-0.28166666666666629</v>
      </c>
      <c r="AG63" s="112"/>
    </row>
    <row r="64" spans="2:33" s="113" customFormat="1" ht="61.15">
      <c r="B64" s="117" t="s">
        <v>93</v>
      </c>
      <c r="C64" s="111" t="s">
        <v>58</v>
      </c>
      <c r="D64" s="11">
        <f>SUMIFS('XBS '!T:T,'XBS '!C:C,' General Stock Summary View  '!C64,'XBS '!L:L,' General Stock Summary View  '!B64)</f>
        <v>76.81</v>
      </c>
      <c r="E64" s="2">
        <f>SUMIFS('Blocked for Processing'!P:P,'Blocked for Processing'!I:I,' General Stock Summary View  '!B64,'Blocked for Processing'!C:C,' General Stock Summary View  '!C64)</f>
        <v>0</v>
      </c>
      <c r="F64" s="122">
        <f t="shared" si="17"/>
        <v>76.81</v>
      </c>
      <c r="G64" s="148">
        <f>SUMIFS('XBS '!T:T,'XBS '!H:H,' General Stock Summary View  '!$G$2,'XBS '!L:L,' General Stock Summary View  '!B64,'XBS '!C:C,' General Stock Summary View  '!C64)</f>
        <v>76.81</v>
      </c>
      <c r="H64" s="3">
        <f>SUMIFS('PowerApp_Physical count'!H:H,'PowerApp_Physical count'!B:B,' General Stock Summary View  '!$G$2,'PowerApp_Physical count'!C:C,' General Stock Summary View  '!C64,'PowerApp_Physical count'!A:A,' General Stock Summary View  '!B64)</f>
        <v>75.916666666666671</v>
      </c>
      <c r="I64" s="154">
        <f t="shared" si="16"/>
        <v>-0.89333333333333087</v>
      </c>
      <c r="J64" s="11">
        <f>SUMIFS('XBS '!T:T,'XBS '!H:H,' General Stock Summary View  '!$J$2,'XBS '!L:L,' General Stock Summary View  '!B64,'XBS '!C:C,' General Stock Summary View  '!C64)</f>
        <v>0</v>
      </c>
      <c r="K64" s="157">
        <f>SUMIFS('PowerApp_Physical count'!H:H,'PowerApp_Physical count'!B:B,' General Stock Summary View  '!$J$2,'PowerApp_Physical count'!C:C,' General Stock Summary View  '!C64,'PowerApp_Physical count'!A:A,' General Stock Summary View  '!B64)</f>
        <v>0</v>
      </c>
      <c r="L64" s="127">
        <f t="shared" si="18"/>
        <v>0</v>
      </c>
      <c r="M64" s="126">
        <f t="shared" si="19"/>
        <v>76.81</v>
      </c>
      <c r="N64" s="11">
        <f t="shared" si="20"/>
        <v>75.916666666666671</v>
      </c>
      <c r="O64" s="144">
        <f t="shared" si="21"/>
        <v>-0.89333333333333087</v>
      </c>
      <c r="P64" s="2">
        <f>SUMIFS('XBS '!T:T,'XBS '!H:H,' General Stock Summary View  '!$P$2,'XBS '!L:L,' General Stock Summary View  '!B64,'XBS '!C:C,' General Stock Summary View  '!C64)</f>
        <v>0</v>
      </c>
      <c r="Q64" s="3">
        <f>SUMIFS('PowerApp_Physical count'!H:H,'PowerApp_Physical count'!B:B,' General Stock Summary View  '!$P$2,'PowerApp_Physical count'!C:C,' General Stock Summary View  '!C64,'PowerApp_Physical count'!A:A,' General Stock Summary View  '!B64)</f>
        <v>0</v>
      </c>
      <c r="R64" s="4">
        <f t="shared" si="22"/>
        <v>0</v>
      </c>
      <c r="S64" s="5">
        <f>SUMIFS('XBS '!T:T,'XBS '!L:L,' General Stock Summary View  '!B64,'XBS '!H:H,' General Stock Summary View  '!$S$2,'XBS '!C:C,' General Stock Summary View  '!C64)</f>
        <v>0</v>
      </c>
      <c r="T64" s="3">
        <f>SUMIFS('PowerApp_Physical count'!H:H,'PowerApp_Physical count'!B:B,' General Stock Summary View  '!$S$2,'PowerApp_Physical count'!C:C,' General Stock Summary View  '!C64,'PowerApp_Physical count'!A:A,' General Stock Summary View  '!B64)</f>
        <v>0</v>
      </c>
      <c r="U64" s="4">
        <f t="shared" si="23"/>
        <v>0</v>
      </c>
      <c r="V64" s="2">
        <f>SUMIFS('XBS '!T:T,'XBS '!H:H,' General Stock Summary View  '!$V$2,'XBS '!B:B,' General Stock Summary View  '!C64,'XBS '!L:L,' General Stock Summary View  '!B64)</f>
        <v>0</v>
      </c>
      <c r="W64" s="3">
        <f>SUMIFS('PowerApp_Physical count'!H:H,'PowerApp_Physical count'!B:B,' General Stock Summary View  '!$V$2,'PowerApp_Physical count'!C:C,' General Stock Summary View  '!C64,'PowerApp_Physical count'!A:A,' General Stock Summary View  '!B64)</f>
        <v>0</v>
      </c>
      <c r="X64" s="4">
        <f t="shared" si="24"/>
        <v>0</v>
      </c>
      <c r="Y64" s="5">
        <f>SUMIFS('XBS '!T:T,'XBS '!H:H,' General Stock Summary View  '!$Y$2,'XBS '!B:B,' General Stock Summary View  '!C64,'XBS '!L:L,' General Stock Summary View  '!B64)</f>
        <v>0</v>
      </c>
      <c r="Z64" s="3">
        <f>SUMIFS('PowerApp_Physical count'!H:H,'PowerApp_Physical count'!B:B,' General Stock Summary View  '!$Y$2,'PowerApp_Physical count'!C:C,' General Stock Summary View  '!C64,'PowerApp_Physical count'!A:A,' General Stock Summary View  '!B64)</f>
        <v>0</v>
      </c>
      <c r="AA64" s="4">
        <f t="shared" si="25"/>
        <v>0</v>
      </c>
      <c r="AB64" s="5">
        <f>SUMIFS('XBS '!T:T,'XBS '!H:H,' General Stock Summary View  '!$AB$2,'XBS '!B:B,' General Stock Summary View  '!C64,'XBS '!L:L,' General Stock Summary View  '!B64)</f>
        <v>0</v>
      </c>
      <c r="AC64" s="3">
        <f>SUMIFS('PowerApp_Physical count'!H:H,'PowerApp_Physical count'!B:B,' General Stock Summary View  '!$AB$2,'PowerApp_Physical count'!C:C,' General Stock Summary View  '!C64,'PowerApp_Physical count'!A:A,' General Stock Summary View  '!B64)</f>
        <v>0</v>
      </c>
      <c r="AD64" s="6">
        <f t="shared" si="26"/>
        <v>0</v>
      </c>
      <c r="AE64" s="7">
        <f t="shared" si="27"/>
        <v>75.916666666666671</v>
      </c>
      <c r="AF64" s="8">
        <f t="shared" si="28"/>
        <v>-0.89333333333333087</v>
      </c>
      <c r="AG64" s="112"/>
    </row>
    <row r="65" spans="2:33" s="113" customFormat="1" ht="61.15">
      <c r="B65" s="117" t="s">
        <v>94</v>
      </c>
      <c r="C65" s="111" t="s">
        <v>58</v>
      </c>
      <c r="D65" s="11">
        <f>SUMIFS('XBS '!T:T,'XBS '!C:C,' General Stock Summary View  '!C65,'XBS '!L:L,' General Stock Summary View  '!B65)</f>
        <v>23.123333333333335</v>
      </c>
      <c r="E65" s="2">
        <f>SUMIFS('Blocked for Processing'!P:P,'Blocked for Processing'!I:I,' General Stock Summary View  '!B65,'Blocked for Processing'!C:C,' General Stock Summary View  '!C65)</f>
        <v>0</v>
      </c>
      <c r="F65" s="122">
        <f t="shared" si="17"/>
        <v>23.123333333333335</v>
      </c>
      <c r="G65" s="148">
        <f>SUMIFS('XBS '!T:T,'XBS '!H:H,' General Stock Summary View  '!$G$2,'XBS '!L:L,' General Stock Summary View  '!B65,'XBS '!C:C,' General Stock Summary View  '!C65)</f>
        <v>23.123333333333335</v>
      </c>
      <c r="H65" s="3">
        <f>SUMIFS('PowerApp_Physical count'!H:H,'PowerApp_Physical count'!B:B,' General Stock Summary View  '!$G$2,'PowerApp_Physical count'!C:C,' General Stock Summary View  '!C65,'PowerApp_Physical count'!A:A,' General Stock Summary View  '!B65)</f>
        <v>23.233333333333334</v>
      </c>
      <c r="I65" s="154">
        <f t="shared" si="16"/>
        <v>0.10999999999999943</v>
      </c>
      <c r="J65" s="11">
        <f>SUMIFS('XBS '!T:T,'XBS '!H:H,' General Stock Summary View  '!$J$2,'XBS '!L:L,' General Stock Summary View  '!B65,'XBS '!C:C,' General Stock Summary View  '!C65)</f>
        <v>0</v>
      </c>
      <c r="K65" s="157">
        <f>SUMIFS('PowerApp_Physical count'!H:H,'PowerApp_Physical count'!B:B,' General Stock Summary View  '!$J$2,'PowerApp_Physical count'!C:C,' General Stock Summary View  '!C65,'PowerApp_Physical count'!A:A,' General Stock Summary View  '!B65)</f>
        <v>0</v>
      </c>
      <c r="L65" s="127">
        <f t="shared" si="18"/>
        <v>0</v>
      </c>
      <c r="M65" s="126">
        <f t="shared" si="19"/>
        <v>23.123333333333335</v>
      </c>
      <c r="N65" s="11">
        <f t="shared" si="20"/>
        <v>23.233333333333334</v>
      </c>
      <c r="O65" s="144">
        <f t="shared" si="21"/>
        <v>0.10999999999999943</v>
      </c>
      <c r="P65" s="2">
        <f>SUMIFS('XBS '!T:T,'XBS '!H:H,' General Stock Summary View  '!$P$2,'XBS '!L:L,' General Stock Summary View  '!B65,'XBS '!C:C,' General Stock Summary View  '!C65)</f>
        <v>0</v>
      </c>
      <c r="Q65" s="3">
        <f>SUMIFS('PowerApp_Physical count'!H:H,'PowerApp_Physical count'!B:B,' General Stock Summary View  '!$P$2,'PowerApp_Physical count'!C:C,' General Stock Summary View  '!C65,'PowerApp_Physical count'!A:A,' General Stock Summary View  '!B65)</f>
        <v>0</v>
      </c>
      <c r="R65" s="4">
        <f t="shared" si="22"/>
        <v>0</v>
      </c>
      <c r="S65" s="5">
        <f>SUMIFS('XBS '!T:T,'XBS '!L:L,' General Stock Summary View  '!B65,'XBS '!H:H,' General Stock Summary View  '!$S$2,'XBS '!C:C,' General Stock Summary View  '!C65)</f>
        <v>0</v>
      </c>
      <c r="T65" s="3">
        <f>SUMIFS('PowerApp_Physical count'!H:H,'PowerApp_Physical count'!B:B,' General Stock Summary View  '!$S$2,'PowerApp_Physical count'!C:C,' General Stock Summary View  '!C65,'PowerApp_Physical count'!A:A,' General Stock Summary View  '!B65)</f>
        <v>0</v>
      </c>
      <c r="U65" s="4">
        <f t="shared" si="23"/>
        <v>0</v>
      </c>
      <c r="V65" s="2">
        <f>SUMIFS('XBS '!T:T,'XBS '!H:H,' General Stock Summary View  '!$V$2,'XBS '!B:B,' General Stock Summary View  '!C65,'XBS '!L:L,' General Stock Summary View  '!B65)</f>
        <v>0</v>
      </c>
      <c r="W65" s="3">
        <f>SUMIFS('PowerApp_Physical count'!H:H,'PowerApp_Physical count'!B:B,' General Stock Summary View  '!$V$2,'PowerApp_Physical count'!C:C,' General Stock Summary View  '!C65,'PowerApp_Physical count'!A:A,' General Stock Summary View  '!B65)</f>
        <v>0</v>
      </c>
      <c r="X65" s="4">
        <f t="shared" si="24"/>
        <v>0</v>
      </c>
      <c r="Y65" s="5">
        <f>SUMIFS('XBS '!T:T,'XBS '!H:H,' General Stock Summary View  '!$Y$2,'XBS '!B:B,' General Stock Summary View  '!C65,'XBS '!L:L,' General Stock Summary View  '!B65)</f>
        <v>0</v>
      </c>
      <c r="Z65" s="3">
        <f>SUMIFS('PowerApp_Physical count'!H:H,'PowerApp_Physical count'!B:B,' General Stock Summary View  '!$Y$2,'PowerApp_Physical count'!C:C,' General Stock Summary View  '!C65,'PowerApp_Physical count'!A:A,' General Stock Summary View  '!B65)</f>
        <v>0</v>
      </c>
      <c r="AA65" s="4">
        <f t="shared" si="25"/>
        <v>0</v>
      </c>
      <c r="AB65" s="5">
        <f>SUMIFS('XBS '!T:T,'XBS '!H:H,' General Stock Summary View  '!$AB$2,'XBS '!B:B,' General Stock Summary View  '!C65,'XBS '!L:L,' General Stock Summary View  '!B65)</f>
        <v>0</v>
      </c>
      <c r="AC65" s="3">
        <f>SUMIFS('PowerApp_Physical count'!H:H,'PowerApp_Physical count'!B:B,' General Stock Summary View  '!$AB$2,'PowerApp_Physical count'!C:C,' General Stock Summary View  '!C65,'PowerApp_Physical count'!A:A,' General Stock Summary View  '!B65)</f>
        <v>0</v>
      </c>
      <c r="AD65" s="6">
        <f t="shared" si="26"/>
        <v>0</v>
      </c>
      <c r="AE65" s="7">
        <f t="shared" si="27"/>
        <v>23.233333333333334</v>
      </c>
      <c r="AF65" s="8">
        <f t="shared" si="28"/>
        <v>0.10999999999999943</v>
      </c>
      <c r="AG65" s="112"/>
    </row>
    <row r="66" spans="2:33" s="113" customFormat="1" ht="61.15">
      <c r="B66" s="117" t="s">
        <v>95</v>
      </c>
      <c r="C66" s="111" t="s">
        <v>58</v>
      </c>
      <c r="D66" s="11">
        <f>SUMIFS('XBS '!T:T,'XBS '!C:C,' General Stock Summary View  '!C66,'XBS '!L:L,' General Stock Summary View  '!B66)</f>
        <v>36.261666666666663</v>
      </c>
      <c r="E66" s="2">
        <f>SUMIFS('Blocked for Processing'!P:P,'Blocked for Processing'!I:I,' General Stock Summary View  '!B66,'Blocked for Processing'!C:C,' General Stock Summary View  '!C66)</f>
        <v>0</v>
      </c>
      <c r="F66" s="122">
        <f t="shared" si="17"/>
        <v>36.261666666666663</v>
      </c>
      <c r="G66" s="148">
        <f>SUMIFS('XBS '!T:T,'XBS '!H:H,' General Stock Summary View  '!$G$2,'XBS '!L:L,' General Stock Summary View  '!B66,'XBS '!C:C,' General Stock Summary View  '!C66)</f>
        <v>36.261666666666663</v>
      </c>
      <c r="H66" s="3">
        <f>SUMIFS('PowerApp_Physical count'!H:H,'PowerApp_Physical count'!B:B,' General Stock Summary View  '!$G$2,'PowerApp_Physical count'!C:C,' General Stock Summary View  '!C66,'PowerApp_Physical count'!A:A,' General Stock Summary View  '!B66)</f>
        <v>36.25</v>
      </c>
      <c r="I66" s="154">
        <f t="shared" si="16"/>
        <v>-1.1666666666663161E-2</v>
      </c>
      <c r="J66" s="11">
        <f>SUMIFS('XBS '!T:T,'XBS '!H:H,' General Stock Summary View  '!$J$2,'XBS '!L:L,' General Stock Summary View  '!B66,'XBS '!C:C,' General Stock Summary View  '!C66)</f>
        <v>0</v>
      </c>
      <c r="K66" s="157">
        <f>SUMIFS('PowerApp_Physical count'!H:H,'PowerApp_Physical count'!B:B,' General Stock Summary View  '!$J$2,'PowerApp_Physical count'!C:C,' General Stock Summary View  '!C66,'PowerApp_Physical count'!A:A,' General Stock Summary View  '!B66)</f>
        <v>0</v>
      </c>
      <c r="L66" s="127">
        <f t="shared" si="18"/>
        <v>0</v>
      </c>
      <c r="M66" s="126">
        <f t="shared" si="19"/>
        <v>36.261666666666663</v>
      </c>
      <c r="N66" s="11">
        <f t="shared" si="20"/>
        <v>36.25</v>
      </c>
      <c r="O66" s="144">
        <f t="shared" si="21"/>
        <v>-1.1666666666663161E-2</v>
      </c>
      <c r="P66" s="2">
        <f>SUMIFS('XBS '!T:T,'XBS '!H:H,' General Stock Summary View  '!$P$2,'XBS '!L:L,' General Stock Summary View  '!B66,'XBS '!C:C,' General Stock Summary View  '!C66)</f>
        <v>0</v>
      </c>
      <c r="Q66" s="3">
        <f>SUMIFS('PowerApp_Physical count'!H:H,'PowerApp_Physical count'!B:B,' General Stock Summary View  '!$P$2,'PowerApp_Physical count'!C:C,' General Stock Summary View  '!C66,'PowerApp_Physical count'!A:A,' General Stock Summary View  '!B66)</f>
        <v>0</v>
      </c>
      <c r="R66" s="4">
        <f t="shared" si="22"/>
        <v>0</v>
      </c>
      <c r="S66" s="5">
        <f>SUMIFS('XBS '!T:T,'XBS '!L:L,' General Stock Summary View  '!B66,'XBS '!H:H,' General Stock Summary View  '!$S$2,'XBS '!C:C,' General Stock Summary View  '!C66)</f>
        <v>0</v>
      </c>
      <c r="T66" s="3">
        <f>SUMIFS('PowerApp_Physical count'!H:H,'PowerApp_Physical count'!B:B,' General Stock Summary View  '!$S$2,'PowerApp_Physical count'!C:C,' General Stock Summary View  '!C66,'PowerApp_Physical count'!A:A,' General Stock Summary View  '!B66)</f>
        <v>0</v>
      </c>
      <c r="U66" s="4">
        <f t="shared" si="23"/>
        <v>0</v>
      </c>
      <c r="V66" s="2">
        <f>SUMIFS('XBS '!T:T,'XBS '!H:H,' General Stock Summary View  '!$V$2,'XBS '!B:B,' General Stock Summary View  '!C66,'XBS '!L:L,' General Stock Summary View  '!B66)</f>
        <v>0</v>
      </c>
      <c r="W66" s="3">
        <f>SUMIFS('PowerApp_Physical count'!H:H,'PowerApp_Physical count'!B:B,' General Stock Summary View  '!$V$2,'PowerApp_Physical count'!C:C,' General Stock Summary View  '!C66,'PowerApp_Physical count'!A:A,' General Stock Summary View  '!B66)</f>
        <v>0</v>
      </c>
      <c r="X66" s="4">
        <f t="shared" si="24"/>
        <v>0</v>
      </c>
      <c r="Y66" s="5">
        <f>SUMIFS('XBS '!T:T,'XBS '!H:H,' General Stock Summary View  '!$Y$2,'XBS '!B:B,' General Stock Summary View  '!C66,'XBS '!L:L,' General Stock Summary View  '!B66)</f>
        <v>0</v>
      </c>
      <c r="Z66" s="3">
        <f>SUMIFS('PowerApp_Physical count'!H:H,'PowerApp_Physical count'!B:B,' General Stock Summary View  '!$Y$2,'PowerApp_Physical count'!C:C,' General Stock Summary View  '!C66,'PowerApp_Physical count'!A:A,' General Stock Summary View  '!B66)</f>
        <v>0</v>
      </c>
      <c r="AA66" s="4">
        <f t="shared" si="25"/>
        <v>0</v>
      </c>
      <c r="AB66" s="5">
        <f>SUMIFS('XBS '!T:T,'XBS '!H:H,' General Stock Summary View  '!$AB$2,'XBS '!B:B,' General Stock Summary View  '!C66,'XBS '!L:L,' General Stock Summary View  '!B66)</f>
        <v>0</v>
      </c>
      <c r="AC66" s="3">
        <f>SUMIFS('PowerApp_Physical count'!H:H,'PowerApp_Physical count'!B:B,' General Stock Summary View  '!$AB$2,'PowerApp_Physical count'!C:C,' General Stock Summary View  '!C66,'PowerApp_Physical count'!A:A,' General Stock Summary View  '!B66)</f>
        <v>0</v>
      </c>
      <c r="AD66" s="6">
        <f t="shared" si="26"/>
        <v>0</v>
      </c>
      <c r="AE66" s="7">
        <f t="shared" si="27"/>
        <v>36.25</v>
      </c>
      <c r="AF66" s="8">
        <f t="shared" si="28"/>
        <v>-1.1666666666663161E-2</v>
      </c>
      <c r="AG66" s="112"/>
    </row>
    <row r="67" spans="2:33" s="113" customFormat="1" ht="61.15">
      <c r="B67" s="117" t="s">
        <v>96</v>
      </c>
      <c r="C67" s="111" t="s">
        <v>58</v>
      </c>
      <c r="D67" s="11">
        <f>SUMIFS('XBS '!T:T,'XBS '!C:C,' General Stock Summary View  '!C67,'XBS '!L:L,' General Stock Summary View  '!B67)</f>
        <v>15.476666666666667</v>
      </c>
      <c r="E67" s="2">
        <f>SUMIFS('Blocked for Processing'!P:P,'Blocked for Processing'!I:I,' General Stock Summary View  '!B67,'Blocked for Processing'!C:C,' General Stock Summary View  '!C67)</f>
        <v>0</v>
      </c>
      <c r="F67" s="122">
        <f t="shared" si="17"/>
        <v>15.476666666666667</v>
      </c>
      <c r="G67" s="148">
        <f>SUMIFS('XBS '!T:T,'XBS '!H:H,' General Stock Summary View  '!$G$2,'XBS '!L:L,' General Stock Summary View  '!B67,'XBS '!C:C,' General Stock Summary View  '!C67)</f>
        <v>15.476666666666667</v>
      </c>
      <c r="H67" s="3">
        <f>SUMIFS('PowerApp_Physical count'!H:H,'PowerApp_Physical count'!B:B,' General Stock Summary View  '!$G$2,'PowerApp_Physical count'!C:C,' General Stock Summary View  '!C67,'PowerApp_Physical count'!A:A,' General Stock Summary View  '!B67)</f>
        <v>15.433333333333334</v>
      </c>
      <c r="I67" s="154">
        <f t="shared" si="16"/>
        <v>-4.3333333333333002E-2</v>
      </c>
      <c r="J67" s="11">
        <f>SUMIFS('XBS '!T:T,'XBS '!H:H,' General Stock Summary View  '!$J$2,'XBS '!L:L,' General Stock Summary View  '!B67,'XBS '!C:C,' General Stock Summary View  '!C67)</f>
        <v>0</v>
      </c>
      <c r="K67" s="157">
        <f>SUMIFS('PowerApp_Physical count'!H:H,'PowerApp_Physical count'!B:B,' General Stock Summary View  '!$J$2,'PowerApp_Physical count'!C:C,' General Stock Summary View  '!C67,'PowerApp_Physical count'!A:A,' General Stock Summary View  '!B67)</f>
        <v>0</v>
      </c>
      <c r="L67" s="127">
        <f t="shared" si="18"/>
        <v>0</v>
      </c>
      <c r="M67" s="126">
        <f t="shared" si="19"/>
        <v>15.476666666666667</v>
      </c>
      <c r="N67" s="11">
        <f t="shared" si="20"/>
        <v>15.433333333333334</v>
      </c>
      <c r="O67" s="144">
        <f t="shared" si="21"/>
        <v>-4.3333333333333002E-2</v>
      </c>
      <c r="P67" s="2">
        <f>SUMIFS('XBS '!T:T,'XBS '!H:H,' General Stock Summary View  '!$P$2,'XBS '!L:L,' General Stock Summary View  '!B67,'XBS '!C:C,' General Stock Summary View  '!C67)</f>
        <v>0</v>
      </c>
      <c r="Q67" s="3">
        <f>SUMIFS('PowerApp_Physical count'!H:H,'PowerApp_Physical count'!B:B,' General Stock Summary View  '!$P$2,'PowerApp_Physical count'!C:C,' General Stock Summary View  '!C67,'PowerApp_Physical count'!A:A,' General Stock Summary View  '!B67)</f>
        <v>0</v>
      </c>
      <c r="R67" s="4">
        <f t="shared" si="22"/>
        <v>0</v>
      </c>
      <c r="S67" s="5">
        <f>SUMIFS('XBS '!T:T,'XBS '!L:L,' General Stock Summary View  '!B67,'XBS '!H:H,' General Stock Summary View  '!$S$2,'XBS '!C:C,' General Stock Summary View  '!C67)</f>
        <v>0</v>
      </c>
      <c r="T67" s="3">
        <f>SUMIFS('PowerApp_Physical count'!H:H,'PowerApp_Physical count'!B:B,' General Stock Summary View  '!$S$2,'PowerApp_Physical count'!C:C,' General Stock Summary View  '!C67,'PowerApp_Physical count'!A:A,' General Stock Summary View  '!B67)</f>
        <v>0</v>
      </c>
      <c r="U67" s="4">
        <f t="shared" si="23"/>
        <v>0</v>
      </c>
      <c r="V67" s="2">
        <f>SUMIFS('XBS '!T:T,'XBS '!H:H,' General Stock Summary View  '!$V$2,'XBS '!B:B,' General Stock Summary View  '!C67,'XBS '!L:L,' General Stock Summary View  '!B67)</f>
        <v>0</v>
      </c>
      <c r="W67" s="3">
        <f>SUMIFS('PowerApp_Physical count'!H:H,'PowerApp_Physical count'!B:B,' General Stock Summary View  '!$V$2,'PowerApp_Physical count'!C:C,' General Stock Summary View  '!C67,'PowerApp_Physical count'!A:A,' General Stock Summary View  '!B67)</f>
        <v>0</v>
      </c>
      <c r="X67" s="4">
        <f t="shared" si="24"/>
        <v>0</v>
      </c>
      <c r="Y67" s="5">
        <f>SUMIFS('XBS '!T:T,'XBS '!H:H,' General Stock Summary View  '!$Y$2,'XBS '!B:B,' General Stock Summary View  '!C67,'XBS '!L:L,' General Stock Summary View  '!B67)</f>
        <v>0</v>
      </c>
      <c r="Z67" s="3">
        <f>SUMIFS('PowerApp_Physical count'!H:H,'PowerApp_Physical count'!B:B,' General Stock Summary View  '!$Y$2,'PowerApp_Physical count'!C:C,' General Stock Summary View  '!C67,'PowerApp_Physical count'!A:A,' General Stock Summary View  '!B67)</f>
        <v>0</v>
      </c>
      <c r="AA67" s="4">
        <f t="shared" si="25"/>
        <v>0</v>
      </c>
      <c r="AB67" s="5">
        <f>SUMIFS('XBS '!T:T,'XBS '!H:H,' General Stock Summary View  '!$AB$2,'XBS '!B:B,' General Stock Summary View  '!C67,'XBS '!L:L,' General Stock Summary View  '!B67)</f>
        <v>0</v>
      </c>
      <c r="AC67" s="3">
        <f>SUMIFS('PowerApp_Physical count'!H:H,'PowerApp_Physical count'!B:B,' General Stock Summary View  '!$AB$2,'PowerApp_Physical count'!C:C,' General Stock Summary View  '!C67,'PowerApp_Physical count'!A:A,' General Stock Summary View  '!B67)</f>
        <v>0</v>
      </c>
      <c r="AD67" s="6">
        <f t="shared" si="26"/>
        <v>0</v>
      </c>
      <c r="AE67" s="7">
        <f t="shared" si="27"/>
        <v>15.433333333333334</v>
      </c>
      <c r="AF67" s="8">
        <f t="shared" si="28"/>
        <v>-4.3333333333333002E-2</v>
      </c>
      <c r="AG67" s="112"/>
    </row>
    <row r="68" spans="2:33" s="113" customFormat="1" ht="61.15">
      <c r="B68" s="117" t="s">
        <v>97</v>
      </c>
      <c r="C68" s="111" t="s">
        <v>58</v>
      </c>
      <c r="D68" s="11">
        <f>SUMIFS('XBS '!T:T,'XBS '!C:C,' General Stock Summary View  '!C68,'XBS '!L:L,' General Stock Summary View  '!B68)</f>
        <v>36.361666666666665</v>
      </c>
      <c r="E68" s="2">
        <f>SUMIFS('Blocked for Processing'!P:P,'Blocked for Processing'!I:I,' General Stock Summary View  '!B68,'Blocked for Processing'!C:C,' General Stock Summary View  '!C68)</f>
        <v>0</v>
      </c>
      <c r="F68" s="122">
        <f t="shared" si="17"/>
        <v>36.361666666666665</v>
      </c>
      <c r="G68" s="148">
        <f>SUMIFS('XBS '!T:T,'XBS '!H:H,' General Stock Summary View  '!$G$2,'XBS '!L:L,' General Stock Summary View  '!B68,'XBS '!C:C,' General Stock Summary View  '!C68)</f>
        <v>36.361666666666665</v>
      </c>
      <c r="H68" s="3">
        <f>SUMIFS('PowerApp_Physical count'!H:H,'PowerApp_Physical count'!B:B,' General Stock Summary View  '!$G$2,'PowerApp_Physical count'!C:C,' General Stock Summary View  '!C68,'PowerApp_Physical count'!A:A,' General Stock Summary View  '!B68)</f>
        <v>36.383333333333333</v>
      </c>
      <c r="I68" s="154">
        <f t="shared" si="16"/>
        <v>2.1666666666668277E-2</v>
      </c>
      <c r="J68" s="11">
        <f>SUMIFS('XBS '!T:T,'XBS '!H:H,' General Stock Summary View  '!$J$2,'XBS '!L:L,' General Stock Summary View  '!B68,'XBS '!C:C,' General Stock Summary View  '!C68)</f>
        <v>0</v>
      </c>
      <c r="K68" s="157">
        <f>SUMIFS('PowerApp_Physical count'!H:H,'PowerApp_Physical count'!B:B,' General Stock Summary View  '!$J$2,'PowerApp_Physical count'!C:C,' General Stock Summary View  '!C68,'PowerApp_Physical count'!A:A,' General Stock Summary View  '!B68)</f>
        <v>0</v>
      </c>
      <c r="L68" s="127">
        <f t="shared" si="18"/>
        <v>0</v>
      </c>
      <c r="M68" s="126">
        <f t="shared" si="19"/>
        <v>36.361666666666665</v>
      </c>
      <c r="N68" s="11">
        <f t="shared" si="20"/>
        <v>36.383333333333333</v>
      </c>
      <c r="O68" s="144">
        <f t="shared" si="21"/>
        <v>2.1666666666668277E-2</v>
      </c>
      <c r="P68" s="2">
        <f>SUMIFS('XBS '!T:T,'XBS '!H:H,' General Stock Summary View  '!$P$2,'XBS '!L:L,' General Stock Summary View  '!B68,'XBS '!C:C,' General Stock Summary View  '!C68)</f>
        <v>0</v>
      </c>
      <c r="Q68" s="3">
        <f>SUMIFS('PowerApp_Physical count'!H:H,'PowerApp_Physical count'!B:B,' General Stock Summary View  '!$P$2,'PowerApp_Physical count'!C:C,' General Stock Summary View  '!C68,'PowerApp_Physical count'!A:A,' General Stock Summary View  '!B68)</f>
        <v>0</v>
      </c>
      <c r="R68" s="4">
        <f t="shared" si="22"/>
        <v>0</v>
      </c>
      <c r="S68" s="5">
        <f>SUMIFS('XBS '!T:T,'XBS '!L:L,' General Stock Summary View  '!B68,'XBS '!H:H,' General Stock Summary View  '!$S$2,'XBS '!C:C,' General Stock Summary View  '!C68)</f>
        <v>0</v>
      </c>
      <c r="T68" s="3">
        <f>SUMIFS('PowerApp_Physical count'!H:H,'PowerApp_Physical count'!B:B,' General Stock Summary View  '!$S$2,'PowerApp_Physical count'!C:C,' General Stock Summary View  '!C68,'PowerApp_Physical count'!A:A,' General Stock Summary View  '!B68)</f>
        <v>0</v>
      </c>
      <c r="U68" s="4">
        <f t="shared" si="23"/>
        <v>0</v>
      </c>
      <c r="V68" s="2">
        <f>SUMIFS('XBS '!T:T,'XBS '!H:H,' General Stock Summary View  '!$V$2,'XBS '!B:B,' General Stock Summary View  '!C68,'XBS '!L:L,' General Stock Summary View  '!B68)</f>
        <v>0</v>
      </c>
      <c r="W68" s="3">
        <f>SUMIFS('PowerApp_Physical count'!H:H,'PowerApp_Physical count'!B:B,' General Stock Summary View  '!$V$2,'PowerApp_Physical count'!C:C,' General Stock Summary View  '!C68,'PowerApp_Physical count'!A:A,' General Stock Summary View  '!B68)</f>
        <v>0</v>
      </c>
      <c r="X68" s="4">
        <f t="shared" si="24"/>
        <v>0</v>
      </c>
      <c r="Y68" s="5">
        <f>SUMIFS('XBS '!T:T,'XBS '!H:H,' General Stock Summary View  '!$Y$2,'XBS '!B:B,' General Stock Summary View  '!C68,'XBS '!L:L,' General Stock Summary View  '!B68)</f>
        <v>0</v>
      </c>
      <c r="Z68" s="3">
        <f>SUMIFS('PowerApp_Physical count'!H:H,'PowerApp_Physical count'!B:B,' General Stock Summary View  '!$Y$2,'PowerApp_Physical count'!C:C,' General Stock Summary View  '!C68,'PowerApp_Physical count'!A:A,' General Stock Summary View  '!B68)</f>
        <v>0</v>
      </c>
      <c r="AA68" s="4">
        <f t="shared" si="25"/>
        <v>0</v>
      </c>
      <c r="AB68" s="5">
        <f>SUMIFS('XBS '!T:T,'XBS '!H:H,' General Stock Summary View  '!$AB$2,'XBS '!B:B,' General Stock Summary View  '!C68,'XBS '!L:L,' General Stock Summary View  '!B68)</f>
        <v>0</v>
      </c>
      <c r="AC68" s="3">
        <f>SUMIFS('PowerApp_Physical count'!H:H,'PowerApp_Physical count'!B:B,' General Stock Summary View  '!$AB$2,'PowerApp_Physical count'!C:C,' General Stock Summary View  '!C68,'PowerApp_Physical count'!A:A,' General Stock Summary View  '!B68)</f>
        <v>0</v>
      </c>
      <c r="AD68" s="6">
        <f t="shared" si="26"/>
        <v>0</v>
      </c>
      <c r="AE68" s="7">
        <f t="shared" si="27"/>
        <v>36.383333333333333</v>
      </c>
      <c r="AF68" s="8">
        <f t="shared" si="28"/>
        <v>2.1666666666668277E-2</v>
      </c>
      <c r="AG68" s="112"/>
    </row>
    <row r="69" spans="2:33" s="113" customFormat="1" ht="61.15">
      <c r="B69" s="117" t="s">
        <v>98</v>
      </c>
      <c r="C69" s="111" t="s">
        <v>58</v>
      </c>
      <c r="D69" s="11">
        <f>SUMIFS('XBS '!T:T,'XBS '!C:C,' General Stock Summary View  '!C69,'XBS '!L:L,' General Stock Summary View  '!B69)</f>
        <v>26.595000000000002</v>
      </c>
      <c r="E69" s="2">
        <f>SUMIFS('Blocked for Processing'!P:P,'Blocked for Processing'!I:I,' General Stock Summary View  '!B69,'Blocked for Processing'!C:C,' General Stock Summary View  '!C69)</f>
        <v>0</v>
      </c>
      <c r="F69" s="122">
        <f t="shared" si="17"/>
        <v>26.595000000000002</v>
      </c>
      <c r="G69" s="148">
        <f>SUMIFS('XBS '!T:T,'XBS '!H:H,' General Stock Summary View  '!$G$2,'XBS '!L:L,' General Stock Summary View  '!B69,'XBS '!C:C,' General Stock Summary View  '!C69)</f>
        <v>26.595000000000002</v>
      </c>
      <c r="H69" s="3">
        <f>SUMIFS('PowerApp_Physical count'!H:H,'PowerApp_Physical count'!B:B,' General Stock Summary View  '!$G$2,'PowerApp_Physical count'!C:C,' General Stock Summary View  '!C69,'PowerApp_Physical count'!A:A,' General Stock Summary View  '!B69)</f>
        <v>26.816666666666666</v>
      </c>
      <c r="I69" s="154">
        <f t="shared" si="16"/>
        <v>0.22166666666666401</v>
      </c>
      <c r="J69" s="11">
        <f>SUMIFS('XBS '!T:T,'XBS '!H:H,' General Stock Summary View  '!$J$2,'XBS '!L:L,' General Stock Summary View  '!B69,'XBS '!C:C,' General Stock Summary View  '!C69)</f>
        <v>0</v>
      </c>
      <c r="K69" s="157">
        <f>SUMIFS('PowerApp_Physical count'!H:H,'PowerApp_Physical count'!B:B,' General Stock Summary View  '!$J$2,'PowerApp_Physical count'!C:C,' General Stock Summary View  '!C69,'PowerApp_Physical count'!A:A,' General Stock Summary View  '!B69)</f>
        <v>0</v>
      </c>
      <c r="L69" s="127">
        <f t="shared" si="18"/>
        <v>0</v>
      </c>
      <c r="M69" s="126">
        <f t="shared" si="19"/>
        <v>26.595000000000002</v>
      </c>
      <c r="N69" s="11">
        <f t="shared" si="20"/>
        <v>26.816666666666666</v>
      </c>
      <c r="O69" s="144">
        <f t="shared" si="21"/>
        <v>0.22166666666666401</v>
      </c>
      <c r="P69" s="2">
        <f>SUMIFS('XBS '!T:T,'XBS '!H:H,' General Stock Summary View  '!$P$2,'XBS '!L:L,' General Stock Summary View  '!B69,'XBS '!C:C,' General Stock Summary View  '!C69)</f>
        <v>0</v>
      </c>
      <c r="Q69" s="3">
        <f>SUMIFS('PowerApp_Physical count'!H:H,'PowerApp_Physical count'!B:B,' General Stock Summary View  '!$P$2,'PowerApp_Physical count'!C:C,' General Stock Summary View  '!C69,'PowerApp_Physical count'!A:A,' General Stock Summary View  '!B69)</f>
        <v>0</v>
      </c>
      <c r="R69" s="4">
        <f t="shared" si="22"/>
        <v>0</v>
      </c>
      <c r="S69" s="5">
        <f>SUMIFS('XBS '!T:T,'XBS '!L:L,' General Stock Summary View  '!B69,'XBS '!H:H,' General Stock Summary View  '!$S$2,'XBS '!C:C,' General Stock Summary View  '!C69)</f>
        <v>0</v>
      </c>
      <c r="T69" s="3">
        <f>SUMIFS('PowerApp_Physical count'!H:H,'PowerApp_Physical count'!B:B,' General Stock Summary View  '!$S$2,'PowerApp_Physical count'!C:C,' General Stock Summary View  '!C69,'PowerApp_Physical count'!A:A,' General Stock Summary View  '!B69)</f>
        <v>0</v>
      </c>
      <c r="U69" s="4">
        <f t="shared" si="23"/>
        <v>0</v>
      </c>
      <c r="V69" s="2">
        <f>SUMIFS('XBS '!T:T,'XBS '!H:H,' General Stock Summary View  '!$V$2,'XBS '!B:B,' General Stock Summary View  '!C69,'XBS '!L:L,' General Stock Summary View  '!B69)</f>
        <v>0</v>
      </c>
      <c r="W69" s="3">
        <f>SUMIFS('PowerApp_Physical count'!H:H,'PowerApp_Physical count'!B:B,' General Stock Summary View  '!$V$2,'PowerApp_Physical count'!C:C,' General Stock Summary View  '!C69,'PowerApp_Physical count'!A:A,' General Stock Summary View  '!B69)</f>
        <v>0</v>
      </c>
      <c r="X69" s="4">
        <f t="shared" si="24"/>
        <v>0</v>
      </c>
      <c r="Y69" s="5">
        <f>SUMIFS('XBS '!T:T,'XBS '!H:H,' General Stock Summary View  '!$Y$2,'XBS '!B:B,' General Stock Summary View  '!C69,'XBS '!L:L,' General Stock Summary View  '!B69)</f>
        <v>0</v>
      </c>
      <c r="Z69" s="3">
        <f>SUMIFS('PowerApp_Physical count'!H:H,'PowerApp_Physical count'!B:B,' General Stock Summary View  '!$Y$2,'PowerApp_Physical count'!C:C,' General Stock Summary View  '!C69,'PowerApp_Physical count'!A:A,' General Stock Summary View  '!B69)</f>
        <v>0</v>
      </c>
      <c r="AA69" s="4">
        <f t="shared" si="25"/>
        <v>0</v>
      </c>
      <c r="AB69" s="5">
        <f>SUMIFS('XBS '!T:T,'XBS '!H:H,' General Stock Summary View  '!$AB$2,'XBS '!B:B,' General Stock Summary View  '!C69,'XBS '!L:L,' General Stock Summary View  '!B69)</f>
        <v>0</v>
      </c>
      <c r="AC69" s="3">
        <f>SUMIFS('PowerApp_Physical count'!H:H,'PowerApp_Physical count'!B:B,' General Stock Summary View  '!$AB$2,'PowerApp_Physical count'!C:C,' General Stock Summary View  '!C69,'PowerApp_Physical count'!A:A,' General Stock Summary View  '!B69)</f>
        <v>0</v>
      </c>
      <c r="AD69" s="6">
        <f t="shared" si="26"/>
        <v>0</v>
      </c>
      <c r="AE69" s="7">
        <f t="shared" si="27"/>
        <v>26.816666666666666</v>
      </c>
      <c r="AF69" s="8">
        <f t="shared" si="28"/>
        <v>0.22166666666666401</v>
      </c>
      <c r="AG69" s="112"/>
    </row>
    <row r="70" spans="2:33" s="113" customFormat="1" ht="61.15">
      <c r="B70" s="117" t="s">
        <v>99</v>
      </c>
      <c r="C70" s="111" t="s">
        <v>58</v>
      </c>
      <c r="D70" s="11">
        <f>SUMIFS('XBS '!T:T,'XBS '!C:C,' General Stock Summary View  '!C70,'XBS '!L:L,' General Stock Summary View  '!B70)</f>
        <v>11.135</v>
      </c>
      <c r="E70" s="2">
        <f>SUMIFS('Blocked for Processing'!P:P,'Blocked for Processing'!I:I,' General Stock Summary View  '!B70,'Blocked for Processing'!C:C,' General Stock Summary View  '!C70)</f>
        <v>0</v>
      </c>
      <c r="F70" s="122">
        <f t="shared" si="17"/>
        <v>11.135</v>
      </c>
      <c r="G70" s="148">
        <f>SUMIFS('XBS '!T:T,'XBS '!H:H,' General Stock Summary View  '!$G$2,'XBS '!L:L,' General Stock Summary View  '!B70,'XBS '!C:C,' General Stock Summary View  '!C70)</f>
        <v>11.135</v>
      </c>
      <c r="H70" s="3">
        <f>SUMIFS('PowerApp_Physical count'!H:H,'PowerApp_Physical count'!B:B,' General Stock Summary View  '!$G$2,'PowerApp_Physical count'!C:C,' General Stock Summary View  '!C70,'PowerApp_Physical count'!A:A,' General Stock Summary View  '!B70)</f>
        <v>11.1</v>
      </c>
      <c r="I70" s="154">
        <f t="shared" si="16"/>
        <v>-3.5000000000000142E-2</v>
      </c>
      <c r="J70" s="11">
        <f>SUMIFS('XBS '!T:T,'XBS '!H:H,' General Stock Summary View  '!$J$2,'XBS '!L:L,' General Stock Summary View  '!B70,'XBS '!C:C,' General Stock Summary View  '!C70)</f>
        <v>0</v>
      </c>
      <c r="K70" s="157">
        <f>SUMIFS('PowerApp_Physical count'!H:H,'PowerApp_Physical count'!B:B,' General Stock Summary View  '!$J$2,'PowerApp_Physical count'!C:C,' General Stock Summary View  '!C70,'PowerApp_Physical count'!A:A,' General Stock Summary View  '!B70)</f>
        <v>0</v>
      </c>
      <c r="L70" s="127">
        <f t="shared" si="18"/>
        <v>0</v>
      </c>
      <c r="M70" s="126">
        <f t="shared" si="19"/>
        <v>11.135</v>
      </c>
      <c r="N70" s="11">
        <f t="shared" si="20"/>
        <v>11.1</v>
      </c>
      <c r="O70" s="144">
        <f t="shared" si="21"/>
        <v>-3.5000000000000142E-2</v>
      </c>
      <c r="P70" s="2">
        <f>SUMIFS('XBS '!T:T,'XBS '!H:H,' General Stock Summary View  '!$P$2,'XBS '!L:L,' General Stock Summary View  '!B70,'XBS '!C:C,' General Stock Summary View  '!C70)</f>
        <v>0</v>
      </c>
      <c r="Q70" s="3">
        <f>SUMIFS('PowerApp_Physical count'!H:H,'PowerApp_Physical count'!B:B,' General Stock Summary View  '!$P$2,'PowerApp_Physical count'!C:C,' General Stock Summary View  '!C70,'PowerApp_Physical count'!A:A,' General Stock Summary View  '!B70)</f>
        <v>0</v>
      </c>
      <c r="R70" s="4">
        <f t="shared" si="22"/>
        <v>0</v>
      </c>
      <c r="S70" s="5">
        <f>SUMIFS('XBS '!T:T,'XBS '!L:L,' General Stock Summary View  '!B70,'XBS '!H:H,' General Stock Summary View  '!$S$2,'XBS '!C:C,' General Stock Summary View  '!C70)</f>
        <v>0</v>
      </c>
      <c r="T70" s="3">
        <f>SUMIFS('PowerApp_Physical count'!H:H,'PowerApp_Physical count'!B:B,' General Stock Summary View  '!$S$2,'PowerApp_Physical count'!C:C,' General Stock Summary View  '!C70,'PowerApp_Physical count'!A:A,' General Stock Summary View  '!B70)</f>
        <v>0</v>
      </c>
      <c r="U70" s="4">
        <f t="shared" si="23"/>
        <v>0</v>
      </c>
      <c r="V70" s="2">
        <f>SUMIFS('XBS '!T:T,'XBS '!H:H,' General Stock Summary View  '!$V$2,'XBS '!B:B,' General Stock Summary View  '!C70,'XBS '!L:L,' General Stock Summary View  '!B70)</f>
        <v>0</v>
      </c>
      <c r="W70" s="3">
        <f>SUMIFS('PowerApp_Physical count'!H:H,'PowerApp_Physical count'!B:B,' General Stock Summary View  '!$V$2,'PowerApp_Physical count'!C:C,' General Stock Summary View  '!C70,'PowerApp_Physical count'!A:A,' General Stock Summary View  '!B70)</f>
        <v>0</v>
      </c>
      <c r="X70" s="4">
        <f t="shared" si="24"/>
        <v>0</v>
      </c>
      <c r="Y70" s="5">
        <f>SUMIFS('XBS '!T:T,'XBS '!H:H,' General Stock Summary View  '!$Y$2,'XBS '!B:B,' General Stock Summary View  '!C70,'XBS '!L:L,' General Stock Summary View  '!B70)</f>
        <v>0</v>
      </c>
      <c r="Z70" s="3">
        <f>SUMIFS('PowerApp_Physical count'!H:H,'PowerApp_Physical count'!B:B,' General Stock Summary View  '!$Y$2,'PowerApp_Physical count'!C:C,' General Stock Summary View  '!C70,'PowerApp_Physical count'!A:A,' General Stock Summary View  '!B70)</f>
        <v>0</v>
      </c>
      <c r="AA70" s="4">
        <f t="shared" si="25"/>
        <v>0</v>
      </c>
      <c r="AB70" s="5">
        <f>SUMIFS('XBS '!T:T,'XBS '!H:H,' General Stock Summary View  '!$AB$2,'XBS '!B:B,' General Stock Summary View  '!C70,'XBS '!L:L,' General Stock Summary View  '!B70)</f>
        <v>0</v>
      </c>
      <c r="AC70" s="3">
        <f>SUMIFS('PowerApp_Physical count'!H:H,'PowerApp_Physical count'!B:B,' General Stock Summary View  '!$AB$2,'PowerApp_Physical count'!C:C,' General Stock Summary View  '!C70,'PowerApp_Physical count'!A:A,' General Stock Summary View  '!B70)</f>
        <v>0</v>
      </c>
      <c r="AD70" s="6">
        <f t="shared" si="26"/>
        <v>0</v>
      </c>
      <c r="AE70" s="7">
        <f t="shared" si="27"/>
        <v>11.1</v>
      </c>
      <c r="AF70" s="8">
        <f t="shared" si="28"/>
        <v>-3.5000000000000142E-2</v>
      </c>
      <c r="AG70" s="112"/>
    </row>
    <row r="71" spans="2:33" s="113" customFormat="1" ht="61.15">
      <c r="B71" s="117" t="s">
        <v>100</v>
      </c>
      <c r="C71" s="111" t="s">
        <v>58</v>
      </c>
      <c r="D71" s="11">
        <f>SUMIFS('XBS '!T:T,'XBS '!C:C,' General Stock Summary View  '!C71,'XBS '!L:L,' General Stock Summary View  '!B71)</f>
        <v>3.65</v>
      </c>
      <c r="E71" s="2">
        <f>SUMIFS('Blocked for Processing'!P:P,'Blocked for Processing'!I:I,' General Stock Summary View  '!B71,'Blocked for Processing'!C:C,' General Stock Summary View  '!C71)</f>
        <v>0</v>
      </c>
      <c r="F71" s="122">
        <f t="shared" si="17"/>
        <v>3.65</v>
      </c>
      <c r="G71" s="148">
        <f>SUMIFS('XBS '!T:T,'XBS '!H:H,' General Stock Summary View  '!$G$2,'XBS '!L:L,' General Stock Summary View  '!B71,'XBS '!C:C,' General Stock Summary View  '!C71)</f>
        <v>0</v>
      </c>
      <c r="H71" s="3">
        <f>SUMIFS('PowerApp_Physical count'!H:H,'PowerApp_Physical count'!B:B,' General Stock Summary View  '!$G$2,'PowerApp_Physical count'!C:C,' General Stock Summary View  '!C71,'PowerApp_Physical count'!A:A,' General Stock Summary View  '!B71)</f>
        <v>0</v>
      </c>
      <c r="I71" s="154">
        <f t="shared" si="16"/>
        <v>0</v>
      </c>
      <c r="J71" s="11">
        <f>SUMIFS('XBS '!T:T,'XBS '!H:H,' General Stock Summary View  '!$J$2,'XBS '!L:L,' General Stock Summary View  '!B71,'XBS '!C:C,' General Stock Summary View  '!C71)</f>
        <v>0</v>
      </c>
      <c r="K71" s="157">
        <f>SUMIFS('PowerApp_Physical count'!H:H,'PowerApp_Physical count'!B:B,' General Stock Summary View  '!$J$2,'PowerApp_Physical count'!C:C,' General Stock Summary View  '!C71,'PowerApp_Physical count'!A:A,' General Stock Summary View  '!B71)</f>
        <v>0</v>
      </c>
      <c r="L71" s="127">
        <f t="shared" si="18"/>
        <v>0</v>
      </c>
      <c r="M71" s="126">
        <f t="shared" si="19"/>
        <v>0</v>
      </c>
      <c r="N71" s="11">
        <f t="shared" si="20"/>
        <v>0</v>
      </c>
      <c r="O71" s="144">
        <f t="shared" si="21"/>
        <v>0</v>
      </c>
      <c r="P71" s="2">
        <f>SUMIFS('XBS '!T:T,'XBS '!H:H,' General Stock Summary View  '!$P$2,'XBS '!L:L,' General Stock Summary View  '!B71,'XBS '!C:C,' General Stock Summary View  '!C71)</f>
        <v>0</v>
      </c>
      <c r="Q71" s="3">
        <f>SUMIFS('PowerApp_Physical count'!H:H,'PowerApp_Physical count'!B:B,' General Stock Summary View  '!$P$2,'PowerApp_Physical count'!C:C,' General Stock Summary View  '!C71,'PowerApp_Physical count'!A:A,' General Stock Summary View  '!B71)</f>
        <v>0</v>
      </c>
      <c r="R71" s="4">
        <f t="shared" si="22"/>
        <v>0</v>
      </c>
      <c r="S71" s="5">
        <f>SUMIFS('XBS '!T:T,'XBS '!L:L,' General Stock Summary View  '!B71,'XBS '!H:H,' General Stock Summary View  '!$S$2,'XBS '!C:C,' General Stock Summary View  '!C71)</f>
        <v>0</v>
      </c>
      <c r="T71" s="3">
        <f>SUMIFS('PowerApp_Physical count'!H:H,'PowerApp_Physical count'!B:B,' General Stock Summary View  '!$S$2,'PowerApp_Physical count'!C:C,' General Stock Summary View  '!C71,'PowerApp_Physical count'!A:A,' General Stock Summary View  '!B71)</f>
        <v>0</v>
      </c>
      <c r="U71" s="4">
        <f t="shared" si="23"/>
        <v>0</v>
      </c>
      <c r="V71" s="2">
        <f>SUMIFS('XBS '!T:T,'XBS '!H:H,' General Stock Summary View  '!$V$2,'XBS '!B:B,' General Stock Summary View  '!C71,'XBS '!L:L,' General Stock Summary View  '!B71)</f>
        <v>0</v>
      </c>
      <c r="W71" s="3">
        <f>SUMIFS('PowerApp_Physical count'!H:H,'PowerApp_Physical count'!B:B,' General Stock Summary View  '!$V$2,'PowerApp_Physical count'!C:C,' General Stock Summary View  '!C71,'PowerApp_Physical count'!A:A,' General Stock Summary View  '!B71)</f>
        <v>0</v>
      </c>
      <c r="X71" s="4">
        <f t="shared" si="24"/>
        <v>0</v>
      </c>
      <c r="Y71" s="5">
        <f>SUMIFS('XBS '!T:T,'XBS '!H:H,' General Stock Summary View  '!$Y$2,'XBS '!B:B,' General Stock Summary View  '!C71,'XBS '!L:L,' General Stock Summary View  '!B71)</f>
        <v>0</v>
      </c>
      <c r="Z71" s="3">
        <f>SUMIFS('PowerApp_Physical count'!H:H,'PowerApp_Physical count'!B:B,' General Stock Summary View  '!$Y$2,'PowerApp_Physical count'!C:C,' General Stock Summary View  '!C71,'PowerApp_Physical count'!A:A,' General Stock Summary View  '!B71)</f>
        <v>0</v>
      </c>
      <c r="AA71" s="4">
        <f t="shared" si="25"/>
        <v>0</v>
      </c>
      <c r="AB71" s="5">
        <f>SUMIFS('XBS '!T:T,'XBS '!H:H,' General Stock Summary View  '!$AB$2,'XBS '!B:B,' General Stock Summary View  '!C71,'XBS '!L:L,' General Stock Summary View  '!B71)</f>
        <v>3.65</v>
      </c>
      <c r="AC71" s="3">
        <f>SUMIFS('PowerApp_Physical count'!H:H,'PowerApp_Physical count'!B:B,' General Stock Summary View  '!$AB$2,'PowerApp_Physical count'!C:C,' General Stock Summary View  '!C71,'PowerApp_Physical count'!A:A,' General Stock Summary View  '!B71)</f>
        <v>0</v>
      </c>
      <c r="AD71" s="6">
        <f t="shared" si="26"/>
        <v>-3.65</v>
      </c>
      <c r="AE71" s="7">
        <f t="shared" si="27"/>
        <v>0</v>
      </c>
      <c r="AF71" s="8">
        <f t="shared" si="28"/>
        <v>-3.65</v>
      </c>
      <c r="AG71" s="112"/>
    </row>
    <row r="72" spans="2:33" s="113" customFormat="1" ht="61.15">
      <c r="B72" s="117" t="s">
        <v>101</v>
      </c>
      <c r="C72" s="111" t="s">
        <v>58</v>
      </c>
      <c r="D72" s="11">
        <f>SUMIFS('XBS '!T:T,'XBS '!C:C,' General Stock Summary View  '!C72,'XBS '!L:L,' General Stock Summary View  '!B72)</f>
        <v>7.916666666666667</v>
      </c>
      <c r="E72" s="2">
        <f>SUMIFS('Blocked for Processing'!P:P,'Blocked for Processing'!I:I,' General Stock Summary View  '!B72,'Blocked for Processing'!C:C,' General Stock Summary View  '!C72)</f>
        <v>0</v>
      </c>
      <c r="F72" s="122">
        <f t="shared" si="17"/>
        <v>7.916666666666667</v>
      </c>
      <c r="G72" s="148">
        <f>SUMIFS('XBS '!T:T,'XBS '!H:H,' General Stock Summary View  '!$G$2,'XBS '!L:L,' General Stock Summary View  '!B72,'XBS '!C:C,' General Stock Summary View  '!C72)</f>
        <v>0</v>
      </c>
      <c r="H72" s="3">
        <f>SUMIFS('PowerApp_Physical count'!H:H,'PowerApp_Physical count'!B:B,' General Stock Summary View  '!$G$2,'PowerApp_Physical count'!C:C,' General Stock Summary View  '!C72,'PowerApp_Physical count'!A:A,' General Stock Summary View  '!B72)</f>
        <v>0</v>
      </c>
      <c r="I72" s="154">
        <f t="shared" si="16"/>
        <v>0</v>
      </c>
      <c r="J72" s="11">
        <f>SUMIFS('XBS '!T:T,'XBS '!H:H,' General Stock Summary View  '!$J$2,'XBS '!L:L,' General Stock Summary View  '!B72,'XBS '!C:C,' General Stock Summary View  '!C72)</f>
        <v>0</v>
      </c>
      <c r="K72" s="157">
        <f>SUMIFS('PowerApp_Physical count'!H:H,'PowerApp_Physical count'!B:B,' General Stock Summary View  '!$J$2,'PowerApp_Physical count'!C:C,' General Stock Summary View  '!C72,'PowerApp_Physical count'!A:A,' General Stock Summary View  '!B72)</f>
        <v>0</v>
      </c>
      <c r="L72" s="127">
        <f t="shared" si="18"/>
        <v>0</v>
      </c>
      <c r="M72" s="126">
        <f t="shared" si="19"/>
        <v>0</v>
      </c>
      <c r="N72" s="11">
        <f t="shared" si="20"/>
        <v>0</v>
      </c>
      <c r="O72" s="144">
        <f t="shared" si="21"/>
        <v>0</v>
      </c>
      <c r="P72" s="2">
        <f>SUMIFS('XBS '!T:T,'XBS '!H:H,' General Stock Summary View  '!$P$2,'XBS '!L:L,' General Stock Summary View  '!B72,'XBS '!C:C,' General Stock Summary View  '!C72)</f>
        <v>0</v>
      </c>
      <c r="Q72" s="3">
        <f>SUMIFS('PowerApp_Physical count'!H:H,'PowerApp_Physical count'!B:B,' General Stock Summary View  '!$P$2,'PowerApp_Physical count'!C:C,' General Stock Summary View  '!C72,'PowerApp_Physical count'!A:A,' General Stock Summary View  '!B72)</f>
        <v>0</v>
      </c>
      <c r="R72" s="4">
        <f t="shared" si="22"/>
        <v>0</v>
      </c>
      <c r="S72" s="5">
        <f>SUMIFS('XBS '!T:T,'XBS '!L:L,' General Stock Summary View  '!B72,'XBS '!H:H,' General Stock Summary View  '!$S$2,'XBS '!C:C,' General Stock Summary View  '!C72)</f>
        <v>0</v>
      </c>
      <c r="T72" s="3">
        <f>SUMIFS('PowerApp_Physical count'!H:H,'PowerApp_Physical count'!B:B,' General Stock Summary View  '!$S$2,'PowerApp_Physical count'!C:C,' General Stock Summary View  '!C72,'PowerApp_Physical count'!A:A,' General Stock Summary View  '!B72)</f>
        <v>0</v>
      </c>
      <c r="U72" s="4">
        <f t="shared" si="23"/>
        <v>0</v>
      </c>
      <c r="V72" s="2">
        <f>SUMIFS('XBS '!T:T,'XBS '!H:H,' General Stock Summary View  '!$V$2,'XBS '!B:B,' General Stock Summary View  '!C72,'XBS '!L:L,' General Stock Summary View  '!B72)</f>
        <v>0</v>
      </c>
      <c r="W72" s="3">
        <f>SUMIFS('PowerApp_Physical count'!H:H,'PowerApp_Physical count'!B:B,' General Stock Summary View  '!$V$2,'PowerApp_Physical count'!C:C,' General Stock Summary View  '!C72,'PowerApp_Physical count'!A:A,' General Stock Summary View  '!B72)</f>
        <v>0</v>
      </c>
      <c r="X72" s="4">
        <f t="shared" si="24"/>
        <v>0</v>
      </c>
      <c r="Y72" s="5">
        <f>SUMIFS('XBS '!T:T,'XBS '!H:H,' General Stock Summary View  '!$Y$2,'XBS '!B:B,' General Stock Summary View  '!C72,'XBS '!L:L,' General Stock Summary View  '!B72)</f>
        <v>7.916666666666667</v>
      </c>
      <c r="Z72" s="3">
        <f>SUMIFS('PowerApp_Physical count'!H:H,'PowerApp_Physical count'!B:B,' General Stock Summary View  '!$Y$2,'PowerApp_Physical count'!C:C,' General Stock Summary View  '!C72,'PowerApp_Physical count'!A:A,' General Stock Summary View  '!B72)</f>
        <v>0</v>
      </c>
      <c r="AA72" s="4">
        <f t="shared" si="25"/>
        <v>-7.916666666666667</v>
      </c>
      <c r="AB72" s="5">
        <f>SUMIFS('XBS '!T:T,'XBS '!H:H,' General Stock Summary View  '!$AB$2,'XBS '!B:B,' General Stock Summary View  '!C72,'XBS '!L:L,' General Stock Summary View  '!B72)</f>
        <v>0</v>
      </c>
      <c r="AC72" s="3">
        <f>SUMIFS('PowerApp_Physical count'!H:H,'PowerApp_Physical count'!B:B,' General Stock Summary View  '!$AB$2,'PowerApp_Physical count'!C:C,' General Stock Summary View  '!C72,'PowerApp_Physical count'!A:A,' General Stock Summary View  '!B72)</f>
        <v>0</v>
      </c>
      <c r="AD72" s="6">
        <f t="shared" si="26"/>
        <v>0</v>
      </c>
      <c r="AE72" s="7">
        <f t="shared" si="27"/>
        <v>0</v>
      </c>
      <c r="AF72" s="8">
        <f t="shared" si="28"/>
        <v>-7.916666666666667</v>
      </c>
      <c r="AG72" s="112"/>
    </row>
    <row r="73" spans="2:33" s="113" customFormat="1" ht="61.15">
      <c r="B73" s="117" t="s">
        <v>102</v>
      </c>
      <c r="C73" s="111" t="s">
        <v>58</v>
      </c>
      <c r="D73" s="11">
        <f>SUMIFS('XBS '!T:T,'XBS '!C:C,' General Stock Summary View  '!C73,'XBS '!L:L,' General Stock Summary View  '!B73)</f>
        <v>75.38333333333334</v>
      </c>
      <c r="E73" s="2">
        <f>SUMIFS('Blocked for Processing'!P:P,'Blocked for Processing'!I:I,' General Stock Summary View  '!B73,'Blocked for Processing'!C:C,' General Stock Summary View  '!C73)</f>
        <v>0</v>
      </c>
      <c r="F73" s="122">
        <f t="shared" si="17"/>
        <v>75.38333333333334</v>
      </c>
      <c r="G73" s="148">
        <f>SUMIFS('XBS '!T:T,'XBS '!H:H,' General Stock Summary View  '!$G$2,'XBS '!L:L,' General Stock Summary View  '!B73,'XBS '!C:C,' General Stock Summary View  '!C73)</f>
        <v>0</v>
      </c>
      <c r="H73" s="3">
        <f>SUMIFS('PowerApp_Physical count'!H:H,'PowerApp_Physical count'!B:B,' General Stock Summary View  '!$G$2,'PowerApp_Physical count'!C:C,' General Stock Summary View  '!C73,'PowerApp_Physical count'!A:A,' General Stock Summary View  '!B73)</f>
        <v>0</v>
      </c>
      <c r="I73" s="154">
        <f t="shared" si="16"/>
        <v>0</v>
      </c>
      <c r="J73" s="11">
        <f>SUMIFS('XBS '!T:T,'XBS '!H:H,' General Stock Summary View  '!$J$2,'XBS '!L:L,' General Stock Summary View  '!B73,'XBS '!C:C,' General Stock Summary View  '!C73)</f>
        <v>0</v>
      </c>
      <c r="K73" s="157">
        <f>SUMIFS('PowerApp_Physical count'!H:H,'PowerApp_Physical count'!B:B,' General Stock Summary View  '!$J$2,'PowerApp_Physical count'!C:C,' General Stock Summary View  '!C73,'PowerApp_Physical count'!A:A,' General Stock Summary View  '!B73)</f>
        <v>0</v>
      </c>
      <c r="L73" s="127">
        <f t="shared" si="18"/>
        <v>0</v>
      </c>
      <c r="M73" s="126">
        <f t="shared" si="19"/>
        <v>0</v>
      </c>
      <c r="N73" s="11">
        <f t="shared" si="20"/>
        <v>0</v>
      </c>
      <c r="O73" s="144">
        <f t="shared" si="21"/>
        <v>0</v>
      </c>
      <c r="P73" s="2">
        <f>SUMIFS('XBS '!T:T,'XBS '!H:H,' General Stock Summary View  '!$P$2,'XBS '!L:L,' General Stock Summary View  '!B73,'XBS '!C:C,' General Stock Summary View  '!C73)</f>
        <v>0</v>
      </c>
      <c r="Q73" s="3">
        <f>SUMIFS('PowerApp_Physical count'!H:H,'PowerApp_Physical count'!B:B,' General Stock Summary View  '!$P$2,'PowerApp_Physical count'!C:C,' General Stock Summary View  '!C73,'PowerApp_Physical count'!A:A,' General Stock Summary View  '!B73)</f>
        <v>0</v>
      </c>
      <c r="R73" s="4">
        <f t="shared" si="22"/>
        <v>0</v>
      </c>
      <c r="S73" s="5">
        <f>SUMIFS('XBS '!T:T,'XBS '!L:L,' General Stock Summary View  '!B73,'XBS '!H:H,' General Stock Summary View  '!$S$2,'XBS '!C:C,' General Stock Summary View  '!C73)</f>
        <v>0</v>
      </c>
      <c r="T73" s="3">
        <f>SUMIFS('PowerApp_Physical count'!H:H,'PowerApp_Physical count'!B:B,' General Stock Summary View  '!$S$2,'PowerApp_Physical count'!C:C,' General Stock Summary View  '!C73,'PowerApp_Physical count'!A:A,' General Stock Summary View  '!B73)</f>
        <v>0</v>
      </c>
      <c r="U73" s="4">
        <f t="shared" si="23"/>
        <v>0</v>
      </c>
      <c r="V73" s="2">
        <f>SUMIFS('XBS '!T:T,'XBS '!H:H,' General Stock Summary View  '!$V$2,'XBS '!B:B,' General Stock Summary View  '!C73,'XBS '!L:L,' General Stock Summary View  '!B73)</f>
        <v>0</v>
      </c>
      <c r="W73" s="3">
        <f>SUMIFS('PowerApp_Physical count'!H:H,'PowerApp_Physical count'!B:B,' General Stock Summary View  '!$V$2,'PowerApp_Physical count'!C:C,' General Stock Summary View  '!C73,'PowerApp_Physical count'!A:A,' General Stock Summary View  '!B73)</f>
        <v>0</v>
      </c>
      <c r="X73" s="4">
        <f t="shared" si="24"/>
        <v>0</v>
      </c>
      <c r="Y73" s="5">
        <f>SUMIFS('XBS '!T:T,'XBS '!H:H,' General Stock Summary View  '!$Y$2,'XBS '!B:B,' General Stock Summary View  '!C73,'XBS '!L:L,' General Stock Summary View  '!B73)</f>
        <v>75.38333333333334</v>
      </c>
      <c r="Z73" s="3">
        <f>SUMIFS('PowerApp_Physical count'!H:H,'PowerApp_Physical count'!B:B,' General Stock Summary View  '!$Y$2,'PowerApp_Physical count'!C:C,' General Stock Summary View  '!C73,'PowerApp_Physical count'!A:A,' General Stock Summary View  '!B73)</f>
        <v>0</v>
      </c>
      <c r="AA73" s="4">
        <f t="shared" si="25"/>
        <v>-75.38333333333334</v>
      </c>
      <c r="AB73" s="5">
        <f>SUMIFS('XBS '!T:T,'XBS '!H:H,' General Stock Summary View  '!$AB$2,'XBS '!B:B,' General Stock Summary View  '!C73,'XBS '!L:L,' General Stock Summary View  '!B73)</f>
        <v>0</v>
      </c>
      <c r="AC73" s="3">
        <f>SUMIFS('PowerApp_Physical count'!H:H,'PowerApp_Physical count'!B:B,' General Stock Summary View  '!$AB$2,'PowerApp_Physical count'!C:C,' General Stock Summary View  '!C73,'PowerApp_Physical count'!A:A,' General Stock Summary View  '!B73)</f>
        <v>0</v>
      </c>
      <c r="AD73" s="6">
        <f t="shared" si="26"/>
        <v>0</v>
      </c>
      <c r="AE73" s="7">
        <f t="shared" si="27"/>
        <v>0</v>
      </c>
      <c r="AF73" s="8">
        <f t="shared" si="28"/>
        <v>-75.38333333333334</v>
      </c>
      <c r="AG73" s="112"/>
    </row>
    <row r="74" spans="2:33" s="113" customFormat="1" ht="61.15">
      <c r="B74" s="117" t="s">
        <v>103</v>
      </c>
      <c r="C74" s="111" t="s">
        <v>58</v>
      </c>
      <c r="D74" s="11">
        <f>SUMIFS('XBS '!T:T,'XBS '!C:C,' General Stock Summary View  '!C74,'XBS '!L:L,' General Stock Summary View  '!B74)</f>
        <v>40.5</v>
      </c>
      <c r="E74" s="2">
        <f>SUMIFS('Blocked for Processing'!P:P,'Blocked for Processing'!I:I,' General Stock Summary View  '!B74,'Blocked for Processing'!C:C,' General Stock Summary View  '!C74)</f>
        <v>0</v>
      </c>
      <c r="F74" s="122">
        <f t="shared" si="17"/>
        <v>40.5</v>
      </c>
      <c r="G74" s="148">
        <f>SUMIFS('XBS '!T:T,'XBS '!H:H,' General Stock Summary View  '!$G$2,'XBS '!L:L,' General Stock Summary View  '!B74,'XBS '!C:C,' General Stock Summary View  '!C74)</f>
        <v>0</v>
      </c>
      <c r="H74" s="3">
        <f>SUMIFS('PowerApp_Physical count'!H:H,'PowerApp_Physical count'!B:B,' General Stock Summary View  '!$G$2,'PowerApp_Physical count'!C:C,' General Stock Summary View  '!C74,'PowerApp_Physical count'!A:A,' General Stock Summary View  '!B74)</f>
        <v>0</v>
      </c>
      <c r="I74" s="154">
        <f t="shared" si="16"/>
        <v>0</v>
      </c>
      <c r="J74" s="11">
        <f>SUMIFS('XBS '!T:T,'XBS '!H:H,' General Stock Summary View  '!$J$2,'XBS '!L:L,' General Stock Summary View  '!B74,'XBS '!C:C,' General Stock Summary View  '!C74)</f>
        <v>0</v>
      </c>
      <c r="K74" s="157">
        <f>SUMIFS('PowerApp_Physical count'!H:H,'PowerApp_Physical count'!B:B,' General Stock Summary View  '!$J$2,'PowerApp_Physical count'!C:C,' General Stock Summary View  '!C74,'PowerApp_Physical count'!A:A,' General Stock Summary View  '!B74)</f>
        <v>0</v>
      </c>
      <c r="L74" s="127">
        <f t="shared" si="18"/>
        <v>0</v>
      </c>
      <c r="M74" s="126">
        <f t="shared" si="19"/>
        <v>0</v>
      </c>
      <c r="N74" s="11">
        <f t="shared" si="20"/>
        <v>0</v>
      </c>
      <c r="O74" s="144">
        <f t="shared" si="21"/>
        <v>0</v>
      </c>
      <c r="P74" s="2">
        <f>SUMIFS('XBS '!T:T,'XBS '!H:H,' General Stock Summary View  '!$P$2,'XBS '!L:L,' General Stock Summary View  '!B74,'XBS '!C:C,' General Stock Summary View  '!C74)</f>
        <v>0</v>
      </c>
      <c r="Q74" s="3">
        <f>SUMIFS('PowerApp_Physical count'!H:H,'PowerApp_Physical count'!B:B,' General Stock Summary View  '!$P$2,'PowerApp_Physical count'!C:C,' General Stock Summary View  '!C74,'PowerApp_Physical count'!A:A,' General Stock Summary View  '!B74)</f>
        <v>0</v>
      </c>
      <c r="R74" s="4">
        <f t="shared" si="22"/>
        <v>0</v>
      </c>
      <c r="S74" s="5">
        <f>SUMIFS('XBS '!T:T,'XBS '!L:L,' General Stock Summary View  '!B74,'XBS '!H:H,' General Stock Summary View  '!$S$2,'XBS '!C:C,' General Stock Summary View  '!C74)</f>
        <v>0</v>
      </c>
      <c r="T74" s="3">
        <f>SUMIFS('PowerApp_Physical count'!H:H,'PowerApp_Physical count'!B:B,' General Stock Summary View  '!$S$2,'PowerApp_Physical count'!C:C,' General Stock Summary View  '!C74,'PowerApp_Physical count'!A:A,' General Stock Summary View  '!B74)</f>
        <v>0</v>
      </c>
      <c r="U74" s="4">
        <f t="shared" si="23"/>
        <v>0</v>
      </c>
      <c r="V74" s="2">
        <f>SUMIFS('XBS '!T:T,'XBS '!H:H,' General Stock Summary View  '!$V$2,'XBS '!B:B,' General Stock Summary View  '!C74,'XBS '!L:L,' General Stock Summary View  '!B74)</f>
        <v>40.5</v>
      </c>
      <c r="W74" s="3">
        <f>SUMIFS('PowerApp_Physical count'!H:H,'PowerApp_Physical count'!B:B,' General Stock Summary View  '!$V$2,'PowerApp_Physical count'!C:C,' General Stock Summary View  '!C74,'PowerApp_Physical count'!A:A,' General Stock Summary View  '!B74)</f>
        <v>0</v>
      </c>
      <c r="X74" s="4">
        <f t="shared" si="24"/>
        <v>-40.5</v>
      </c>
      <c r="Y74" s="5">
        <f>SUMIFS('XBS '!T:T,'XBS '!H:H,' General Stock Summary View  '!$Y$2,'XBS '!B:B,' General Stock Summary View  '!C74,'XBS '!L:L,' General Stock Summary View  '!B74)</f>
        <v>0</v>
      </c>
      <c r="Z74" s="3">
        <f>SUMIFS('PowerApp_Physical count'!H:H,'PowerApp_Physical count'!B:B,' General Stock Summary View  '!$Y$2,'PowerApp_Physical count'!C:C,' General Stock Summary View  '!C74,'PowerApp_Physical count'!A:A,' General Stock Summary View  '!B74)</f>
        <v>0</v>
      </c>
      <c r="AA74" s="4">
        <f t="shared" si="25"/>
        <v>0</v>
      </c>
      <c r="AB74" s="5">
        <f>SUMIFS('XBS '!T:T,'XBS '!H:H,' General Stock Summary View  '!$AB$2,'XBS '!B:B,' General Stock Summary View  '!C74,'XBS '!L:L,' General Stock Summary View  '!B74)</f>
        <v>0</v>
      </c>
      <c r="AC74" s="3">
        <f>SUMIFS('PowerApp_Physical count'!H:H,'PowerApp_Physical count'!B:B,' General Stock Summary View  '!$AB$2,'PowerApp_Physical count'!C:C,' General Stock Summary View  '!C74,'PowerApp_Physical count'!A:A,' General Stock Summary View  '!B74)</f>
        <v>0</v>
      </c>
      <c r="AD74" s="6">
        <f t="shared" si="26"/>
        <v>0</v>
      </c>
      <c r="AE74" s="7">
        <f t="shared" si="27"/>
        <v>0</v>
      </c>
      <c r="AF74" s="8">
        <f t="shared" si="28"/>
        <v>-40.5</v>
      </c>
      <c r="AG74" s="112"/>
    </row>
    <row r="75" spans="2:33" s="113" customFormat="1" ht="61.15">
      <c r="B75" s="117" t="s">
        <v>104</v>
      </c>
      <c r="C75" s="111" t="s">
        <v>58</v>
      </c>
      <c r="D75" s="11">
        <f>SUMIFS('XBS '!T:T,'XBS '!C:C,' General Stock Summary View  '!C75,'XBS '!L:L,' General Stock Summary View  '!B75)</f>
        <v>38.6</v>
      </c>
      <c r="E75" s="2">
        <f>SUMIFS('Blocked for Processing'!P:P,'Blocked for Processing'!I:I,' General Stock Summary View  '!B75,'Blocked for Processing'!C:C,' General Stock Summary View  '!C75)</f>
        <v>0</v>
      </c>
      <c r="F75" s="122">
        <f t="shared" si="17"/>
        <v>38.6</v>
      </c>
      <c r="G75" s="148">
        <f>SUMIFS('XBS '!T:T,'XBS '!H:H,' General Stock Summary View  '!$G$2,'XBS '!L:L,' General Stock Summary View  '!B75,'XBS '!C:C,' General Stock Summary View  '!C75)</f>
        <v>0</v>
      </c>
      <c r="H75" s="3">
        <f>SUMIFS('PowerApp_Physical count'!H:H,'PowerApp_Physical count'!B:B,' General Stock Summary View  '!$G$2,'PowerApp_Physical count'!C:C,' General Stock Summary View  '!C75,'PowerApp_Physical count'!A:A,' General Stock Summary View  '!B75)</f>
        <v>0</v>
      </c>
      <c r="I75" s="154">
        <f t="shared" si="16"/>
        <v>0</v>
      </c>
      <c r="J75" s="11">
        <f>SUMIFS('XBS '!T:T,'XBS '!H:H,' General Stock Summary View  '!$J$2,'XBS '!L:L,' General Stock Summary View  '!B75,'XBS '!C:C,' General Stock Summary View  '!C75)</f>
        <v>0</v>
      </c>
      <c r="K75" s="157">
        <f>SUMIFS('PowerApp_Physical count'!H:H,'PowerApp_Physical count'!B:B,' General Stock Summary View  '!$J$2,'PowerApp_Physical count'!C:C,' General Stock Summary View  '!C75,'PowerApp_Physical count'!A:A,' General Stock Summary View  '!B75)</f>
        <v>0</v>
      </c>
      <c r="L75" s="127">
        <f t="shared" si="18"/>
        <v>0</v>
      </c>
      <c r="M75" s="126">
        <f t="shared" si="19"/>
        <v>0</v>
      </c>
      <c r="N75" s="11">
        <f t="shared" si="20"/>
        <v>0</v>
      </c>
      <c r="O75" s="144">
        <f t="shared" si="21"/>
        <v>0</v>
      </c>
      <c r="P75" s="2">
        <f>SUMIFS('XBS '!T:T,'XBS '!H:H,' General Stock Summary View  '!$P$2,'XBS '!L:L,' General Stock Summary View  '!B75,'XBS '!C:C,' General Stock Summary View  '!C75)</f>
        <v>0</v>
      </c>
      <c r="Q75" s="3">
        <f>SUMIFS('PowerApp_Physical count'!H:H,'PowerApp_Physical count'!B:B,' General Stock Summary View  '!$P$2,'PowerApp_Physical count'!C:C,' General Stock Summary View  '!C75,'PowerApp_Physical count'!A:A,' General Stock Summary View  '!B75)</f>
        <v>0</v>
      </c>
      <c r="R75" s="4">
        <f t="shared" si="22"/>
        <v>0</v>
      </c>
      <c r="S75" s="5">
        <f>SUMIFS('XBS '!T:T,'XBS '!L:L,' General Stock Summary View  '!B75,'XBS '!H:H,' General Stock Summary View  '!$S$2,'XBS '!C:C,' General Stock Summary View  '!C75)</f>
        <v>0</v>
      </c>
      <c r="T75" s="3">
        <f>SUMIFS('PowerApp_Physical count'!H:H,'PowerApp_Physical count'!B:B,' General Stock Summary View  '!$S$2,'PowerApp_Physical count'!C:C,' General Stock Summary View  '!C75,'PowerApp_Physical count'!A:A,' General Stock Summary View  '!B75)</f>
        <v>0</v>
      </c>
      <c r="U75" s="4">
        <f t="shared" si="23"/>
        <v>0</v>
      </c>
      <c r="V75" s="2">
        <f>SUMIFS('XBS '!T:T,'XBS '!H:H,' General Stock Summary View  '!$V$2,'XBS '!B:B,' General Stock Summary View  '!C75,'XBS '!L:L,' General Stock Summary View  '!B75)</f>
        <v>38.6</v>
      </c>
      <c r="W75" s="3">
        <f>SUMIFS('PowerApp_Physical count'!H:H,'PowerApp_Physical count'!B:B,' General Stock Summary View  '!$V$2,'PowerApp_Physical count'!C:C,' General Stock Summary View  '!C75,'PowerApp_Physical count'!A:A,' General Stock Summary View  '!B75)</f>
        <v>0</v>
      </c>
      <c r="X75" s="4">
        <f t="shared" si="24"/>
        <v>-38.6</v>
      </c>
      <c r="Y75" s="5">
        <f>SUMIFS('XBS '!T:T,'XBS '!H:H,' General Stock Summary View  '!$Y$2,'XBS '!B:B,' General Stock Summary View  '!C75,'XBS '!L:L,' General Stock Summary View  '!B75)</f>
        <v>0</v>
      </c>
      <c r="Z75" s="3">
        <f>SUMIFS('PowerApp_Physical count'!H:H,'PowerApp_Physical count'!B:B,' General Stock Summary View  '!$Y$2,'PowerApp_Physical count'!C:C,' General Stock Summary View  '!C75,'PowerApp_Physical count'!A:A,' General Stock Summary View  '!B75)</f>
        <v>0</v>
      </c>
      <c r="AA75" s="4">
        <f t="shared" si="25"/>
        <v>0</v>
      </c>
      <c r="AB75" s="5">
        <f>SUMIFS('XBS '!T:T,'XBS '!H:H,' General Stock Summary View  '!$AB$2,'XBS '!B:B,' General Stock Summary View  '!C75,'XBS '!L:L,' General Stock Summary View  '!B75)</f>
        <v>0</v>
      </c>
      <c r="AC75" s="3">
        <f>SUMIFS('PowerApp_Physical count'!H:H,'PowerApp_Physical count'!B:B,' General Stock Summary View  '!$AB$2,'PowerApp_Physical count'!C:C,' General Stock Summary View  '!C75,'PowerApp_Physical count'!A:A,' General Stock Summary View  '!B75)</f>
        <v>0</v>
      </c>
      <c r="AD75" s="6">
        <f t="shared" si="26"/>
        <v>0</v>
      </c>
      <c r="AE75" s="7">
        <f t="shared" si="27"/>
        <v>0</v>
      </c>
      <c r="AF75" s="8">
        <f t="shared" si="28"/>
        <v>-38.6</v>
      </c>
      <c r="AG75" s="112"/>
    </row>
    <row r="76" spans="2:33" s="113" customFormat="1" ht="61.15">
      <c r="B76" s="117" t="s">
        <v>105</v>
      </c>
      <c r="C76" s="111" t="s">
        <v>58</v>
      </c>
      <c r="D76" s="11">
        <f>SUMIFS('XBS '!T:T,'XBS '!C:C,' General Stock Summary View  '!C76,'XBS '!L:L,' General Stock Summary View  '!B76)</f>
        <v>6.6166666666666663</v>
      </c>
      <c r="E76" s="2">
        <f>SUMIFS('Blocked for Processing'!P:P,'Blocked for Processing'!I:I,' General Stock Summary View  '!B76,'Blocked for Processing'!C:C,' General Stock Summary View  '!C76)</f>
        <v>0</v>
      </c>
      <c r="F76" s="122">
        <f t="shared" si="17"/>
        <v>6.6166666666666663</v>
      </c>
      <c r="G76" s="148">
        <f>SUMIFS('XBS '!T:T,'XBS '!H:H,' General Stock Summary View  '!$G$2,'XBS '!L:L,' General Stock Summary View  '!B76,'XBS '!C:C,' General Stock Summary View  '!C76)</f>
        <v>0</v>
      </c>
      <c r="H76" s="3">
        <f>SUMIFS('PowerApp_Physical count'!H:H,'PowerApp_Physical count'!B:B,' General Stock Summary View  '!$G$2,'PowerApp_Physical count'!C:C,' General Stock Summary View  '!C76,'PowerApp_Physical count'!A:A,' General Stock Summary View  '!B76)</f>
        <v>0</v>
      </c>
      <c r="I76" s="154">
        <f t="shared" si="16"/>
        <v>0</v>
      </c>
      <c r="J76" s="11">
        <f>SUMIFS('XBS '!T:T,'XBS '!H:H,' General Stock Summary View  '!$J$2,'XBS '!L:L,' General Stock Summary View  '!B76,'XBS '!C:C,' General Stock Summary View  '!C76)</f>
        <v>0</v>
      </c>
      <c r="K76" s="157">
        <f>SUMIFS('PowerApp_Physical count'!H:H,'PowerApp_Physical count'!B:B,' General Stock Summary View  '!$J$2,'PowerApp_Physical count'!C:C,' General Stock Summary View  '!C76,'PowerApp_Physical count'!A:A,' General Stock Summary View  '!B76)</f>
        <v>0</v>
      </c>
      <c r="L76" s="127">
        <f t="shared" si="18"/>
        <v>0</v>
      </c>
      <c r="M76" s="126">
        <f t="shared" si="19"/>
        <v>0</v>
      </c>
      <c r="N76" s="11">
        <f t="shared" si="20"/>
        <v>0</v>
      </c>
      <c r="O76" s="144">
        <f t="shared" si="21"/>
        <v>0</v>
      </c>
      <c r="P76" s="2">
        <f>SUMIFS('XBS '!T:T,'XBS '!H:H,' General Stock Summary View  '!$P$2,'XBS '!L:L,' General Stock Summary View  '!B76,'XBS '!C:C,' General Stock Summary View  '!C76)</f>
        <v>0</v>
      </c>
      <c r="Q76" s="3">
        <f>SUMIFS('PowerApp_Physical count'!H:H,'PowerApp_Physical count'!B:B,' General Stock Summary View  '!$P$2,'PowerApp_Physical count'!C:C,' General Stock Summary View  '!C76,'PowerApp_Physical count'!A:A,' General Stock Summary View  '!B76)</f>
        <v>0</v>
      </c>
      <c r="R76" s="4">
        <f t="shared" si="22"/>
        <v>0</v>
      </c>
      <c r="S76" s="5">
        <f>SUMIFS('XBS '!T:T,'XBS '!L:L,' General Stock Summary View  '!B76,'XBS '!H:H,' General Stock Summary View  '!$S$2,'XBS '!C:C,' General Stock Summary View  '!C76)</f>
        <v>0</v>
      </c>
      <c r="T76" s="3">
        <f>SUMIFS('PowerApp_Physical count'!H:H,'PowerApp_Physical count'!B:B,' General Stock Summary View  '!$S$2,'PowerApp_Physical count'!C:C,' General Stock Summary View  '!C76,'PowerApp_Physical count'!A:A,' General Stock Summary View  '!B76)</f>
        <v>0</v>
      </c>
      <c r="U76" s="4">
        <f t="shared" si="23"/>
        <v>0</v>
      </c>
      <c r="V76" s="2">
        <f>SUMIFS('XBS '!T:T,'XBS '!H:H,' General Stock Summary View  '!$V$2,'XBS '!B:B,' General Stock Summary View  '!C76,'XBS '!L:L,' General Stock Summary View  '!B76)</f>
        <v>6.6166666666666663</v>
      </c>
      <c r="W76" s="3">
        <f>SUMIFS('PowerApp_Physical count'!H:H,'PowerApp_Physical count'!B:B,' General Stock Summary View  '!$V$2,'PowerApp_Physical count'!C:C,' General Stock Summary View  '!C76,'PowerApp_Physical count'!A:A,' General Stock Summary View  '!B76)</f>
        <v>0</v>
      </c>
      <c r="X76" s="4">
        <f t="shared" si="24"/>
        <v>-6.6166666666666663</v>
      </c>
      <c r="Y76" s="5">
        <f>SUMIFS('XBS '!T:T,'XBS '!H:H,' General Stock Summary View  '!$Y$2,'XBS '!B:B,' General Stock Summary View  '!C76,'XBS '!L:L,' General Stock Summary View  '!B76)</f>
        <v>0</v>
      </c>
      <c r="Z76" s="3">
        <f>SUMIFS('PowerApp_Physical count'!H:H,'PowerApp_Physical count'!B:B,' General Stock Summary View  '!$Y$2,'PowerApp_Physical count'!C:C,' General Stock Summary View  '!C76,'PowerApp_Physical count'!A:A,' General Stock Summary View  '!B76)</f>
        <v>0</v>
      </c>
      <c r="AA76" s="4">
        <f t="shared" si="25"/>
        <v>0</v>
      </c>
      <c r="AB76" s="5">
        <f>SUMIFS('XBS '!T:T,'XBS '!H:H,' General Stock Summary View  '!$AB$2,'XBS '!B:B,' General Stock Summary View  '!C76,'XBS '!L:L,' General Stock Summary View  '!B76)</f>
        <v>0</v>
      </c>
      <c r="AC76" s="3">
        <f>SUMIFS('PowerApp_Physical count'!H:H,'PowerApp_Physical count'!B:B,' General Stock Summary View  '!$AB$2,'PowerApp_Physical count'!C:C,' General Stock Summary View  '!C76,'PowerApp_Physical count'!A:A,' General Stock Summary View  '!B76)</f>
        <v>0</v>
      </c>
      <c r="AD76" s="6">
        <f t="shared" si="26"/>
        <v>0</v>
      </c>
      <c r="AE76" s="7">
        <f t="shared" si="27"/>
        <v>0</v>
      </c>
      <c r="AF76" s="8">
        <f t="shared" si="28"/>
        <v>-6.6166666666666663</v>
      </c>
      <c r="AG76" s="112"/>
    </row>
    <row r="77" spans="2:33" s="113" customFormat="1" ht="61.15">
      <c r="B77" s="117" t="s">
        <v>106</v>
      </c>
      <c r="C77" s="111" t="s">
        <v>58</v>
      </c>
      <c r="D77" s="11">
        <f>SUMIFS('XBS '!T:T,'XBS '!C:C,' General Stock Summary View  '!C77,'XBS '!L:L,' General Stock Summary View  '!B77)</f>
        <v>62</v>
      </c>
      <c r="E77" s="2">
        <f>SUMIFS('Blocked for Processing'!P:P,'Blocked for Processing'!I:I,' General Stock Summary View  '!B77,'Blocked for Processing'!C:C,' General Stock Summary View  '!C77)</f>
        <v>0</v>
      </c>
      <c r="F77" s="122">
        <f t="shared" si="17"/>
        <v>62</v>
      </c>
      <c r="G77" s="148">
        <f>SUMIFS('XBS '!T:T,'XBS '!H:H,' General Stock Summary View  '!$G$2,'XBS '!L:L,' General Stock Summary View  '!B77,'XBS '!C:C,' General Stock Summary View  '!C77)</f>
        <v>0</v>
      </c>
      <c r="H77" s="3">
        <f>SUMIFS('PowerApp_Physical count'!H:H,'PowerApp_Physical count'!B:B,' General Stock Summary View  '!$G$2,'PowerApp_Physical count'!C:C,' General Stock Summary View  '!C77,'PowerApp_Physical count'!A:A,' General Stock Summary View  '!B77)</f>
        <v>0</v>
      </c>
      <c r="I77" s="154">
        <f t="shared" si="16"/>
        <v>0</v>
      </c>
      <c r="J77" s="11">
        <f>SUMIFS('XBS '!T:T,'XBS '!H:H,' General Stock Summary View  '!$J$2,'XBS '!L:L,' General Stock Summary View  '!B77,'XBS '!C:C,' General Stock Summary View  '!C77)</f>
        <v>0</v>
      </c>
      <c r="K77" s="157">
        <f>SUMIFS('PowerApp_Physical count'!H:H,'PowerApp_Physical count'!B:B,' General Stock Summary View  '!$J$2,'PowerApp_Physical count'!C:C,' General Stock Summary View  '!C77,'PowerApp_Physical count'!A:A,' General Stock Summary View  '!B77)</f>
        <v>0</v>
      </c>
      <c r="L77" s="127">
        <f t="shared" si="18"/>
        <v>0</v>
      </c>
      <c r="M77" s="126">
        <f t="shared" si="19"/>
        <v>0</v>
      </c>
      <c r="N77" s="11">
        <f t="shared" si="20"/>
        <v>0</v>
      </c>
      <c r="O77" s="144">
        <f t="shared" si="21"/>
        <v>0</v>
      </c>
      <c r="P77" s="2">
        <f>SUMIFS('XBS '!T:T,'XBS '!H:H,' General Stock Summary View  '!$P$2,'XBS '!L:L,' General Stock Summary View  '!B77,'XBS '!C:C,' General Stock Summary View  '!C77)</f>
        <v>0</v>
      </c>
      <c r="Q77" s="3">
        <f>SUMIFS('PowerApp_Physical count'!H:H,'PowerApp_Physical count'!B:B,' General Stock Summary View  '!$P$2,'PowerApp_Physical count'!C:C,' General Stock Summary View  '!C77,'PowerApp_Physical count'!A:A,' General Stock Summary View  '!B77)</f>
        <v>0</v>
      </c>
      <c r="R77" s="4">
        <f t="shared" si="22"/>
        <v>0</v>
      </c>
      <c r="S77" s="5">
        <f>SUMIFS('XBS '!T:T,'XBS '!L:L,' General Stock Summary View  '!B77,'XBS '!H:H,' General Stock Summary View  '!$S$2,'XBS '!C:C,' General Stock Summary View  '!C77)</f>
        <v>0</v>
      </c>
      <c r="T77" s="3">
        <f>SUMIFS('PowerApp_Physical count'!H:H,'PowerApp_Physical count'!B:B,' General Stock Summary View  '!$S$2,'PowerApp_Physical count'!C:C,' General Stock Summary View  '!C77,'PowerApp_Physical count'!A:A,' General Stock Summary View  '!B77)</f>
        <v>0</v>
      </c>
      <c r="U77" s="4">
        <f t="shared" si="23"/>
        <v>0</v>
      </c>
      <c r="V77" s="2">
        <f>SUMIFS('XBS '!T:T,'XBS '!H:H,' General Stock Summary View  '!$V$2,'XBS '!B:B,' General Stock Summary View  '!C77,'XBS '!L:L,' General Stock Summary View  '!B77)</f>
        <v>62</v>
      </c>
      <c r="W77" s="3">
        <f>SUMIFS('PowerApp_Physical count'!H:H,'PowerApp_Physical count'!B:B,' General Stock Summary View  '!$V$2,'PowerApp_Physical count'!C:C,' General Stock Summary View  '!C77,'PowerApp_Physical count'!A:A,' General Stock Summary View  '!B77)</f>
        <v>0</v>
      </c>
      <c r="X77" s="4">
        <f t="shared" si="24"/>
        <v>-62</v>
      </c>
      <c r="Y77" s="5">
        <f>SUMIFS('XBS '!T:T,'XBS '!H:H,' General Stock Summary View  '!$Y$2,'XBS '!B:B,' General Stock Summary View  '!C77,'XBS '!L:L,' General Stock Summary View  '!B77)</f>
        <v>0</v>
      </c>
      <c r="Z77" s="3">
        <f>SUMIFS('PowerApp_Physical count'!H:H,'PowerApp_Physical count'!B:B,' General Stock Summary View  '!$Y$2,'PowerApp_Physical count'!C:C,' General Stock Summary View  '!C77,'PowerApp_Physical count'!A:A,' General Stock Summary View  '!B77)</f>
        <v>0</v>
      </c>
      <c r="AA77" s="4">
        <f t="shared" si="25"/>
        <v>0</v>
      </c>
      <c r="AB77" s="5">
        <f>SUMIFS('XBS '!T:T,'XBS '!H:H,' General Stock Summary View  '!$AB$2,'XBS '!B:B,' General Stock Summary View  '!C77,'XBS '!L:L,' General Stock Summary View  '!B77)</f>
        <v>0</v>
      </c>
      <c r="AC77" s="3">
        <f>SUMIFS('PowerApp_Physical count'!H:H,'PowerApp_Physical count'!B:B,' General Stock Summary View  '!$AB$2,'PowerApp_Physical count'!C:C,' General Stock Summary View  '!C77,'PowerApp_Physical count'!A:A,' General Stock Summary View  '!B77)</f>
        <v>0</v>
      </c>
      <c r="AD77" s="6">
        <f t="shared" si="26"/>
        <v>0</v>
      </c>
      <c r="AE77" s="7">
        <f t="shared" si="27"/>
        <v>0</v>
      </c>
      <c r="AF77" s="8">
        <f t="shared" si="28"/>
        <v>-62</v>
      </c>
      <c r="AG77" s="112"/>
    </row>
    <row r="78" spans="2:33" s="113" customFormat="1" ht="61.15">
      <c r="B78" s="117" t="s">
        <v>107</v>
      </c>
      <c r="C78" s="111" t="s">
        <v>58</v>
      </c>
      <c r="D78" s="11">
        <f>SUMIFS('XBS '!T:T,'XBS '!C:C,' General Stock Summary View  '!C78,'XBS '!L:L,' General Stock Summary View  '!B78)</f>
        <v>6.7</v>
      </c>
      <c r="E78" s="2">
        <f>SUMIFS('Blocked for Processing'!P:P,'Blocked for Processing'!I:I,' General Stock Summary View  '!B78,'Blocked for Processing'!C:C,' General Stock Summary View  '!C78)</f>
        <v>0</v>
      </c>
      <c r="F78" s="122">
        <f t="shared" si="17"/>
        <v>6.7</v>
      </c>
      <c r="G78" s="148">
        <f>SUMIFS('XBS '!T:T,'XBS '!H:H,' General Stock Summary View  '!$G$2,'XBS '!L:L,' General Stock Summary View  '!B78,'XBS '!C:C,' General Stock Summary View  '!C78)</f>
        <v>0</v>
      </c>
      <c r="H78" s="3">
        <f>SUMIFS('PowerApp_Physical count'!H:H,'PowerApp_Physical count'!B:B,' General Stock Summary View  '!$G$2,'PowerApp_Physical count'!C:C,' General Stock Summary View  '!C78,'PowerApp_Physical count'!A:A,' General Stock Summary View  '!B78)</f>
        <v>0</v>
      </c>
      <c r="I78" s="154">
        <f t="shared" si="16"/>
        <v>0</v>
      </c>
      <c r="J78" s="11">
        <f>SUMIFS('XBS '!T:T,'XBS '!H:H,' General Stock Summary View  '!$J$2,'XBS '!L:L,' General Stock Summary View  '!B78,'XBS '!C:C,' General Stock Summary View  '!C78)</f>
        <v>0</v>
      </c>
      <c r="K78" s="157">
        <f>SUMIFS('PowerApp_Physical count'!H:H,'PowerApp_Physical count'!B:B,' General Stock Summary View  '!$J$2,'PowerApp_Physical count'!C:C,' General Stock Summary View  '!C78,'PowerApp_Physical count'!A:A,' General Stock Summary View  '!B78)</f>
        <v>0</v>
      </c>
      <c r="L78" s="127">
        <f t="shared" si="18"/>
        <v>0</v>
      </c>
      <c r="M78" s="126">
        <f t="shared" si="19"/>
        <v>0</v>
      </c>
      <c r="N78" s="11">
        <f t="shared" si="20"/>
        <v>0</v>
      </c>
      <c r="O78" s="144">
        <f t="shared" si="21"/>
        <v>0</v>
      </c>
      <c r="P78" s="2">
        <f>SUMIFS('XBS '!T:T,'XBS '!H:H,' General Stock Summary View  '!$P$2,'XBS '!L:L,' General Stock Summary View  '!B78,'XBS '!C:C,' General Stock Summary View  '!C78)</f>
        <v>0</v>
      </c>
      <c r="Q78" s="3">
        <f>SUMIFS('PowerApp_Physical count'!H:H,'PowerApp_Physical count'!B:B,' General Stock Summary View  '!$P$2,'PowerApp_Physical count'!C:C,' General Stock Summary View  '!C78,'PowerApp_Physical count'!A:A,' General Stock Summary View  '!B78)</f>
        <v>0</v>
      </c>
      <c r="R78" s="4">
        <f t="shared" si="22"/>
        <v>0</v>
      </c>
      <c r="S78" s="5">
        <f>SUMIFS('XBS '!T:T,'XBS '!L:L,' General Stock Summary View  '!B78,'XBS '!H:H,' General Stock Summary View  '!$S$2,'XBS '!C:C,' General Stock Summary View  '!C78)</f>
        <v>0</v>
      </c>
      <c r="T78" s="3">
        <f>SUMIFS('PowerApp_Physical count'!H:H,'PowerApp_Physical count'!B:B,' General Stock Summary View  '!$S$2,'PowerApp_Physical count'!C:C,' General Stock Summary View  '!C78,'PowerApp_Physical count'!A:A,' General Stock Summary View  '!B78)</f>
        <v>0</v>
      </c>
      <c r="U78" s="4">
        <f t="shared" si="23"/>
        <v>0</v>
      </c>
      <c r="V78" s="2">
        <f>SUMIFS('XBS '!T:T,'XBS '!H:H,' General Stock Summary View  '!$V$2,'XBS '!B:B,' General Stock Summary View  '!C78,'XBS '!L:L,' General Stock Summary View  '!B78)</f>
        <v>6.7</v>
      </c>
      <c r="W78" s="3">
        <f>SUMIFS('PowerApp_Physical count'!H:H,'PowerApp_Physical count'!B:B,' General Stock Summary View  '!$V$2,'PowerApp_Physical count'!C:C,' General Stock Summary View  '!C78,'PowerApp_Physical count'!A:A,' General Stock Summary View  '!B78)</f>
        <v>0</v>
      </c>
      <c r="X78" s="4">
        <f t="shared" si="24"/>
        <v>-6.7</v>
      </c>
      <c r="Y78" s="5">
        <f>SUMIFS('XBS '!T:T,'XBS '!H:H,' General Stock Summary View  '!$Y$2,'XBS '!B:B,' General Stock Summary View  '!C78,'XBS '!L:L,' General Stock Summary View  '!B78)</f>
        <v>0</v>
      </c>
      <c r="Z78" s="3">
        <f>SUMIFS('PowerApp_Physical count'!H:H,'PowerApp_Physical count'!B:B,' General Stock Summary View  '!$Y$2,'PowerApp_Physical count'!C:C,' General Stock Summary View  '!C78,'PowerApp_Physical count'!A:A,' General Stock Summary View  '!B78)</f>
        <v>0</v>
      </c>
      <c r="AA78" s="4">
        <f t="shared" si="25"/>
        <v>0</v>
      </c>
      <c r="AB78" s="5">
        <f>SUMIFS('XBS '!T:T,'XBS '!H:H,' General Stock Summary View  '!$AB$2,'XBS '!B:B,' General Stock Summary View  '!C78,'XBS '!L:L,' General Stock Summary View  '!B78)</f>
        <v>0</v>
      </c>
      <c r="AC78" s="3">
        <f>SUMIFS('PowerApp_Physical count'!H:H,'PowerApp_Physical count'!B:B,' General Stock Summary View  '!$AB$2,'PowerApp_Physical count'!C:C,' General Stock Summary View  '!C78,'PowerApp_Physical count'!A:A,' General Stock Summary View  '!B78)</f>
        <v>0</v>
      </c>
      <c r="AD78" s="6">
        <f t="shared" si="26"/>
        <v>0</v>
      </c>
      <c r="AE78" s="7">
        <f t="shared" si="27"/>
        <v>0</v>
      </c>
      <c r="AF78" s="8">
        <f t="shared" si="28"/>
        <v>-6.7</v>
      </c>
      <c r="AG78" s="112"/>
    </row>
    <row r="79" spans="2:33" s="113" customFormat="1" ht="61.15">
      <c r="B79" s="117" t="s">
        <v>108</v>
      </c>
      <c r="C79" s="111" t="s">
        <v>58</v>
      </c>
      <c r="D79" s="11">
        <f>SUMIFS('XBS '!T:T,'XBS '!C:C,' General Stock Summary View  '!C79,'XBS '!L:L,' General Stock Summary View  '!B79)</f>
        <v>1</v>
      </c>
      <c r="E79" s="2">
        <f>SUMIFS('Blocked for Processing'!P:P,'Blocked for Processing'!I:I,' General Stock Summary View  '!B79,'Blocked for Processing'!C:C,' General Stock Summary View  '!C79)</f>
        <v>0</v>
      </c>
      <c r="F79" s="122">
        <f t="shared" si="17"/>
        <v>1</v>
      </c>
      <c r="G79" s="148">
        <f>SUMIFS('XBS '!T:T,'XBS '!H:H,' General Stock Summary View  '!$G$2,'XBS '!L:L,' General Stock Summary View  '!B79,'XBS '!C:C,' General Stock Summary View  '!C79)</f>
        <v>0</v>
      </c>
      <c r="H79" s="3">
        <f>SUMIFS('PowerApp_Physical count'!H:H,'PowerApp_Physical count'!B:B,' General Stock Summary View  '!$G$2,'PowerApp_Physical count'!C:C,' General Stock Summary View  '!C79,'PowerApp_Physical count'!A:A,' General Stock Summary View  '!B79)</f>
        <v>0</v>
      </c>
      <c r="I79" s="154">
        <f t="shared" si="16"/>
        <v>0</v>
      </c>
      <c r="J79" s="11">
        <f>SUMIFS('XBS '!T:T,'XBS '!H:H,' General Stock Summary View  '!$J$2,'XBS '!L:L,' General Stock Summary View  '!B79,'XBS '!C:C,' General Stock Summary View  '!C79)</f>
        <v>0</v>
      </c>
      <c r="K79" s="157">
        <f>SUMIFS('PowerApp_Physical count'!H:H,'PowerApp_Physical count'!B:B,' General Stock Summary View  '!$J$2,'PowerApp_Physical count'!C:C,' General Stock Summary View  '!C79,'PowerApp_Physical count'!A:A,' General Stock Summary View  '!B79)</f>
        <v>0</v>
      </c>
      <c r="L79" s="127">
        <f t="shared" si="18"/>
        <v>0</v>
      </c>
      <c r="M79" s="126">
        <f t="shared" si="19"/>
        <v>0</v>
      </c>
      <c r="N79" s="11">
        <f t="shared" si="20"/>
        <v>0</v>
      </c>
      <c r="O79" s="144">
        <f t="shared" si="21"/>
        <v>0</v>
      </c>
      <c r="P79" s="2">
        <f>SUMIFS('XBS '!T:T,'XBS '!H:H,' General Stock Summary View  '!$P$2,'XBS '!L:L,' General Stock Summary View  '!B79,'XBS '!C:C,' General Stock Summary View  '!C79)</f>
        <v>0</v>
      </c>
      <c r="Q79" s="3">
        <f>SUMIFS('PowerApp_Physical count'!H:H,'PowerApp_Physical count'!B:B,' General Stock Summary View  '!$P$2,'PowerApp_Physical count'!C:C,' General Stock Summary View  '!C79,'PowerApp_Physical count'!A:A,' General Stock Summary View  '!B79)</f>
        <v>0</v>
      </c>
      <c r="R79" s="4">
        <f t="shared" si="22"/>
        <v>0</v>
      </c>
      <c r="S79" s="5">
        <f>SUMIFS('XBS '!T:T,'XBS '!L:L,' General Stock Summary View  '!B79,'XBS '!H:H,' General Stock Summary View  '!$S$2,'XBS '!C:C,' General Stock Summary View  '!C79)</f>
        <v>1</v>
      </c>
      <c r="T79" s="3">
        <f>SUMIFS('PowerApp_Physical count'!H:H,'PowerApp_Physical count'!B:B,' General Stock Summary View  '!$S$2,'PowerApp_Physical count'!C:C,' General Stock Summary View  '!C79,'PowerApp_Physical count'!A:A,' General Stock Summary View  '!B79)</f>
        <v>0</v>
      </c>
      <c r="U79" s="4">
        <f t="shared" si="23"/>
        <v>-1</v>
      </c>
      <c r="V79" s="2">
        <f>SUMIFS('XBS '!T:T,'XBS '!H:H,' General Stock Summary View  '!$V$2,'XBS '!B:B,' General Stock Summary View  '!C79,'XBS '!L:L,' General Stock Summary View  '!B79)</f>
        <v>0</v>
      </c>
      <c r="W79" s="3">
        <f>SUMIFS('PowerApp_Physical count'!H:H,'PowerApp_Physical count'!B:B,' General Stock Summary View  '!$V$2,'PowerApp_Physical count'!C:C,' General Stock Summary View  '!C79,'PowerApp_Physical count'!A:A,' General Stock Summary View  '!B79)</f>
        <v>0</v>
      </c>
      <c r="X79" s="4">
        <f t="shared" si="24"/>
        <v>0</v>
      </c>
      <c r="Y79" s="5">
        <f>SUMIFS('XBS '!T:T,'XBS '!H:H,' General Stock Summary View  '!$Y$2,'XBS '!B:B,' General Stock Summary View  '!C79,'XBS '!L:L,' General Stock Summary View  '!B79)</f>
        <v>0</v>
      </c>
      <c r="Z79" s="3">
        <f>SUMIFS('PowerApp_Physical count'!H:H,'PowerApp_Physical count'!B:B,' General Stock Summary View  '!$Y$2,'PowerApp_Physical count'!C:C,' General Stock Summary View  '!C79,'PowerApp_Physical count'!A:A,' General Stock Summary View  '!B79)</f>
        <v>0</v>
      </c>
      <c r="AA79" s="4">
        <f t="shared" si="25"/>
        <v>0</v>
      </c>
      <c r="AB79" s="5">
        <f>SUMIFS('XBS '!T:T,'XBS '!H:H,' General Stock Summary View  '!$AB$2,'XBS '!B:B,' General Stock Summary View  '!C79,'XBS '!L:L,' General Stock Summary View  '!B79)</f>
        <v>0</v>
      </c>
      <c r="AC79" s="3">
        <f>SUMIFS('PowerApp_Physical count'!H:H,'PowerApp_Physical count'!B:B,' General Stock Summary View  '!$AB$2,'PowerApp_Physical count'!C:C,' General Stock Summary View  '!C79,'PowerApp_Physical count'!A:A,' General Stock Summary View  '!B79)</f>
        <v>0</v>
      </c>
      <c r="AD79" s="6">
        <f t="shared" si="26"/>
        <v>0</v>
      </c>
      <c r="AE79" s="7">
        <f t="shared" si="27"/>
        <v>0</v>
      </c>
      <c r="AF79" s="8">
        <f t="shared" si="28"/>
        <v>-1</v>
      </c>
      <c r="AG79" s="112"/>
    </row>
    <row r="80" spans="2:33" s="113" customFormat="1" ht="61.15">
      <c r="B80" s="117" t="s">
        <v>109</v>
      </c>
      <c r="C80" s="111" t="s">
        <v>58</v>
      </c>
      <c r="D80" s="11">
        <f>SUMIFS('XBS '!T:T,'XBS '!C:C,' General Stock Summary View  '!C80,'XBS '!L:L,' General Stock Summary View  '!B80)</f>
        <v>1</v>
      </c>
      <c r="E80" s="2">
        <f>SUMIFS('Blocked for Processing'!P:P,'Blocked for Processing'!I:I,' General Stock Summary View  '!B80,'Blocked for Processing'!C:C,' General Stock Summary View  '!C80)</f>
        <v>0</v>
      </c>
      <c r="F80" s="122">
        <f t="shared" si="17"/>
        <v>1</v>
      </c>
      <c r="G80" s="148">
        <f>SUMIFS('XBS '!T:T,'XBS '!H:H,' General Stock Summary View  '!$G$2,'XBS '!L:L,' General Stock Summary View  '!B80,'XBS '!C:C,' General Stock Summary View  '!C80)</f>
        <v>0</v>
      </c>
      <c r="H80" s="3">
        <f>SUMIFS('PowerApp_Physical count'!H:H,'PowerApp_Physical count'!B:B,' General Stock Summary View  '!$G$2,'PowerApp_Physical count'!C:C,' General Stock Summary View  '!C80,'PowerApp_Physical count'!A:A,' General Stock Summary View  '!B80)</f>
        <v>0</v>
      </c>
      <c r="I80" s="154">
        <f t="shared" si="16"/>
        <v>0</v>
      </c>
      <c r="J80" s="11">
        <f>SUMIFS('XBS '!T:T,'XBS '!H:H,' General Stock Summary View  '!$J$2,'XBS '!L:L,' General Stock Summary View  '!B80,'XBS '!C:C,' General Stock Summary View  '!C80)</f>
        <v>0</v>
      </c>
      <c r="K80" s="157">
        <f>SUMIFS('PowerApp_Physical count'!H:H,'PowerApp_Physical count'!B:B,' General Stock Summary View  '!$J$2,'PowerApp_Physical count'!C:C,' General Stock Summary View  '!C80,'PowerApp_Physical count'!A:A,' General Stock Summary View  '!B80)</f>
        <v>0</v>
      </c>
      <c r="L80" s="127">
        <f t="shared" si="18"/>
        <v>0</v>
      </c>
      <c r="M80" s="126">
        <f t="shared" si="19"/>
        <v>0</v>
      </c>
      <c r="N80" s="11">
        <f t="shared" si="20"/>
        <v>0</v>
      </c>
      <c r="O80" s="144">
        <f t="shared" si="21"/>
        <v>0</v>
      </c>
      <c r="P80" s="2">
        <f>SUMIFS('XBS '!T:T,'XBS '!H:H,' General Stock Summary View  '!$P$2,'XBS '!L:L,' General Stock Summary View  '!B80,'XBS '!C:C,' General Stock Summary View  '!C80)</f>
        <v>0</v>
      </c>
      <c r="Q80" s="3">
        <f>SUMIFS('PowerApp_Physical count'!H:H,'PowerApp_Physical count'!B:B,' General Stock Summary View  '!$P$2,'PowerApp_Physical count'!C:C,' General Stock Summary View  '!C80,'PowerApp_Physical count'!A:A,' General Stock Summary View  '!B80)</f>
        <v>0</v>
      </c>
      <c r="R80" s="4">
        <f t="shared" si="22"/>
        <v>0</v>
      </c>
      <c r="S80" s="5">
        <f>SUMIFS('XBS '!T:T,'XBS '!L:L,' General Stock Summary View  '!B80,'XBS '!H:H,' General Stock Summary View  '!$S$2,'XBS '!C:C,' General Stock Summary View  '!C80)</f>
        <v>1</v>
      </c>
      <c r="T80" s="3">
        <f>SUMIFS('PowerApp_Physical count'!H:H,'PowerApp_Physical count'!B:B,' General Stock Summary View  '!$S$2,'PowerApp_Physical count'!C:C,' General Stock Summary View  '!C80,'PowerApp_Physical count'!A:A,' General Stock Summary View  '!B80)</f>
        <v>0</v>
      </c>
      <c r="U80" s="4">
        <f t="shared" si="23"/>
        <v>-1</v>
      </c>
      <c r="V80" s="2">
        <f>SUMIFS('XBS '!T:T,'XBS '!H:H,' General Stock Summary View  '!$V$2,'XBS '!B:B,' General Stock Summary View  '!C80,'XBS '!L:L,' General Stock Summary View  '!B80)</f>
        <v>0</v>
      </c>
      <c r="W80" s="3">
        <f>SUMIFS('PowerApp_Physical count'!H:H,'PowerApp_Physical count'!B:B,' General Stock Summary View  '!$V$2,'PowerApp_Physical count'!C:C,' General Stock Summary View  '!C80,'PowerApp_Physical count'!A:A,' General Stock Summary View  '!B80)</f>
        <v>0</v>
      </c>
      <c r="X80" s="4">
        <f t="shared" si="24"/>
        <v>0</v>
      </c>
      <c r="Y80" s="5">
        <f>SUMIFS('XBS '!T:T,'XBS '!H:H,' General Stock Summary View  '!$Y$2,'XBS '!B:B,' General Stock Summary View  '!C80,'XBS '!L:L,' General Stock Summary View  '!B80)</f>
        <v>0</v>
      </c>
      <c r="Z80" s="3">
        <f>SUMIFS('PowerApp_Physical count'!H:H,'PowerApp_Physical count'!B:B,' General Stock Summary View  '!$Y$2,'PowerApp_Physical count'!C:C,' General Stock Summary View  '!C80,'PowerApp_Physical count'!A:A,' General Stock Summary View  '!B80)</f>
        <v>0</v>
      </c>
      <c r="AA80" s="4">
        <f t="shared" si="25"/>
        <v>0</v>
      </c>
      <c r="AB80" s="5">
        <f>SUMIFS('XBS '!T:T,'XBS '!H:H,' General Stock Summary View  '!$AB$2,'XBS '!B:B,' General Stock Summary View  '!C80,'XBS '!L:L,' General Stock Summary View  '!B80)</f>
        <v>0</v>
      </c>
      <c r="AC80" s="3">
        <f>SUMIFS('PowerApp_Physical count'!H:H,'PowerApp_Physical count'!B:B,' General Stock Summary View  '!$AB$2,'PowerApp_Physical count'!C:C,' General Stock Summary View  '!C80,'PowerApp_Physical count'!A:A,' General Stock Summary View  '!B80)</f>
        <v>0</v>
      </c>
      <c r="AD80" s="6">
        <f t="shared" si="26"/>
        <v>0</v>
      </c>
      <c r="AE80" s="7">
        <f t="shared" si="27"/>
        <v>0</v>
      </c>
      <c r="AF80" s="8">
        <f t="shared" si="28"/>
        <v>-1</v>
      </c>
      <c r="AG80" s="112"/>
    </row>
    <row r="81" spans="2:33" s="113" customFormat="1" ht="61.15">
      <c r="B81" s="117" t="s">
        <v>110</v>
      </c>
      <c r="C81" s="111" t="s">
        <v>58</v>
      </c>
      <c r="D81" s="11">
        <f>SUMIFS('XBS '!T:T,'XBS '!C:C,' General Stock Summary View  '!C81,'XBS '!L:L,' General Stock Summary View  '!B81)</f>
        <v>1</v>
      </c>
      <c r="E81" s="2">
        <f>SUMIFS('Blocked for Processing'!P:P,'Blocked for Processing'!I:I,' General Stock Summary View  '!B81,'Blocked for Processing'!C:C,' General Stock Summary View  '!C81)</f>
        <v>0</v>
      </c>
      <c r="F81" s="122">
        <f t="shared" si="17"/>
        <v>1</v>
      </c>
      <c r="G81" s="148">
        <f>SUMIFS('XBS '!T:T,'XBS '!H:H,' General Stock Summary View  '!$G$2,'XBS '!L:L,' General Stock Summary View  '!B81,'XBS '!C:C,' General Stock Summary View  '!C81)</f>
        <v>0</v>
      </c>
      <c r="H81" s="3">
        <f>SUMIFS('PowerApp_Physical count'!H:H,'PowerApp_Physical count'!B:B,' General Stock Summary View  '!$G$2,'PowerApp_Physical count'!C:C,' General Stock Summary View  '!C81,'PowerApp_Physical count'!A:A,' General Stock Summary View  '!B81)</f>
        <v>0</v>
      </c>
      <c r="I81" s="154">
        <f t="shared" si="16"/>
        <v>0</v>
      </c>
      <c r="J81" s="11">
        <f>SUMIFS('XBS '!T:T,'XBS '!H:H,' General Stock Summary View  '!$J$2,'XBS '!L:L,' General Stock Summary View  '!B81,'XBS '!C:C,' General Stock Summary View  '!C81)</f>
        <v>0</v>
      </c>
      <c r="K81" s="157">
        <f>SUMIFS('PowerApp_Physical count'!H:H,'PowerApp_Physical count'!B:B,' General Stock Summary View  '!$J$2,'PowerApp_Physical count'!C:C,' General Stock Summary View  '!C81,'PowerApp_Physical count'!A:A,' General Stock Summary View  '!B81)</f>
        <v>0</v>
      </c>
      <c r="L81" s="127">
        <f t="shared" si="18"/>
        <v>0</v>
      </c>
      <c r="M81" s="126">
        <f t="shared" si="19"/>
        <v>0</v>
      </c>
      <c r="N81" s="11">
        <f t="shared" si="20"/>
        <v>0</v>
      </c>
      <c r="O81" s="144">
        <f t="shared" si="21"/>
        <v>0</v>
      </c>
      <c r="P81" s="2">
        <f>SUMIFS('XBS '!T:T,'XBS '!H:H,' General Stock Summary View  '!$P$2,'XBS '!L:L,' General Stock Summary View  '!B81,'XBS '!C:C,' General Stock Summary View  '!C81)</f>
        <v>0</v>
      </c>
      <c r="Q81" s="3">
        <f>SUMIFS('PowerApp_Physical count'!H:H,'PowerApp_Physical count'!B:B,' General Stock Summary View  '!$P$2,'PowerApp_Physical count'!C:C,' General Stock Summary View  '!C81,'PowerApp_Physical count'!A:A,' General Stock Summary View  '!B81)</f>
        <v>0</v>
      </c>
      <c r="R81" s="4">
        <f t="shared" si="22"/>
        <v>0</v>
      </c>
      <c r="S81" s="5">
        <f>SUMIFS('XBS '!T:T,'XBS '!L:L,' General Stock Summary View  '!B81,'XBS '!H:H,' General Stock Summary View  '!$S$2,'XBS '!C:C,' General Stock Summary View  '!C81)</f>
        <v>1</v>
      </c>
      <c r="T81" s="3">
        <f>SUMIFS('PowerApp_Physical count'!H:H,'PowerApp_Physical count'!B:B,' General Stock Summary View  '!$S$2,'PowerApp_Physical count'!C:C,' General Stock Summary View  '!C81,'PowerApp_Physical count'!A:A,' General Stock Summary View  '!B81)</f>
        <v>0</v>
      </c>
      <c r="U81" s="4">
        <f t="shared" si="23"/>
        <v>-1</v>
      </c>
      <c r="V81" s="2">
        <f>SUMIFS('XBS '!T:T,'XBS '!H:H,' General Stock Summary View  '!$V$2,'XBS '!B:B,' General Stock Summary View  '!C81,'XBS '!L:L,' General Stock Summary View  '!B81)</f>
        <v>0</v>
      </c>
      <c r="W81" s="3">
        <f>SUMIFS('PowerApp_Physical count'!H:H,'PowerApp_Physical count'!B:B,' General Stock Summary View  '!$V$2,'PowerApp_Physical count'!C:C,' General Stock Summary View  '!C81,'PowerApp_Physical count'!A:A,' General Stock Summary View  '!B81)</f>
        <v>0</v>
      </c>
      <c r="X81" s="4">
        <f t="shared" si="24"/>
        <v>0</v>
      </c>
      <c r="Y81" s="5">
        <f>SUMIFS('XBS '!T:T,'XBS '!H:H,' General Stock Summary View  '!$Y$2,'XBS '!B:B,' General Stock Summary View  '!C81,'XBS '!L:L,' General Stock Summary View  '!B81)</f>
        <v>0</v>
      </c>
      <c r="Z81" s="3">
        <f>SUMIFS('PowerApp_Physical count'!H:H,'PowerApp_Physical count'!B:B,' General Stock Summary View  '!$Y$2,'PowerApp_Physical count'!C:C,' General Stock Summary View  '!C81,'PowerApp_Physical count'!A:A,' General Stock Summary View  '!B81)</f>
        <v>0</v>
      </c>
      <c r="AA81" s="4">
        <f t="shared" si="25"/>
        <v>0</v>
      </c>
      <c r="AB81" s="5">
        <f>SUMIFS('XBS '!T:T,'XBS '!H:H,' General Stock Summary View  '!$AB$2,'XBS '!B:B,' General Stock Summary View  '!C81,'XBS '!L:L,' General Stock Summary View  '!B81)</f>
        <v>0</v>
      </c>
      <c r="AC81" s="3">
        <f>SUMIFS('PowerApp_Physical count'!H:H,'PowerApp_Physical count'!B:B,' General Stock Summary View  '!$AB$2,'PowerApp_Physical count'!C:C,' General Stock Summary View  '!C81,'PowerApp_Physical count'!A:A,' General Stock Summary View  '!B81)</f>
        <v>0</v>
      </c>
      <c r="AD81" s="6">
        <f t="shared" si="26"/>
        <v>0</v>
      </c>
      <c r="AE81" s="7">
        <f t="shared" si="27"/>
        <v>0</v>
      </c>
      <c r="AF81" s="8">
        <f t="shared" si="28"/>
        <v>-1</v>
      </c>
      <c r="AG81" s="112"/>
    </row>
    <row r="82" spans="2:33" s="113" customFormat="1" ht="61.15">
      <c r="B82" s="117" t="s">
        <v>111</v>
      </c>
      <c r="C82" s="111" t="s">
        <v>58</v>
      </c>
      <c r="D82" s="11">
        <f>SUMIFS('XBS '!T:T,'XBS '!C:C,' General Stock Summary View  '!C82,'XBS '!L:L,' General Stock Summary View  '!B82)</f>
        <v>5.2</v>
      </c>
      <c r="E82" s="2">
        <f>SUMIFS('Blocked for Processing'!P:P,'Blocked for Processing'!I:I,' General Stock Summary View  '!B82,'Blocked for Processing'!C:C,' General Stock Summary View  '!C82)</f>
        <v>0</v>
      </c>
      <c r="F82" s="122">
        <f t="shared" si="17"/>
        <v>5.2</v>
      </c>
      <c r="G82" s="148">
        <f>SUMIFS('XBS '!T:T,'XBS '!H:H,' General Stock Summary View  '!$G$2,'XBS '!L:L,' General Stock Summary View  '!B82,'XBS '!C:C,' General Stock Summary View  '!C82)</f>
        <v>0</v>
      </c>
      <c r="H82" s="3">
        <f>SUMIFS('PowerApp_Physical count'!H:H,'PowerApp_Physical count'!B:B,' General Stock Summary View  '!$G$2,'PowerApp_Physical count'!C:C,' General Stock Summary View  '!C82,'PowerApp_Physical count'!A:A,' General Stock Summary View  '!B82)</f>
        <v>0</v>
      </c>
      <c r="I82" s="154">
        <f t="shared" si="16"/>
        <v>0</v>
      </c>
      <c r="J82" s="11">
        <f>SUMIFS('XBS '!T:T,'XBS '!H:H,' General Stock Summary View  '!$J$2,'XBS '!L:L,' General Stock Summary View  '!B82,'XBS '!C:C,' General Stock Summary View  '!C82)</f>
        <v>0</v>
      </c>
      <c r="K82" s="157">
        <f>SUMIFS('PowerApp_Physical count'!H:H,'PowerApp_Physical count'!B:B,' General Stock Summary View  '!$J$2,'PowerApp_Physical count'!C:C,' General Stock Summary View  '!C82,'PowerApp_Physical count'!A:A,' General Stock Summary View  '!B82)</f>
        <v>0</v>
      </c>
      <c r="L82" s="127">
        <f t="shared" si="18"/>
        <v>0</v>
      </c>
      <c r="M82" s="126">
        <f t="shared" si="19"/>
        <v>0</v>
      </c>
      <c r="N82" s="11">
        <f t="shared" si="20"/>
        <v>0</v>
      </c>
      <c r="O82" s="144">
        <f t="shared" si="21"/>
        <v>0</v>
      </c>
      <c r="P82" s="2">
        <f>SUMIFS('XBS '!T:T,'XBS '!H:H,' General Stock Summary View  '!$P$2,'XBS '!L:L,' General Stock Summary View  '!B82,'XBS '!C:C,' General Stock Summary View  '!C82)</f>
        <v>0</v>
      </c>
      <c r="Q82" s="3">
        <f>SUMIFS('PowerApp_Physical count'!H:H,'PowerApp_Physical count'!B:B,' General Stock Summary View  '!$P$2,'PowerApp_Physical count'!C:C,' General Stock Summary View  '!C82,'PowerApp_Physical count'!A:A,' General Stock Summary View  '!B82)</f>
        <v>0</v>
      </c>
      <c r="R82" s="4">
        <f t="shared" si="22"/>
        <v>0</v>
      </c>
      <c r="S82" s="5">
        <f>SUMIFS('XBS '!T:T,'XBS '!L:L,' General Stock Summary View  '!B82,'XBS '!H:H,' General Stock Summary View  '!$S$2,'XBS '!C:C,' General Stock Summary View  '!C82)</f>
        <v>5.2</v>
      </c>
      <c r="T82" s="3">
        <f>SUMIFS('PowerApp_Physical count'!H:H,'PowerApp_Physical count'!B:B,' General Stock Summary View  '!$S$2,'PowerApp_Physical count'!C:C,' General Stock Summary View  '!C82,'PowerApp_Physical count'!A:A,' General Stock Summary View  '!B82)</f>
        <v>0</v>
      </c>
      <c r="U82" s="4">
        <f t="shared" si="23"/>
        <v>-5.2</v>
      </c>
      <c r="V82" s="2">
        <f>SUMIFS('XBS '!T:T,'XBS '!H:H,' General Stock Summary View  '!$V$2,'XBS '!B:B,' General Stock Summary View  '!C82,'XBS '!L:L,' General Stock Summary View  '!B82)</f>
        <v>0</v>
      </c>
      <c r="W82" s="3">
        <f>SUMIFS('PowerApp_Physical count'!H:H,'PowerApp_Physical count'!B:B,' General Stock Summary View  '!$V$2,'PowerApp_Physical count'!C:C,' General Stock Summary View  '!C82,'PowerApp_Physical count'!A:A,' General Stock Summary View  '!B82)</f>
        <v>0</v>
      </c>
      <c r="X82" s="4">
        <f t="shared" si="24"/>
        <v>0</v>
      </c>
      <c r="Y82" s="5">
        <f>SUMIFS('XBS '!T:T,'XBS '!H:H,' General Stock Summary View  '!$Y$2,'XBS '!B:B,' General Stock Summary View  '!C82,'XBS '!L:L,' General Stock Summary View  '!B82)</f>
        <v>0</v>
      </c>
      <c r="Z82" s="3">
        <f>SUMIFS('PowerApp_Physical count'!H:H,'PowerApp_Physical count'!B:B,' General Stock Summary View  '!$Y$2,'PowerApp_Physical count'!C:C,' General Stock Summary View  '!C82,'PowerApp_Physical count'!A:A,' General Stock Summary View  '!B82)</f>
        <v>0</v>
      </c>
      <c r="AA82" s="4">
        <f t="shared" si="25"/>
        <v>0</v>
      </c>
      <c r="AB82" s="5">
        <f>SUMIFS('XBS '!T:T,'XBS '!H:H,' General Stock Summary View  '!$AB$2,'XBS '!B:B,' General Stock Summary View  '!C82,'XBS '!L:L,' General Stock Summary View  '!B82)</f>
        <v>0</v>
      </c>
      <c r="AC82" s="3">
        <f>SUMIFS('PowerApp_Physical count'!H:H,'PowerApp_Physical count'!B:B,' General Stock Summary View  '!$AB$2,'PowerApp_Physical count'!C:C,' General Stock Summary View  '!C82,'PowerApp_Physical count'!A:A,' General Stock Summary View  '!B82)</f>
        <v>0</v>
      </c>
      <c r="AD82" s="6">
        <f t="shared" si="26"/>
        <v>0</v>
      </c>
      <c r="AE82" s="7">
        <f t="shared" si="27"/>
        <v>0</v>
      </c>
      <c r="AF82" s="8">
        <f t="shared" si="28"/>
        <v>-5.2</v>
      </c>
      <c r="AG82" s="112"/>
    </row>
    <row r="83" spans="2:33" s="113" customFormat="1" ht="61.15">
      <c r="B83" s="117" t="s">
        <v>112</v>
      </c>
      <c r="C83" s="111" t="s">
        <v>58</v>
      </c>
      <c r="D83" s="11">
        <f>SUMIFS('XBS '!T:T,'XBS '!C:C,' General Stock Summary View  '!C83,'XBS '!L:L,' General Stock Summary View  '!B83)</f>
        <v>27.65</v>
      </c>
      <c r="E83" s="2">
        <f>SUMIFS('Blocked for Processing'!P:P,'Blocked for Processing'!I:I,' General Stock Summary View  '!B83,'Blocked for Processing'!C:C,' General Stock Summary View  '!C83)</f>
        <v>0</v>
      </c>
      <c r="F83" s="122">
        <f t="shared" si="17"/>
        <v>27.65</v>
      </c>
      <c r="G83" s="148">
        <f>SUMIFS('XBS '!T:T,'XBS '!H:H,' General Stock Summary View  '!$G$2,'XBS '!L:L,' General Stock Summary View  '!B83,'XBS '!C:C,' General Stock Summary View  '!C83)</f>
        <v>0</v>
      </c>
      <c r="H83" s="3">
        <f>SUMIFS('PowerApp_Physical count'!H:H,'PowerApp_Physical count'!B:B,' General Stock Summary View  '!$G$2,'PowerApp_Physical count'!C:C,' General Stock Summary View  '!C83,'PowerApp_Physical count'!A:A,' General Stock Summary View  '!B83)</f>
        <v>0</v>
      </c>
      <c r="I83" s="154">
        <f t="shared" si="16"/>
        <v>0</v>
      </c>
      <c r="J83" s="11">
        <f>SUMIFS('XBS '!T:T,'XBS '!H:H,' General Stock Summary View  '!$J$2,'XBS '!L:L,' General Stock Summary View  '!B83,'XBS '!C:C,' General Stock Summary View  '!C83)</f>
        <v>0</v>
      </c>
      <c r="K83" s="157">
        <f>SUMIFS('PowerApp_Physical count'!H:H,'PowerApp_Physical count'!B:B,' General Stock Summary View  '!$J$2,'PowerApp_Physical count'!C:C,' General Stock Summary View  '!C83,'PowerApp_Physical count'!A:A,' General Stock Summary View  '!B83)</f>
        <v>0</v>
      </c>
      <c r="L83" s="127">
        <f t="shared" si="18"/>
        <v>0</v>
      </c>
      <c r="M83" s="126">
        <f t="shared" si="19"/>
        <v>0</v>
      </c>
      <c r="N83" s="11">
        <f t="shared" si="20"/>
        <v>0</v>
      </c>
      <c r="O83" s="144">
        <f t="shared" si="21"/>
        <v>0</v>
      </c>
      <c r="P83" s="2">
        <f>SUMIFS('XBS '!T:T,'XBS '!H:H,' General Stock Summary View  '!$P$2,'XBS '!L:L,' General Stock Summary View  '!B83,'XBS '!C:C,' General Stock Summary View  '!C83)</f>
        <v>0</v>
      </c>
      <c r="Q83" s="3">
        <f>SUMIFS('PowerApp_Physical count'!H:H,'PowerApp_Physical count'!B:B,' General Stock Summary View  '!$P$2,'PowerApp_Physical count'!C:C,' General Stock Summary View  '!C83,'PowerApp_Physical count'!A:A,' General Stock Summary View  '!B83)</f>
        <v>0</v>
      </c>
      <c r="R83" s="4">
        <f t="shared" si="22"/>
        <v>0</v>
      </c>
      <c r="S83" s="5">
        <f>SUMIFS('XBS '!T:T,'XBS '!L:L,' General Stock Summary View  '!B83,'XBS '!H:H,' General Stock Summary View  '!$S$2,'XBS '!C:C,' General Stock Summary View  '!C83)</f>
        <v>27.65</v>
      </c>
      <c r="T83" s="3">
        <f>SUMIFS('PowerApp_Physical count'!H:H,'PowerApp_Physical count'!B:B,' General Stock Summary View  '!$S$2,'PowerApp_Physical count'!C:C,' General Stock Summary View  '!C83,'PowerApp_Physical count'!A:A,' General Stock Summary View  '!B83)</f>
        <v>0</v>
      </c>
      <c r="U83" s="4">
        <f t="shared" si="23"/>
        <v>-27.65</v>
      </c>
      <c r="V83" s="2">
        <f>SUMIFS('XBS '!T:T,'XBS '!H:H,' General Stock Summary View  '!$V$2,'XBS '!B:B,' General Stock Summary View  '!C83,'XBS '!L:L,' General Stock Summary View  '!B83)</f>
        <v>0</v>
      </c>
      <c r="W83" s="3">
        <f>SUMIFS('PowerApp_Physical count'!H:H,'PowerApp_Physical count'!B:B,' General Stock Summary View  '!$V$2,'PowerApp_Physical count'!C:C,' General Stock Summary View  '!C83,'PowerApp_Physical count'!A:A,' General Stock Summary View  '!B83)</f>
        <v>0</v>
      </c>
      <c r="X83" s="4">
        <f t="shared" si="24"/>
        <v>0</v>
      </c>
      <c r="Y83" s="5">
        <f>SUMIFS('XBS '!T:T,'XBS '!H:H,' General Stock Summary View  '!$Y$2,'XBS '!B:B,' General Stock Summary View  '!C83,'XBS '!L:L,' General Stock Summary View  '!B83)</f>
        <v>0</v>
      </c>
      <c r="Z83" s="3">
        <f>SUMIFS('PowerApp_Physical count'!H:H,'PowerApp_Physical count'!B:B,' General Stock Summary View  '!$Y$2,'PowerApp_Physical count'!C:C,' General Stock Summary View  '!C83,'PowerApp_Physical count'!A:A,' General Stock Summary View  '!B83)</f>
        <v>0</v>
      </c>
      <c r="AA83" s="4">
        <f t="shared" si="25"/>
        <v>0</v>
      </c>
      <c r="AB83" s="5">
        <f>SUMIFS('XBS '!T:T,'XBS '!H:H,' General Stock Summary View  '!$AB$2,'XBS '!B:B,' General Stock Summary View  '!C83,'XBS '!L:L,' General Stock Summary View  '!B83)</f>
        <v>0</v>
      </c>
      <c r="AC83" s="3">
        <f>SUMIFS('PowerApp_Physical count'!H:H,'PowerApp_Physical count'!B:B,' General Stock Summary View  '!$AB$2,'PowerApp_Physical count'!C:C,' General Stock Summary View  '!C83,'PowerApp_Physical count'!A:A,' General Stock Summary View  '!B83)</f>
        <v>0</v>
      </c>
      <c r="AD83" s="6">
        <f t="shared" si="26"/>
        <v>0</v>
      </c>
      <c r="AE83" s="7">
        <f t="shared" si="27"/>
        <v>0</v>
      </c>
      <c r="AF83" s="8">
        <f t="shared" si="28"/>
        <v>-27.65</v>
      </c>
      <c r="AG83" s="112"/>
    </row>
    <row r="84" spans="2:33" s="113" customFormat="1" ht="61.15">
      <c r="B84" s="117" t="s">
        <v>113</v>
      </c>
      <c r="C84" s="111" t="s">
        <v>58</v>
      </c>
      <c r="D84" s="11">
        <f>SUMIFS('XBS '!T:T,'XBS '!C:C,' General Stock Summary View  '!C84,'XBS '!L:L,' General Stock Summary View  '!B84)</f>
        <v>4.9833333333333334</v>
      </c>
      <c r="E84" s="2">
        <f>SUMIFS('Blocked for Processing'!P:P,'Blocked for Processing'!I:I,' General Stock Summary View  '!B84,'Blocked for Processing'!C:C,' General Stock Summary View  '!C84)</f>
        <v>0</v>
      </c>
      <c r="F84" s="122">
        <f t="shared" si="17"/>
        <v>4.9833333333333334</v>
      </c>
      <c r="G84" s="148">
        <f>SUMIFS('XBS '!T:T,'XBS '!H:H,' General Stock Summary View  '!$G$2,'XBS '!L:L,' General Stock Summary View  '!B84,'XBS '!C:C,' General Stock Summary View  '!C84)</f>
        <v>0</v>
      </c>
      <c r="H84" s="3">
        <f>SUMIFS('PowerApp_Physical count'!H:H,'PowerApp_Physical count'!B:B,' General Stock Summary View  '!$G$2,'PowerApp_Physical count'!C:C,' General Stock Summary View  '!C84,'PowerApp_Physical count'!A:A,' General Stock Summary View  '!B84)</f>
        <v>0</v>
      </c>
      <c r="I84" s="154">
        <f t="shared" si="16"/>
        <v>0</v>
      </c>
      <c r="J84" s="11">
        <f>SUMIFS('XBS '!T:T,'XBS '!H:H,' General Stock Summary View  '!$J$2,'XBS '!L:L,' General Stock Summary View  '!B84,'XBS '!C:C,' General Stock Summary View  '!C84)</f>
        <v>0</v>
      </c>
      <c r="K84" s="157">
        <f>SUMIFS('PowerApp_Physical count'!H:H,'PowerApp_Physical count'!B:B,' General Stock Summary View  '!$J$2,'PowerApp_Physical count'!C:C,' General Stock Summary View  '!C84,'PowerApp_Physical count'!A:A,' General Stock Summary View  '!B84)</f>
        <v>0</v>
      </c>
      <c r="L84" s="127">
        <f t="shared" si="18"/>
        <v>0</v>
      </c>
      <c r="M84" s="126">
        <f t="shared" si="19"/>
        <v>0</v>
      </c>
      <c r="N84" s="11">
        <f t="shared" si="20"/>
        <v>0</v>
      </c>
      <c r="O84" s="144">
        <f t="shared" si="21"/>
        <v>0</v>
      </c>
      <c r="P84" s="2">
        <f>SUMIFS('XBS '!T:T,'XBS '!H:H,' General Stock Summary View  '!$P$2,'XBS '!L:L,' General Stock Summary View  '!B84,'XBS '!C:C,' General Stock Summary View  '!C84)</f>
        <v>0</v>
      </c>
      <c r="Q84" s="3">
        <f>SUMIFS('PowerApp_Physical count'!H:H,'PowerApp_Physical count'!B:B,' General Stock Summary View  '!$P$2,'PowerApp_Physical count'!C:C,' General Stock Summary View  '!C84,'PowerApp_Physical count'!A:A,' General Stock Summary View  '!B84)</f>
        <v>0</v>
      </c>
      <c r="R84" s="4">
        <f t="shared" si="22"/>
        <v>0</v>
      </c>
      <c r="S84" s="5">
        <f>SUMIFS('XBS '!T:T,'XBS '!L:L,' General Stock Summary View  '!B84,'XBS '!H:H,' General Stock Summary View  '!$S$2,'XBS '!C:C,' General Stock Summary View  '!C84)</f>
        <v>4.9833333333333334</v>
      </c>
      <c r="T84" s="3">
        <f>SUMIFS('PowerApp_Physical count'!H:H,'PowerApp_Physical count'!B:B,' General Stock Summary View  '!$S$2,'PowerApp_Physical count'!C:C,' General Stock Summary View  '!C84,'PowerApp_Physical count'!A:A,' General Stock Summary View  '!B84)</f>
        <v>0</v>
      </c>
      <c r="U84" s="4">
        <f t="shared" si="23"/>
        <v>-4.9833333333333334</v>
      </c>
      <c r="V84" s="2">
        <f>SUMIFS('XBS '!T:T,'XBS '!H:H,' General Stock Summary View  '!$V$2,'XBS '!B:B,' General Stock Summary View  '!C84,'XBS '!L:L,' General Stock Summary View  '!B84)</f>
        <v>0</v>
      </c>
      <c r="W84" s="3">
        <f>SUMIFS('PowerApp_Physical count'!H:H,'PowerApp_Physical count'!B:B,' General Stock Summary View  '!$V$2,'PowerApp_Physical count'!C:C,' General Stock Summary View  '!C84,'PowerApp_Physical count'!A:A,' General Stock Summary View  '!B84)</f>
        <v>0</v>
      </c>
      <c r="X84" s="4">
        <f t="shared" si="24"/>
        <v>0</v>
      </c>
      <c r="Y84" s="5">
        <f>SUMIFS('XBS '!T:T,'XBS '!H:H,' General Stock Summary View  '!$Y$2,'XBS '!B:B,' General Stock Summary View  '!C84,'XBS '!L:L,' General Stock Summary View  '!B84)</f>
        <v>0</v>
      </c>
      <c r="Z84" s="3">
        <f>SUMIFS('PowerApp_Physical count'!H:H,'PowerApp_Physical count'!B:B,' General Stock Summary View  '!$Y$2,'PowerApp_Physical count'!C:C,' General Stock Summary View  '!C84,'PowerApp_Physical count'!A:A,' General Stock Summary View  '!B84)</f>
        <v>0</v>
      </c>
      <c r="AA84" s="4">
        <f t="shared" si="25"/>
        <v>0</v>
      </c>
      <c r="AB84" s="5">
        <f>SUMIFS('XBS '!T:T,'XBS '!H:H,' General Stock Summary View  '!$AB$2,'XBS '!B:B,' General Stock Summary View  '!C84,'XBS '!L:L,' General Stock Summary View  '!B84)</f>
        <v>0</v>
      </c>
      <c r="AC84" s="3">
        <f>SUMIFS('PowerApp_Physical count'!H:H,'PowerApp_Physical count'!B:B,' General Stock Summary View  '!$AB$2,'PowerApp_Physical count'!C:C,' General Stock Summary View  '!C84,'PowerApp_Physical count'!A:A,' General Stock Summary View  '!B84)</f>
        <v>0</v>
      </c>
      <c r="AD84" s="6">
        <f t="shared" si="26"/>
        <v>0</v>
      </c>
      <c r="AE84" s="7">
        <f t="shared" si="27"/>
        <v>0</v>
      </c>
      <c r="AF84" s="8">
        <f t="shared" si="28"/>
        <v>-4.9833333333333334</v>
      </c>
      <c r="AG84" s="112"/>
    </row>
    <row r="85" spans="2:33" s="113" customFormat="1" ht="61.15">
      <c r="B85" s="117" t="s">
        <v>114</v>
      </c>
      <c r="C85" s="111" t="s">
        <v>58</v>
      </c>
      <c r="D85" s="11">
        <f>SUMIFS('XBS '!T:T,'XBS '!C:C,' General Stock Summary View  '!C85,'XBS '!L:L,' General Stock Summary View  '!B85)</f>
        <v>0.2</v>
      </c>
      <c r="E85" s="2">
        <f>SUMIFS('Blocked for Processing'!P:P,'Blocked for Processing'!I:I,' General Stock Summary View  '!B85,'Blocked for Processing'!C:C,' General Stock Summary View  '!C85)</f>
        <v>0</v>
      </c>
      <c r="F85" s="122">
        <f t="shared" si="17"/>
        <v>0.2</v>
      </c>
      <c r="G85" s="148">
        <f>SUMIFS('XBS '!T:T,'XBS '!H:H,' General Stock Summary View  '!$G$2,'XBS '!L:L,' General Stock Summary View  '!B85,'XBS '!C:C,' General Stock Summary View  '!C85)</f>
        <v>0</v>
      </c>
      <c r="H85" s="3">
        <f>SUMIFS('PowerApp_Physical count'!H:H,'PowerApp_Physical count'!B:B,' General Stock Summary View  '!$G$2,'PowerApp_Physical count'!C:C,' General Stock Summary View  '!C85,'PowerApp_Physical count'!A:A,' General Stock Summary View  '!B85)</f>
        <v>0</v>
      </c>
      <c r="I85" s="154">
        <f t="shared" si="16"/>
        <v>0</v>
      </c>
      <c r="J85" s="11">
        <f>SUMIFS('XBS '!T:T,'XBS '!H:H,' General Stock Summary View  '!$J$2,'XBS '!L:L,' General Stock Summary View  '!B85,'XBS '!C:C,' General Stock Summary View  '!C85)</f>
        <v>0</v>
      </c>
      <c r="K85" s="157">
        <f>SUMIFS('PowerApp_Physical count'!H:H,'PowerApp_Physical count'!B:B,' General Stock Summary View  '!$J$2,'PowerApp_Physical count'!C:C,' General Stock Summary View  '!C85,'PowerApp_Physical count'!A:A,' General Stock Summary View  '!B85)</f>
        <v>0</v>
      </c>
      <c r="L85" s="127">
        <f t="shared" si="18"/>
        <v>0</v>
      </c>
      <c r="M85" s="126">
        <f t="shared" si="19"/>
        <v>0</v>
      </c>
      <c r="N85" s="11">
        <f t="shared" si="20"/>
        <v>0</v>
      </c>
      <c r="O85" s="144">
        <f t="shared" si="21"/>
        <v>0</v>
      </c>
      <c r="P85" s="2">
        <f>SUMIFS('XBS '!T:T,'XBS '!H:H,' General Stock Summary View  '!$P$2,'XBS '!L:L,' General Stock Summary View  '!B85,'XBS '!C:C,' General Stock Summary View  '!C85)</f>
        <v>0.2</v>
      </c>
      <c r="Q85" s="3">
        <f>SUMIFS('PowerApp_Physical count'!H:H,'PowerApp_Physical count'!B:B,' General Stock Summary View  '!$P$2,'PowerApp_Physical count'!C:C,' General Stock Summary View  '!C85,'PowerApp_Physical count'!A:A,' General Stock Summary View  '!B85)</f>
        <v>0</v>
      </c>
      <c r="R85" s="4">
        <f t="shared" si="22"/>
        <v>-0.2</v>
      </c>
      <c r="S85" s="5">
        <f>SUMIFS('XBS '!T:T,'XBS '!L:L,' General Stock Summary View  '!B85,'XBS '!H:H,' General Stock Summary View  '!$S$2,'XBS '!C:C,' General Stock Summary View  '!C85)</f>
        <v>0</v>
      </c>
      <c r="T85" s="3">
        <f>SUMIFS('PowerApp_Physical count'!H:H,'PowerApp_Physical count'!B:B,' General Stock Summary View  '!$S$2,'PowerApp_Physical count'!C:C,' General Stock Summary View  '!C85,'PowerApp_Physical count'!A:A,' General Stock Summary View  '!B85)</f>
        <v>0</v>
      </c>
      <c r="U85" s="4">
        <f t="shared" si="23"/>
        <v>0</v>
      </c>
      <c r="V85" s="2">
        <f>SUMIFS('XBS '!T:T,'XBS '!H:H,' General Stock Summary View  '!$V$2,'XBS '!B:B,' General Stock Summary View  '!C85,'XBS '!L:L,' General Stock Summary View  '!B85)</f>
        <v>0</v>
      </c>
      <c r="W85" s="3">
        <f>SUMIFS('PowerApp_Physical count'!H:H,'PowerApp_Physical count'!B:B,' General Stock Summary View  '!$V$2,'PowerApp_Physical count'!C:C,' General Stock Summary View  '!C85,'PowerApp_Physical count'!A:A,' General Stock Summary View  '!B85)</f>
        <v>0</v>
      </c>
      <c r="X85" s="4">
        <f t="shared" si="24"/>
        <v>0</v>
      </c>
      <c r="Y85" s="5">
        <f>SUMIFS('XBS '!T:T,'XBS '!H:H,' General Stock Summary View  '!$Y$2,'XBS '!B:B,' General Stock Summary View  '!C85,'XBS '!L:L,' General Stock Summary View  '!B85)</f>
        <v>0</v>
      </c>
      <c r="Z85" s="3">
        <f>SUMIFS('PowerApp_Physical count'!H:H,'PowerApp_Physical count'!B:B,' General Stock Summary View  '!$Y$2,'PowerApp_Physical count'!C:C,' General Stock Summary View  '!C85,'PowerApp_Physical count'!A:A,' General Stock Summary View  '!B85)</f>
        <v>0</v>
      </c>
      <c r="AA85" s="4">
        <f t="shared" si="25"/>
        <v>0</v>
      </c>
      <c r="AB85" s="5">
        <f>SUMIFS('XBS '!T:T,'XBS '!H:H,' General Stock Summary View  '!$AB$2,'XBS '!B:B,' General Stock Summary View  '!C85,'XBS '!L:L,' General Stock Summary View  '!B85)</f>
        <v>0</v>
      </c>
      <c r="AC85" s="3">
        <f>SUMIFS('PowerApp_Physical count'!H:H,'PowerApp_Physical count'!B:B,' General Stock Summary View  '!$AB$2,'PowerApp_Physical count'!C:C,' General Stock Summary View  '!C85,'PowerApp_Physical count'!A:A,' General Stock Summary View  '!B85)</f>
        <v>0</v>
      </c>
      <c r="AD85" s="6">
        <f t="shared" si="26"/>
        <v>0</v>
      </c>
      <c r="AE85" s="7">
        <f t="shared" si="27"/>
        <v>0</v>
      </c>
      <c r="AF85" s="8">
        <f t="shared" si="28"/>
        <v>-0.2</v>
      </c>
      <c r="AG85" s="112"/>
    </row>
    <row r="86" spans="2:33" s="113" customFormat="1" ht="61.15">
      <c r="B86" s="117" t="s">
        <v>115</v>
      </c>
      <c r="C86" s="111" t="s">
        <v>58</v>
      </c>
      <c r="D86" s="11">
        <f>SUMIFS('XBS '!T:T,'XBS '!C:C,' General Stock Summary View  '!C86,'XBS '!L:L,' General Stock Summary View  '!B86)</f>
        <v>2.7</v>
      </c>
      <c r="E86" s="2">
        <f>SUMIFS('Blocked for Processing'!P:P,'Blocked for Processing'!I:I,' General Stock Summary View  '!B86,'Blocked for Processing'!C:C,' General Stock Summary View  '!C86)</f>
        <v>0</v>
      </c>
      <c r="F86" s="122">
        <f t="shared" si="17"/>
        <v>2.7</v>
      </c>
      <c r="G86" s="148">
        <f>SUMIFS('XBS '!T:T,'XBS '!H:H,' General Stock Summary View  '!$G$2,'XBS '!L:L,' General Stock Summary View  '!B86,'XBS '!C:C,' General Stock Summary View  '!C86)</f>
        <v>0</v>
      </c>
      <c r="H86" s="3">
        <f>SUMIFS('PowerApp_Physical count'!H:H,'PowerApp_Physical count'!B:B,' General Stock Summary View  '!$G$2,'PowerApp_Physical count'!C:C,' General Stock Summary View  '!C86,'PowerApp_Physical count'!A:A,' General Stock Summary View  '!B86)</f>
        <v>0</v>
      </c>
      <c r="I86" s="154">
        <f t="shared" si="16"/>
        <v>0</v>
      </c>
      <c r="J86" s="11">
        <f>SUMIFS('XBS '!T:T,'XBS '!H:H,' General Stock Summary View  '!$J$2,'XBS '!L:L,' General Stock Summary View  '!B86,'XBS '!C:C,' General Stock Summary View  '!C86)</f>
        <v>0</v>
      </c>
      <c r="K86" s="157">
        <f>SUMIFS('PowerApp_Physical count'!H:H,'PowerApp_Physical count'!B:B,' General Stock Summary View  '!$J$2,'PowerApp_Physical count'!C:C,' General Stock Summary View  '!C86,'PowerApp_Physical count'!A:A,' General Stock Summary View  '!B86)</f>
        <v>0</v>
      </c>
      <c r="L86" s="127">
        <f t="shared" si="18"/>
        <v>0</v>
      </c>
      <c r="M86" s="126">
        <f t="shared" si="19"/>
        <v>0</v>
      </c>
      <c r="N86" s="11">
        <f t="shared" si="20"/>
        <v>0</v>
      </c>
      <c r="O86" s="144">
        <f t="shared" si="21"/>
        <v>0</v>
      </c>
      <c r="P86" s="2">
        <f>SUMIFS('XBS '!T:T,'XBS '!H:H,' General Stock Summary View  '!$P$2,'XBS '!L:L,' General Stock Summary View  '!B86,'XBS '!C:C,' General Stock Summary View  '!C86)</f>
        <v>2.7</v>
      </c>
      <c r="Q86" s="3">
        <f>SUMIFS('PowerApp_Physical count'!H:H,'PowerApp_Physical count'!B:B,' General Stock Summary View  '!$P$2,'PowerApp_Physical count'!C:C,' General Stock Summary View  '!C86,'PowerApp_Physical count'!A:A,' General Stock Summary View  '!B86)</f>
        <v>0</v>
      </c>
      <c r="R86" s="4">
        <f t="shared" si="22"/>
        <v>-2.7</v>
      </c>
      <c r="S86" s="5">
        <f>SUMIFS('XBS '!T:T,'XBS '!L:L,' General Stock Summary View  '!B86,'XBS '!H:H,' General Stock Summary View  '!$S$2,'XBS '!C:C,' General Stock Summary View  '!C86)</f>
        <v>0</v>
      </c>
      <c r="T86" s="3">
        <f>SUMIFS('PowerApp_Physical count'!H:H,'PowerApp_Physical count'!B:B,' General Stock Summary View  '!$S$2,'PowerApp_Physical count'!C:C,' General Stock Summary View  '!C86,'PowerApp_Physical count'!A:A,' General Stock Summary View  '!B86)</f>
        <v>0</v>
      </c>
      <c r="U86" s="4">
        <f t="shared" si="23"/>
        <v>0</v>
      </c>
      <c r="V86" s="2">
        <f>SUMIFS('XBS '!T:T,'XBS '!H:H,' General Stock Summary View  '!$V$2,'XBS '!B:B,' General Stock Summary View  '!C86,'XBS '!L:L,' General Stock Summary View  '!B86)</f>
        <v>0</v>
      </c>
      <c r="W86" s="3">
        <f>SUMIFS('PowerApp_Physical count'!H:H,'PowerApp_Physical count'!B:B,' General Stock Summary View  '!$V$2,'PowerApp_Physical count'!C:C,' General Stock Summary View  '!C86,'PowerApp_Physical count'!A:A,' General Stock Summary View  '!B86)</f>
        <v>0</v>
      </c>
      <c r="X86" s="4">
        <f t="shared" si="24"/>
        <v>0</v>
      </c>
      <c r="Y86" s="5">
        <f>SUMIFS('XBS '!T:T,'XBS '!H:H,' General Stock Summary View  '!$Y$2,'XBS '!B:B,' General Stock Summary View  '!C86,'XBS '!L:L,' General Stock Summary View  '!B86)</f>
        <v>0</v>
      </c>
      <c r="Z86" s="3">
        <f>SUMIFS('PowerApp_Physical count'!H:H,'PowerApp_Physical count'!B:B,' General Stock Summary View  '!$Y$2,'PowerApp_Physical count'!C:C,' General Stock Summary View  '!C86,'PowerApp_Physical count'!A:A,' General Stock Summary View  '!B86)</f>
        <v>0</v>
      </c>
      <c r="AA86" s="4">
        <f t="shared" si="25"/>
        <v>0</v>
      </c>
      <c r="AB86" s="5">
        <f>SUMIFS('XBS '!T:T,'XBS '!H:H,' General Stock Summary View  '!$AB$2,'XBS '!B:B,' General Stock Summary View  '!C86,'XBS '!L:L,' General Stock Summary View  '!B86)</f>
        <v>0</v>
      </c>
      <c r="AC86" s="3">
        <f>SUMIFS('PowerApp_Physical count'!H:H,'PowerApp_Physical count'!B:B,' General Stock Summary View  '!$AB$2,'PowerApp_Physical count'!C:C,' General Stock Summary View  '!C86,'PowerApp_Physical count'!A:A,' General Stock Summary View  '!B86)</f>
        <v>0</v>
      </c>
      <c r="AD86" s="6">
        <f t="shared" si="26"/>
        <v>0</v>
      </c>
      <c r="AE86" s="7">
        <f t="shared" si="27"/>
        <v>0</v>
      </c>
      <c r="AF86" s="8">
        <f t="shared" si="28"/>
        <v>-2.7</v>
      </c>
      <c r="AG86" s="112"/>
    </row>
    <row r="87" spans="2:33" s="113" customFormat="1" ht="61.15">
      <c r="B87" s="117" t="s">
        <v>116</v>
      </c>
      <c r="C87" s="111" t="s">
        <v>58</v>
      </c>
      <c r="D87" s="11">
        <f>SUMIFS('XBS '!T:T,'XBS '!C:C,' General Stock Summary View  '!C87,'XBS '!L:L,' General Stock Summary View  '!B87)</f>
        <v>14.083333333333334</v>
      </c>
      <c r="E87" s="2">
        <f>SUMIFS('Blocked for Processing'!P:P,'Blocked for Processing'!I:I,' General Stock Summary View  '!B87,'Blocked for Processing'!C:C,' General Stock Summary View  '!C87)</f>
        <v>0</v>
      </c>
      <c r="F87" s="122">
        <f t="shared" si="17"/>
        <v>14.083333333333334</v>
      </c>
      <c r="G87" s="148">
        <f>SUMIFS('XBS '!T:T,'XBS '!H:H,' General Stock Summary View  '!$G$2,'XBS '!L:L,' General Stock Summary View  '!B87,'XBS '!C:C,' General Stock Summary View  '!C87)</f>
        <v>0</v>
      </c>
      <c r="H87" s="3">
        <f>SUMIFS('PowerApp_Physical count'!H:H,'PowerApp_Physical count'!B:B,' General Stock Summary View  '!$G$2,'PowerApp_Physical count'!C:C,' General Stock Summary View  '!C87,'PowerApp_Physical count'!A:A,' General Stock Summary View  '!B87)</f>
        <v>0</v>
      </c>
      <c r="I87" s="154">
        <f t="shared" si="16"/>
        <v>0</v>
      </c>
      <c r="J87" s="11">
        <f>SUMIFS('XBS '!T:T,'XBS '!H:H,' General Stock Summary View  '!$J$2,'XBS '!L:L,' General Stock Summary View  '!B87,'XBS '!C:C,' General Stock Summary View  '!C87)</f>
        <v>0</v>
      </c>
      <c r="K87" s="157">
        <f>SUMIFS('PowerApp_Physical count'!H:H,'PowerApp_Physical count'!B:B,' General Stock Summary View  '!$J$2,'PowerApp_Physical count'!C:C,' General Stock Summary View  '!C87,'PowerApp_Physical count'!A:A,' General Stock Summary View  '!B87)</f>
        <v>0</v>
      </c>
      <c r="L87" s="127">
        <f t="shared" si="18"/>
        <v>0</v>
      </c>
      <c r="M87" s="126">
        <f t="shared" si="19"/>
        <v>0</v>
      </c>
      <c r="N87" s="11">
        <f t="shared" si="20"/>
        <v>0</v>
      </c>
      <c r="O87" s="144">
        <f t="shared" si="21"/>
        <v>0</v>
      </c>
      <c r="P87" s="2">
        <f>SUMIFS('XBS '!T:T,'XBS '!H:H,' General Stock Summary View  '!$P$2,'XBS '!L:L,' General Stock Summary View  '!B87,'XBS '!C:C,' General Stock Summary View  '!C87)</f>
        <v>14.083333333333334</v>
      </c>
      <c r="Q87" s="3">
        <f>SUMIFS('PowerApp_Physical count'!H:H,'PowerApp_Physical count'!B:B,' General Stock Summary View  '!$P$2,'PowerApp_Physical count'!C:C,' General Stock Summary View  '!C87,'PowerApp_Physical count'!A:A,' General Stock Summary View  '!B87)</f>
        <v>0</v>
      </c>
      <c r="R87" s="4">
        <f t="shared" si="22"/>
        <v>-14.083333333333334</v>
      </c>
      <c r="S87" s="5">
        <f>SUMIFS('XBS '!T:T,'XBS '!L:L,' General Stock Summary View  '!B87,'XBS '!H:H,' General Stock Summary View  '!$S$2,'XBS '!C:C,' General Stock Summary View  '!C87)</f>
        <v>0</v>
      </c>
      <c r="T87" s="3">
        <f>SUMIFS('PowerApp_Physical count'!H:H,'PowerApp_Physical count'!B:B,' General Stock Summary View  '!$S$2,'PowerApp_Physical count'!C:C,' General Stock Summary View  '!C87,'PowerApp_Physical count'!A:A,' General Stock Summary View  '!B87)</f>
        <v>0</v>
      </c>
      <c r="U87" s="4">
        <f t="shared" si="23"/>
        <v>0</v>
      </c>
      <c r="V87" s="2">
        <f>SUMIFS('XBS '!T:T,'XBS '!H:H,' General Stock Summary View  '!$V$2,'XBS '!B:B,' General Stock Summary View  '!C87,'XBS '!L:L,' General Stock Summary View  '!B87)</f>
        <v>0</v>
      </c>
      <c r="W87" s="3">
        <f>SUMIFS('PowerApp_Physical count'!H:H,'PowerApp_Physical count'!B:B,' General Stock Summary View  '!$V$2,'PowerApp_Physical count'!C:C,' General Stock Summary View  '!C87,'PowerApp_Physical count'!A:A,' General Stock Summary View  '!B87)</f>
        <v>0</v>
      </c>
      <c r="X87" s="4">
        <f t="shared" si="24"/>
        <v>0</v>
      </c>
      <c r="Y87" s="5">
        <f>SUMIFS('XBS '!T:T,'XBS '!H:H,' General Stock Summary View  '!$Y$2,'XBS '!B:B,' General Stock Summary View  '!C87,'XBS '!L:L,' General Stock Summary View  '!B87)</f>
        <v>0</v>
      </c>
      <c r="Z87" s="3">
        <f>SUMIFS('PowerApp_Physical count'!H:H,'PowerApp_Physical count'!B:B,' General Stock Summary View  '!$Y$2,'PowerApp_Physical count'!C:C,' General Stock Summary View  '!C87,'PowerApp_Physical count'!A:A,' General Stock Summary View  '!B87)</f>
        <v>0</v>
      </c>
      <c r="AA87" s="4">
        <f t="shared" si="25"/>
        <v>0</v>
      </c>
      <c r="AB87" s="5">
        <f>SUMIFS('XBS '!T:T,'XBS '!H:H,' General Stock Summary View  '!$AB$2,'XBS '!B:B,' General Stock Summary View  '!C87,'XBS '!L:L,' General Stock Summary View  '!B87)</f>
        <v>0</v>
      </c>
      <c r="AC87" s="3">
        <f>SUMIFS('PowerApp_Physical count'!H:H,'PowerApp_Physical count'!B:B,' General Stock Summary View  '!$AB$2,'PowerApp_Physical count'!C:C,' General Stock Summary View  '!C87,'PowerApp_Physical count'!A:A,' General Stock Summary View  '!B87)</f>
        <v>0</v>
      </c>
      <c r="AD87" s="6">
        <f t="shared" si="26"/>
        <v>0</v>
      </c>
      <c r="AE87" s="7">
        <f t="shared" si="27"/>
        <v>0</v>
      </c>
      <c r="AF87" s="8">
        <f t="shared" si="28"/>
        <v>-14.083333333333334</v>
      </c>
      <c r="AG87" s="112"/>
    </row>
    <row r="88" spans="2:33" s="113" customFormat="1" ht="61.15">
      <c r="B88" s="117" t="s">
        <v>117</v>
      </c>
      <c r="C88" s="111" t="s">
        <v>58</v>
      </c>
      <c r="D88" s="11">
        <f>SUMIFS('XBS '!T:T,'XBS '!C:C,' General Stock Summary View  '!C88,'XBS '!L:L,' General Stock Summary View  '!B88)</f>
        <v>19.166666666666668</v>
      </c>
      <c r="E88" s="2">
        <f>SUMIFS('Blocked for Processing'!P:P,'Blocked for Processing'!I:I,' General Stock Summary View  '!B88,'Blocked for Processing'!C:C,' General Stock Summary View  '!C88)</f>
        <v>0</v>
      </c>
      <c r="F88" s="122">
        <f t="shared" si="17"/>
        <v>19.166666666666668</v>
      </c>
      <c r="G88" s="148">
        <f>SUMIFS('XBS '!T:T,'XBS '!H:H,' General Stock Summary View  '!$G$2,'XBS '!L:L,' General Stock Summary View  '!B88,'XBS '!C:C,' General Stock Summary View  '!C88)</f>
        <v>0</v>
      </c>
      <c r="H88" s="3">
        <f>SUMIFS('PowerApp_Physical count'!H:H,'PowerApp_Physical count'!B:B,' General Stock Summary View  '!$G$2,'PowerApp_Physical count'!C:C,' General Stock Summary View  '!C88,'PowerApp_Physical count'!A:A,' General Stock Summary View  '!B88)</f>
        <v>0</v>
      </c>
      <c r="I88" s="154">
        <f t="shared" si="16"/>
        <v>0</v>
      </c>
      <c r="J88" s="11">
        <f>SUMIFS('XBS '!T:T,'XBS '!H:H,' General Stock Summary View  '!$J$2,'XBS '!L:L,' General Stock Summary View  '!B88,'XBS '!C:C,' General Stock Summary View  '!C88)</f>
        <v>0</v>
      </c>
      <c r="K88" s="157">
        <f>SUMIFS('PowerApp_Physical count'!H:H,'PowerApp_Physical count'!B:B,' General Stock Summary View  '!$J$2,'PowerApp_Physical count'!C:C,' General Stock Summary View  '!C88,'PowerApp_Physical count'!A:A,' General Stock Summary View  '!B88)</f>
        <v>0</v>
      </c>
      <c r="L88" s="127">
        <f t="shared" si="18"/>
        <v>0</v>
      </c>
      <c r="M88" s="126">
        <f t="shared" si="19"/>
        <v>0</v>
      </c>
      <c r="N88" s="11">
        <f t="shared" si="20"/>
        <v>0</v>
      </c>
      <c r="O88" s="144">
        <f t="shared" si="21"/>
        <v>0</v>
      </c>
      <c r="P88" s="2">
        <f>SUMIFS('XBS '!T:T,'XBS '!H:H,' General Stock Summary View  '!$P$2,'XBS '!L:L,' General Stock Summary View  '!B88,'XBS '!C:C,' General Stock Summary View  '!C88)</f>
        <v>19.166666666666668</v>
      </c>
      <c r="Q88" s="3">
        <f>SUMIFS('PowerApp_Physical count'!H:H,'PowerApp_Physical count'!B:B,' General Stock Summary View  '!$P$2,'PowerApp_Physical count'!C:C,' General Stock Summary View  '!C88,'PowerApp_Physical count'!A:A,' General Stock Summary View  '!B88)</f>
        <v>0</v>
      </c>
      <c r="R88" s="4">
        <f t="shared" si="22"/>
        <v>-19.166666666666668</v>
      </c>
      <c r="S88" s="5">
        <f>SUMIFS('XBS '!T:T,'XBS '!L:L,' General Stock Summary View  '!B88,'XBS '!H:H,' General Stock Summary View  '!$S$2,'XBS '!C:C,' General Stock Summary View  '!C88)</f>
        <v>0</v>
      </c>
      <c r="T88" s="3">
        <f>SUMIFS('PowerApp_Physical count'!H:H,'PowerApp_Physical count'!B:B,' General Stock Summary View  '!$S$2,'PowerApp_Physical count'!C:C,' General Stock Summary View  '!C88,'PowerApp_Physical count'!A:A,' General Stock Summary View  '!B88)</f>
        <v>0</v>
      </c>
      <c r="U88" s="4">
        <f t="shared" si="23"/>
        <v>0</v>
      </c>
      <c r="V88" s="2">
        <f>SUMIFS('XBS '!T:T,'XBS '!H:H,' General Stock Summary View  '!$V$2,'XBS '!B:B,' General Stock Summary View  '!C88,'XBS '!L:L,' General Stock Summary View  '!B88)</f>
        <v>0</v>
      </c>
      <c r="W88" s="3">
        <f>SUMIFS('PowerApp_Physical count'!H:H,'PowerApp_Physical count'!B:B,' General Stock Summary View  '!$V$2,'PowerApp_Physical count'!C:C,' General Stock Summary View  '!C88,'PowerApp_Physical count'!A:A,' General Stock Summary View  '!B88)</f>
        <v>0</v>
      </c>
      <c r="X88" s="4">
        <f t="shared" si="24"/>
        <v>0</v>
      </c>
      <c r="Y88" s="5">
        <f>SUMIFS('XBS '!T:T,'XBS '!H:H,' General Stock Summary View  '!$Y$2,'XBS '!B:B,' General Stock Summary View  '!C88,'XBS '!L:L,' General Stock Summary View  '!B88)</f>
        <v>0</v>
      </c>
      <c r="Z88" s="3">
        <f>SUMIFS('PowerApp_Physical count'!H:H,'PowerApp_Physical count'!B:B,' General Stock Summary View  '!$Y$2,'PowerApp_Physical count'!C:C,' General Stock Summary View  '!C88,'PowerApp_Physical count'!A:A,' General Stock Summary View  '!B88)</f>
        <v>0</v>
      </c>
      <c r="AA88" s="4">
        <f t="shared" si="25"/>
        <v>0</v>
      </c>
      <c r="AB88" s="5">
        <f>SUMIFS('XBS '!T:T,'XBS '!H:H,' General Stock Summary View  '!$AB$2,'XBS '!B:B,' General Stock Summary View  '!C88,'XBS '!L:L,' General Stock Summary View  '!B88)</f>
        <v>0</v>
      </c>
      <c r="AC88" s="3">
        <f>SUMIFS('PowerApp_Physical count'!H:H,'PowerApp_Physical count'!B:B,' General Stock Summary View  '!$AB$2,'PowerApp_Physical count'!C:C,' General Stock Summary View  '!C88,'PowerApp_Physical count'!A:A,' General Stock Summary View  '!B88)</f>
        <v>0</v>
      </c>
      <c r="AD88" s="6">
        <f t="shared" si="26"/>
        <v>0</v>
      </c>
      <c r="AE88" s="7">
        <f t="shared" si="27"/>
        <v>0</v>
      </c>
      <c r="AF88" s="8">
        <f t="shared" si="28"/>
        <v>-19.166666666666668</v>
      </c>
      <c r="AG88" s="112"/>
    </row>
    <row r="89" spans="2:33" s="113" customFormat="1" ht="61.15">
      <c r="B89" s="117" t="s">
        <v>118</v>
      </c>
      <c r="C89" s="111" t="s">
        <v>58</v>
      </c>
      <c r="D89" s="11">
        <f>SUMIFS('XBS '!T:T,'XBS '!C:C,' General Stock Summary View  '!C89,'XBS '!L:L,' General Stock Summary View  '!B89)</f>
        <v>5.0333333333333332</v>
      </c>
      <c r="E89" s="2">
        <f>SUMIFS('Blocked for Processing'!P:P,'Blocked for Processing'!I:I,' General Stock Summary View  '!B89,'Blocked for Processing'!C:C,' General Stock Summary View  '!C89)</f>
        <v>0</v>
      </c>
      <c r="F89" s="122">
        <f t="shared" si="17"/>
        <v>5.0333333333333332</v>
      </c>
      <c r="G89" s="148">
        <f>SUMIFS('XBS '!T:T,'XBS '!H:H,' General Stock Summary View  '!$G$2,'XBS '!L:L,' General Stock Summary View  '!B89,'XBS '!C:C,' General Stock Summary View  '!C89)</f>
        <v>0</v>
      </c>
      <c r="H89" s="3">
        <f>SUMIFS('PowerApp_Physical count'!H:H,'PowerApp_Physical count'!B:B,' General Stock Summary View  '!$G$2,'PowerApp_Physical count'!C:C,' General Stock Summary View  '!C89,'PowerApp_Physical count'!A:A,' General Stock Summary View  '!B89)</f>
        <v>0</v>
      </c>
      <c r="I89" s="154">
        <f t="shared" si="16"/>
        <v>0</v>
      </c>
      <c r="J89" s="11">
        <f>SUMIFS('XBS '!T:T,'XBS '!H:H,' General Stock Summary View  '!$J$2,'XBS '!L:L,' General Stock Summary View  '!B89,'XBS '!C:C,' General Stock Summary View  '!C89)</f>
        <v>0</v>
      </c>
      <c r="K89" s="157">
        <f>SUMIFS('PowerApp_Physical count'!H:H,'PowerApp_Physical count'!B:B,' General Stock Summary View  '!$J$2,'PowerApp_Physical count'!C:C,' General Stock Summary View  '!C89,'PowerApp_Physical count'!A:A,' General Stock Summary View  '!B89)</f>
        <v>0</v>
      </c>
      <c r="L89" s="127">
        <f t="shared" si="18"/>
        <v>0</v>
      </c>
      <c r="M89" s="126">
        <f t="shared" si="19"/>
        <v>0</v>
      </c>
      <c r="N89" s="11">
        <f t="shared" si="20"/>
        <v>0</v>
      </c>
      <c r="O89" s="144">
        <f t="shared" si="21"/>
        <v>0</v>
      </c>
      <c r="P89" s="2">
        <f>SUMIFS('XBS '!T:T,'XBS '!H:H,' General Stock Summary View  '!$P$2,'XBS '!L:L,' General Stock Summary View  '!B89,'XBS '!C:C,' General Stock Summary View  '!C89)</f>
        <v>5.0333333333333332</v>
      </c>
      <c r="Q89" s="3">
        <f>SUMIFS('PowerApp_Physical count'!H:H,'PowerApp_Physical count'!B:B,' General Stock Summary View  '!$P$2,'PowerApp_Physical count'!C:C,' General Stock Summary View  '!C89,'PowerApp_Physical count'!A:A,' General Stock Summary View  '!B89)</f>
        <v>0</v>
      </c>
      <c r="R89" s="4">
        <f t="shared" si="22"/>
        <v>-5.0333333333333332</v>
      </c>
      <c r="S89" s="5">
        <f>SUMIFS('XBS '!T:T,'XBS '!L:L,' General Stock Summary View  '!B89,'XBS '!H:H,' General Stock Summary View  '!$S$2,'XBS '!C:C,' General Stock Summary View  '!C89)</f>
        <v>0</v>
      </c>
      <c r="T89" s="3">
        <f>SUMIFS('PowerApp_Physical count'!H:H,'PowerApp_Physical count'!B:B,' General Stock Summary View  '!$S$2,'PowerApp_Physical count'!C:C,' General Stock Summary View  '!C89,'PowerApp_Physical count'!A:A,' General Stock Summary View  '!B89)</f>
        <v>0</v>
      </c>
      <c r="U89" s="4">
        <f t="shared" si="23"/>
        <v>0</v>
      </c>
      <c r="V89" s="2">
        <f>SUMIFS('XBS '!T:T,'XBS '!H:H,' General Stock Summary View  '!$V$2,'XBS '!B:B,' General Stock Summary View  '!C89,'XBS '!L:L,' General Stock Summary View  '!B89)</f>
        <v>0</v>
      </c>
      <c r="W89" s="3">
        <f>SUMIFS('PowerApp_Physical count'!H:H,'PowerApp_Physical count'!B:B,' General Stock Summary View  '!$V$2,'PowerApp_Physical count'!C:C,' General Stock Summary View  '!C89,'PowerApp_Physical count'!A:A,' General Stock Summary View  '!B89)</f>
        <v>0</v>
      </c>
      <c r="X89" s="4">
        <f t="shared" si="24"/>
        <v>0</v>
      </c>
      <c r="Y89" s="5">
        <f>SUMIFS('XBS '!T:T,'XBS '!H:H,' General Stock Summary View  '!$Y$2,'XBS '!B:B,' General Stock Summary View  '!C89,'XBS '!L:L,' General Stock Summary View  '!B89)</f>
        <v>0</v>
      </c>
      <c r="Z89" s="3">
        <f>SUMIFS('PowerApp_Physical count'!H:H,'PowerApp_Physical count'!B:B,' General Stock Summary View  '!$Y$2,'PowerApp_Physical count'!C:C,' General Stock Summary View  '!C89,'PowerApp_Physical count'!A:A,' General Stock Summary View  '!B89)</f>
        <v>0</v>
      </c>
      <c r="AA89" s="4">
        <f t="shared" si="25"/>
        <v>0</v>
      </c>
      <c r="AB89" s="5">
        <f>SUMIFS('XBS '!T:T,'XBS '!H:H,' General Stock Summary View  '!$AB$2,'XBS '!B:B,' General Stock Summary View  '!C89,'XBS '!L:L,' General Stock Summary View  '!B89)</f>
        <v>0</v>
      </c>
      <c r="AC89" s="3">
        <f>SUMIFS('PowerApp_Physical count'!H:H,'PowerApp_Physical count'!B:B,' General Stock Summary View  '!$AB$2,'PowerApp_Physical count'!C:C,' General Stock Summary View  '!C89,'PowerApp_Physical count'!A:A,' General Stock Summary View  '!B89)</f>
        <v>0</v>
      </c>
      <c r="AD89" s="6">
        <f t="shared" si="26"/>
        <v>0</v>
      </c>
      <c r="AE89" s="7">
        <f t="shared" si="27"/>
        <v>0</v>
      </c>
      <c r="AF89" s="8">
        <f t="shared" si="28"/>
        <v>-5.0333333333333332</v>
      </c>
      <c r="AG89" s="112"/>
    </row>
    <row r="90" spans="2:33" s="113" customFormat="1" ht="61.15">
      <c r="B90" s="117" t="s">
        <v>119</v>
      </c>
      <c r="C90" s="111" t="s">
        <v>58</v>
      </c>
      <c r="D90" s="11">
        <f>SUMIFS('XBS '!T:T,'XBS '!C:C,' General Stock Summary View  '!C90,'XBS '!L:L,' General Stock Summary View  '!B90)</f>
        <v>15.4</v>
      </c>
      <c r="E90" s="2">
        <f>SUMIFS('Blocked for Processing'!P:P,'Blocked for Processing'!I:I,' General Stock Summary View  '!B90,'Blocked for Processing'!C:C,' General Stock Summary View  '!C90)</f>
        <v>0</v>
      </c>
      <c r="F90" s="122">
        <f t="shared" si="17"/>
        <v>15.4</v>
      </c>
      <c r="G90" s="148">
        <f>SUMIFS('XBS '!T:T,'XBS '!H:H,' General Stock Summary View  '!$G$2,'XBS '!L:L,' General Stock Summary View  '!B90,'XBS '!C:C,' General Stock Summary View  '!C90)</f>
        <v>0</v>
      </c>
      <c r="H90" s="3">
        <f>SUMIFS('PowerApp_Physical count'!H:H,'PowerApp_Physical count'!B:B,' General Stock Summary View  '!$G$2,'PowerApp_Physical count'!C:C,' General Stock Summary View  '!C90,'PowerApp_Physical count'!A:A,' General Stock Summary View  '!B90)</f>
        <v>0</v>
      </c>
      <c r="I90" s="154">
        <f t="shared" si="16"/>
        <v>0</v>
      </c>
      <c r="J90" s="11">
        <f>SUMIFS('XBS '!T:T,'XBS '!H:H,' General Stock Summary View  '!$J$2,'XBS '!L:L,' General Stock Summary View  '!B90,'XBS '!C:C,' General Stock Summary View  '!C90)</f>
        <v>0</v>
      </c>
      <c r="K90" s="157">
        <f>SUMIFS('PowerApp_Physical count'!H:H,'PowerApp_Physical count'!B:B,' General Stock Summary View  '!$J$2,'PowerApp_Physical count'!C:C,' General Stock Summary View  '!C90,'PowerApp_Physical count'!A:A,' General Stock Summary View  '!B90)</f>
        <v>0</v>
      </c>
      <c r="L90" s="127">
        <f t="shared" si="18"/>
        <v>0</v>
      </c>
      <c r="M90" s="126">
        <f t="shared" si="19"/>
        <v>0</v>
      </c>
      <c r="N90" s="11">
        <f t="shared" si="20"/>
        <v>0</v>
      </c>
      <c r="O90" s="144">
        <f t="shared" si="21"/>
        <v>0</v>
      </c>
      <c r="P90" s="2">
        <f>SUMIFS('XBS '!T:T,'XBS '!H:H,' General Stock Summary View  '!$P$2,'XBS '!L:L,' General Stock Summary View  '!B90,'XBS '!C:C,' General Stock Summary View  '!C90)</f>
        <v>15.4</v>
      </c>
      <c r="Q90" s="3">
        <f>SUMIFS('PowerApp_Physical count'!H:H,'PowerApp_Physical count'!B:B,' General Stock Summary View  '!$P$2,'PowerApp_Physical count'!C:C,' General Stock Summary View  '!C90,'PowerApp_Physical count'!A:A,' General Stock Summary View  '!B90)</f>
        <v>0</v>
      </c>
      <c r="R90" s="4">
        <f t="shared" si="22"/>
        <v>-15.4</v>
      </c>
      <c r="S90" s="5">
        <f>SUMIFS('XBS '!T:T,'XBS '!L:L,' General Stock Summary View  '!B90,'XBS '!H:H,' General Stock Summary View  '!$S$2,'XBS '!C:C,' General Stock Summary View  '!C90)</f>
        <v>0</v>
      </c>
      <c r="T90" s="3">
        <f>SUMIFS('PowerApp_Physical count'!H:H,'PowerApp_Physical count'!B:B,' General Stock Summary View  '!$S$2,'PowerApp_Physical count'!C:C,' General Stock Summary View  '!C90,'PowerApp_Physical count'!A:A,' General Stock Summary View  '!B90)</f>
        <v>0</v>
      </c>
      <c r="U90" s="4">
        <f t="shared" si="23"/>
        <v>0</v>
      </c>
      <c r="V90" s="2">
        <f>SUMIFS('XBS '!T:T,'XBS '!H:H,' General Stock Summary View  '!$V$2,'XBS '!B:B,' General Stock Summary View  '!C90,'XBS '!L:L,' General Stock Summary View  '!B90)</f>
        <v>0</v>
      </c>
      <c r="W90" s="3">
        <f>SUMIFS('PowerApp_Physical count'!H:H,'PowerApp_Physical count'!B:B,' General Stock Summary View  '!$V$2,'PowerApp_Physical count'!C:C,' General Stock Summary View  '!C90,'PowerApp_Physical count'!A:A,' General Stock Summary View  '!B90)</f>
        <v>0</v>
      </c>
      <c r="X90" s="4">
        <f t="shared" si="24"/>
        <v>0</v>
      </c>
      <c r="Y90" s="5">
        <f>SUMIFS('XBS '!T:T,'XBS '!H:H,' General Stock Summary View  '!$Y$2,'XBS '!B:B,' General Stock Summary View  '!C90,'XBS '!L:L,' General Stock Summary View  '!B90)</f>
        <v>0</v>
      </c>
      <c r="Z90" s="3">
        <f>SUMIFS('PowerApp_Physical count'!H:H,'PowerApp_Physical count'!B:B,' General Stock Summary View  '!$Y$2,'PowerApp_Physical count'!C:C,' General Stock Summary View  '!C90,'PowerApp_Physical count'!A:A,' General Stock Summary View  '!B90)</f>
        <v>0</v>
      </c>
      <c r="AA90" s="4">
        <f t="shared" si="25"/>
        <v>0</v>
      </c>
      <c r="AB90" s="5">
        <f>SUMIFS('XBS '!T:T,'XBS '!H:H,' General Stock Summary View  '!$AB$2,'XBS '!B:B,' General Stock Summary View  '!C90,'XBS '!L:L,' General Stock Summary View  '!B90)</f>
        <v>0</v>
      </c>
      <c r="AC90" s="3">
        <f>SUMIFS('PowerApp_Physical count'!H:H,'PowerApp_Physical count'!B:B,' General Stock Summary View  '!$AB$2,'PowerApp_Physical count'!C:C,' General Stock Summary View  '!C90,'PowerApp_Physical count'!A:A,' General Stock Summary View  '!B90)</f>
        <v>0</v>
      </c>
      <c r="AD90" s="6">
        <f t="shared" si="26"/>
        <v>0</v>
      </c>
      <c r="AE90" s="7">
        <f t="shared" si="27"/>
        <v>0</v>
      </c>
      <c r="AF90" s="8">
        <f t="shared" si="28"/>
        <v>-15.4</v>
      </c>
      <c r="AG90" s="112"/>
    </row>
    <row r="91" spans="2:33" s="113" customFormat="1" ht="61.15">
      <c r="B91" s="117" t="s">
        <v>120</v>
      </c>
      <c r="C91" s="111" t="s">
        <v>58</v>
      </c>
      <c r="D91" s="11">
        <f>SUMIFS('XBS '!T:T,'XBS '!C:C,' General Stock Summary View  '!C91,'XBS '!L:L,' General Stock Summary View  '!B91)</f>
        <v>13.15</v>
      </c>
      <c r="E91" s="2">
        <f>SUMIFS('Blocked for Processing'!P:P,'Blocked for Processing'!I:I,' General Stock Summary View  '!B91,'Blocked for Processing'!C:C,' General Stock Summary View  '!C91)</f>
        <v>0</v>
      </c>
      <c r="F91" s="122">
        <f t="shared" si="17"/>
        <v>13.15</v>
      </c>
      <c r="G91" s="148">
        <f>SUMIFS('XBS '!T:T,'XBS '!H:H,' General Stock Summary View  '!$G$2,'XBS '!L:L,' General Stock Summary View  '!B91,'XBS '!C:C,' General Stock Summary View  '!C91)</f>
        <v>0</v>
      </c>
      <c r="H91" s="3">
        <f>SUMIFS('PowerApp_Physical count'!H:H,'PowerApp_Physical count'!B:B,' General Stock Summary View  '!$G$2,'PowerApp_Physical count'!C:C,' General Stock Summary View  '!C91,'PowerApp_Physical count'!A:A,' General Stock Summary View  '!B91)</f>
        <v>0</v>
      </c>
      <c r="I91" s="154">
        <f t="shared" si="16"/>
        <v>0</v>
      </c>
      <c r="J91" s="11">
        <f>SUMIFS('XBS '!T:T,'XBS '!H:H,' General Stock Summary View  '!$J$2,'XBS '!L:L,' General Stock Summary View  '!B91,'XBS '!C:C,' General Stock Summary View  '!C91)</f>
        <v>0</v>
      </c>
      <c r="K91" s="157">
        <f>SUMIFS('PowerApp_Physical count'!H:H,'PowerApp_Physical count'!B:B,' General Stock Summary View  '!$J$2,'PowerApp_Physical count'!C:C,' General Stock Summary View  '!C91,'PowerApp_Physical count'!A:A,' General Stock Summary View  '!B91)</f>
        <v>0</v>
      </c>
      <c r="L91" s="127">
        <f t="shared" si="18"/>
        <v>0</v>
      </c>
      <c r="M91" s="126">
        <f t="shared" si="19"/>
        <v>0</v>
      </c>
      <c r="N91" s="11">
        <f t="shared" si="20"/>
        <v>0</v>
      </c>
      <c r="O91" s="144">
        <f t="shared" si="21"/>
        <v>0</v>
      </c>
      <c r="P91" s="2">
        <f>SUMIFS('XBS '!T:T,'XBS '!H:H,' General Stock Summary View  '!$P$2,'XBS '!L:L,' General Stock Summary View  '!B91,'XBS '!C:C,' General Stock Summary View  '!C91)</f>
        <v>13.15</v>
      </c>
      <c r="Q91" s="3">
        <f>SUMIFS('PowerApp_Physical count'!H:H,'PowerApp_Physical count'!B:B,' General Stock Summary View  '!$P$2,'PowerApp_Physical count'!C:C,' General Stock Summary View  '!C91,'PowerApp_Physical count'!A:A,' General Stock Summary View  '!B91)</f>
        <v>0</v>
      </c>
      <c r="R91" s="4">
        <f t="shared" si="22"/>
        <v>-13.15</v>
      </c>
      <c r="S91" s="5">
        <f>SUMIFS('XBS '!T:T,'XBS '!L:L,' General Stock Summary View  '!B91,'XBS '!H:H,' General Stock Summary View  '!$S$2,'XBS '!C:C,' General Stock Summary View  '!C91)</f>
        <v>0</v>
      </c>
      <c r="T91" s="3">
        <f>SUMIFS('PowerApp_Physical count'!H:H,'PowerApp_Physical count'!B:B,' General Stock Summary View  '!$S$2,'PowerApp_Physical count'!C:C,' General Stock Summary View  '!C91,'PowerApp_Physical count'!A:A,' General Stock Summary View  '!B91)</f>
        <v>0</v>
      </c>
      <c r="U91" s="4">
        <f t="shared" si="23"/>
        <v>0</v>
      </c>
      <c r="V91" s="2">
        <f>SUMIFS('XBS '!T:T,'XBS '!H:H,' General Stock Summary View  '!$V$2,'XBS '!B:B,' General Stock Summary View  '!C91,'XBS '!L:L,' General Stock Summary View  '!B91)</f>
        <v>0</v>
      </c>
      <c r="W91" s="3">
        <f>SUMIFS('PowerApp_Physical count'!H:H,'PowerApp_Physical count'!B:B,' General Stock Summary View  '!$V$2,'PowerApp_Physical count'!C:C,' General Stock Summary View  '!C91,'PowerApp_Physical count'!A:A,' General Stock Summary View  '!B91)</f>
        <v>0</v>
      </c>
      <c r="X91" s="4">
        <f t="shared" si="24"/>
        <v>0</v>
      </c>
      <c r="Y91" s="5">
        <f>SUMIFS('XBS '!T:T,'XBS '!H:H,' General Stock Summary View  '!$Y$2,'XBS '!B:B,' General Stock Summary View  '!C91,'XBS '!L:L,' General Stock Summary View  '!B91)</f>
        <v>0</v>
      </c>
      <c r="Z91" s="3">
        <f>SUMIFS('PowerApp_Physical count'!H:H,'PowerApp_Physical count'!B:B,' General Stock Summary View  '!$Y$2,'PowerApp_Physical count'!C:C,' General Stock Summary View  '!C91,'PowerApp_Physical count'!A:A,' General Stock Summary View  '!B91)</f>
        <v>0</v>
      </c>
      <c r="AA91" s="4">
        <f t="shared" si="25"/>
        <v>0</v>
      </c>
      <c r="AB91" s="5">
        <f>SUMIFS('XBS '!T:T,'XBS '!H:H,' General Stock Summary View  '!$AB$2,'XBS '!B:B,' General Stock Summary View  '!C91,'XBS '!L:L,' General Stock Summary View  '!B91)</f>
        <v>0</v>
      </c>
      <c r="AC91" s="3">
        <f>SUMIFS('PowerApp_Physical count'!H:H,'PowerApp_Physical count'!B:B,' General Stock Summary View  '!$AB$2,'PowerApp_Physical count'!C:C,' General Stock Summary View  '!C91,'PowerApp_Physical count'!A:A,' General Stock Summary View  '!B91)</f>
        <v>0</v>
      </c>
      <c r="AD91" s="6">
        <f t="shared" si="26"/>
        <v>0</v>
      </c>
      <c r="AE91" s="7">
        <f t="shared" si="27"/>
        <v>0</v>
      </c>
      <c r="AF91" s="8">
        <f t="shared" si="28"/>
        <v>-13.15</v>
      </c>
      <c r="AG91" s="112"/>
    </row>
    <row r="92" spans="2:33" s="113" customFormat="1" ht="61.15">
      <c r="B92" s="117" t="s">
        <v>121</v>
      </c>
      <c r="C92" s="111" t="s">
        <v>58</v>
      </c>
      <c r="D92" s="11">
        <f>SUMIFS('XBS '!T:T,'XBS '!C:C,' General Stock Summary View  '!C92,'XBS '!L:L,' General Stock Summary View  '!B92)</f>
        <v>18.683333333333334</v>
      </c>
      <c r="E92" s="2">
        <f>SUMIFS('Blocked for Processing'!P:P,'Blocked for Processing'!I:I,' General Stock Summary View  '!B92,'Blocked for Processing'!C:C,' General Stock Summary View  '!C92)</f>
        <v>0</v>
      </c>
      <c r="F92" s="122">
        <f t="shared" si="17"/>
        <v>18.683333333333334</v>
      </c>
      <c r="G92" s="148">
        <f>SUMIFS('XBS '!T:T,'XBS '!H:H,' General Stock Summary View  '!$G$2,'XBS '!L:L,' General Stock Summary View  '!B92,'XBS '!C:C,' General Stock Summary View  '!C92)</f>
        <v>0</v>
      </c>
      <c r="H92" s="3">
        <f>SUMIFS('PowerApp_Physical count'!H:H,'PowerApp_Physical count'!B:B,' General Stock Summary View  '!$G$2,'PowerApp_Physical count'!C:C,' General Stock Summary View  '!C92,'PowerApp_Physical count'!A:A,' General Stock Summary View  '!B92)</f>
        <v>0</v>
      </c>
      <c r="I92" s="154">
        <f t="shared" si="16"/>
        <v>0</v>
      </c>
      <c r="J92" s="11">
        <f>SUMIFS('XBS '!T:T,'XBS '!H:H,' General Stock Summary View  '!$J$2,'XBS '!L:L,' General Stock Summary View  '!B92,'XBS '!C:C,' General Stock Summary View  '!C92)</f>
        <v>0</v>
      </c>
      <c r="K92" s="157">
        <f>SUMIFS('PowerApp_Physical count'!H:H,'PowerApp_Physical count'!B:B,' General Stock Summary View  '!$J$2,'PowerApp_Physical count'!C:C,' General Stock Summary View  '!C92,'PowerApp_Physical count'!A:A,' General Stock Summary View  '!B92)</f>
        <v>0</v>
      </c>
      <c r="L92" s="127">
        <f t="shared" si="18"/>
        <v>0</v>
      </c>
      <c r="M92" s="126">
        <f t="shared" si="19"/>
        <v>0</v>
      </c>
      <c r="N92" s="11">
        <f t="shared" si="20"/>
        <v>0</v>
      </c>
      <c r="O92" s="144">
        <f t="shared" si="21"/>
        <v>0</v>
      </c>
      <c r="P92" s="2">
        <f>SUMIFS('XBS '!T:T,'XBS '!H:H,' General Stock Summary View  '!$P$2,'XBS '!L:L,' General Stock Summary View  '!B92,'XBS '!C:C,' General Stock Summary View  '!C92)</f>
        <v>18.683333333333334</v>
      </c>
      <c r="Q92" s="3">
        <f>SUMIFS('PowerApp_Physical count'!H:H,'PowerApp_Physical count'!B:B,' General Stock Summary View  '!$P$2,'PowerApp_Physical count'!C:C,' General Stock Summary View  '!C92,'PowerApp_Physical count'!A:A,' General Stock Summary View  '!B92)</f>
        <v>0</v>
      </c>
      <c r="R92" s="4">
        <f t="shared" si="22"/>
        <v>-18.683333333333334</v>
      </c>
      <c r="S92" s="5">
        <f>SUMIFS('XBS '!T:T,'XBS '!L:L,' General Stock Summary View  '!B92,'XBS '!H:H,' General Stock Summary View  '!$S$2,'XBS '!C:C,' General Stock Summary View  '!C92)</f>
        <v>0</v>
      </c>
      <c r="T92" s="3">
        <f>SUMIFS('PowerApp_Physical count'!H:H,'PowerApp_Physical count'!B:B,' General Stock Summary View  '!$S$2,'PowerApp_Physical count'!C:C,' General Stock Summary View  '!C92,'PowerApp_Physical count'!A:A,' General Stock Summary View  '!B92)</f>
        <v>0</v>
      </c>
      <c r="U92" s="4">
        <f t="shared" si="23"/>
        <v>0</v>
      </c>
      <c r="V92" s="2">
        <f>SUMIFS('XBS '!T:T,'XBS '!H:H,' General Stock Summary View  '!$V$2,'XBS '!B:B,' General Stock Summary View  '!C92,'XBS '!L:L,' General Stock Summary View  '!B92)</f>
        <v>0</v>
      </c>
      <c r="W92" s="3">
        <f>SUMIFS('PowerApp_Physical count'!H:H,'PowerApp_Physical count'!B:B,' General Stock Summary View  '!$V$2,'PowerApp_Physical count'!C:C,' General Stock Summary View  '!C92,'PowerApp_Physical count'!A:A,' General Stock Summary View  '!B92)</f>
        <v>0</v>
      </c>
      <c r="X92" s="4">
        <f t="shared" si="24"/>
        <v>0</v>
      </c>
      <c r="Y92" s="5">
        <f>SUMIFS('XBS '!T:T,'XBS '!H:H,' General Stock Summary View  '!$Y$2,'XBS '!B:B,' General Stock Summary View  '!C92,'XBS '!L:L,' General Stock Summary View  '!B92)</f>
        <v>0</v>
      </c>
      <c r="Z92" s="3">
        <f>SUMIFS('PowerApp_Physical count'!H:H,'PowerApp_Physical count'!B:B,' General Stock Summary View  '!$Y$2,'PowerApp_Physical count'!C:C,' General Stock Summary View  '!C92,'PowerApp_Physical count'!A:A,' General Stock Summary View  '!B92)</f>
        <v>0</v>
      </c>
      <c r="AA92" s="4">
        <f t="shared" si="25"/>
        <v>0</v>
      </c>
      <c r="AB92" s="5">
        <f>SUMIFS('XBS '!T:T,'XBS '!H:H,' General Stock Summary View  '!$AB$2,'XBS '!B:B,' General Stock Summary View  '!C92,'XBS '!L:L,' General Stock Summary View  '!B92)</f>
        <v>0</v>
      </c>
      <c r="AC92" s="3">
        <f>SUMIFS('PowerApp_Physical count'!H:H,'PowerApp_Physical count'!B:B,' General Stock Summary View  '!$AB$2,'PowerApp_Physical count'!C:C,' General Stock Summary View  '!C92,'PowerApp_Physical count'!A:A,' General Stock Summary View  '!B92)</f>
        <v>0</v>
      </c>
      <c r="AD92" s="6">
        <f t="shared" si="26"/>
        <v>0</v>
      </c>
      <c r="AE92" s="7">
        <f t="shared" si="27"/>
        <v>0</v>
      </c>
      <c r="AF92" s="8">
        <f t="shared" si="28"/>
        <v>-18.683333333333334</v>
      </c>
      <c r="AG92" s="112"/>
    </row>
    <row r="93" spans="2:33" s="113" customFormat="1" ht="61.15">
      <c r="B93" s="117" t="s">
        <v>55</v>
      </c>
      <c r="C93" s="111" t="s">
        <v>58</v>
      </c>
      <c r="D93" s="11">
        <f>SUMIFS('XBS '!T:T,'XBS '!C:C,' General Stock Summary View  '!C93,'XBS '!L:L,' General Stock Summary View  '!B93)</f>
        <v>113</v>
      </c>
      <c r="E93" s="2">
        <f>SUMIFS('Blocked for Processing'!P:P,'Blocked for Processing'!I:I,' General Stock Summary View  '!B93,'Blocked for Processing'!C:C,' General Stock Summary View  '!C93)</f>
        <v>0</v>
      </c>
      <c r="F93" s="122">
        <f t="shared" si="17"/>
        <v>113</v>
      </c>
      <c r="G93" s="148">
        <f>SUMIFS('XBS '!T:T,'XBS '!H:H,' General Stock Summary View  '!$G$2,'XBS '!L:L,' General Stock Summary View  '!B93,'XBS '!C:C,' General Stock Summary View  '!C93)</f>
        <v>0</v>
      </c>
      <c r="H93" s="3">
        <f>SUMIFS('PowerApp_Physical count'!H:H,'PowerApp_Physical count'!B:B,' General Stock Summary View  '!$G$2,'PowerApp_Physical count'!C:C,' General Stock Summary View  '!C93,'PowerApp_Physical count'!A:A,' General Stock Summary View  '!B93)</f>
        <v>0</v>
      </c>
      <c r="I93" s="154">
        <f t="shared" si="16"/>
        <v>0</v>
      </c>
      <c r="J93" s="11">
        <f>SUMIFS('XBS '!T:T,'XBS '!H:H,' General Stock Summary View  '!$J$2,'XBS '!L:L,' General Stock Summary View  '!B93,'XBS '!C:C,' General Stock Summary View  '!C93)</f>
        <v>0</v>
      </c>
      <c r="K93" s="157">
        <f>SUMIFS('PowerApp_Physical count'!H:H,'PowerApp_Physical count'!B:B,' General Stock Summary View  '!$J$2,'PowerApp_Physical count'!C:C,' General Stock Summary View  '!C93,'PowerApp_Physical count'!A:A,' General Stock Summary View  '!B93)</f>
        <v>0</v>
      </c>
      <c r="L93" s="127">
        <f t="shared" si="18"/>
        <v>0</v>
      </c>
      <c r="M93" s="126">
        <f t="shared" si="19"/>
        <v>0</v>
      </c>
      <c r="N93" s="11">
        <f t="shared" si="20"/>
        <v>0</v>
      </c>
      <c r="O93" s="144">
        <f t="shared" si="21"/>
        <v>0</v>
      </c>
      <c r="P93" s="2">
        <f>SUMIFS('XBS '!T:T,'XBS '!H:H,' General Stock Summary View  '!$P$2,'XBS '!L:L,' General Stock Summary View  '!B93,'XBS '!C:C,' General Stock Summary View  '!C93)</f>
        <v>113</v>
      </c>
      <c r="Q93" s="3">
        <f>SUMIFS('PowerApp_Physical count'!H:H,'PowerApp_Physical count'!B:B,' General Stock Summary View  '!$P$2,'PowerApp_Physical count'!C:C,' General Stock Summary View  '!C93,'PowerApp_Physical count'!A:A,' General Stock Summary View  '!B93)</f>
        <v>0</v>
      </c>
      <c r="R93" s="4">
        <f t="shared" si="22"/>
        <v>-113</v>
      </c>
      <c r="S93" s="5">
        <f>SUMIFS('XBS '!T:T,'XBS '!L:L,' General Stock Summary View  '!B93,'XBS '!H:H,' General Stock Summary View  '!$S$2,'XBS '!C:C,' General Stock Summary View  '!C93)</f>
        <v>0</v>
      </c>
      <c r="T93" s="3">
        <f>SUMIFS('PowerApp_Physical count'!H:H,'PowerApp_Physical count'!B:B,' General Stock Summary View  '!$S$2,'PowerApp_Physical count'!C:C,' General Stock Summary View  '!C93,'PowerApp_Physical count'!A:A,' General Stock Summary View  '!B93)</f>
        <v>0</v>
      </c>
      <c r="U93" s="4">
        <f t="shared" si="23"/>
        <v>0</v>
      </c>
      <c r="V93" s="2">
        <f>SUMIFS('XBS '!T:T,'XBS '!H:H,' General Stock Summary View  '!$V$2,'XBS '!B:B,' General Stock Summary View  '!C93,'XBS '!L:L,' General Stock Summary View  '!B93)</f>
        <v>0</v>
      </c>
      <c r="W93" s="3">
        <f>SUMIFS('PowerApp_Physical count'!H:H,'PowerApp_Physical count'!B:B,' General Stock Summary View  '!$V$2,'PowerApp_Physical count'!C:C,' General Stock Summary View  '!C93,'PowerApp_Physical count'!A:A,' General Stock Summary View  '!B93)</f>
        <v>0</v>
      </c>
      <c r="X93" s="4">
        <f t="shared" si="24"/>
        <v>0</v>
      </c>
      <c r="Y93" s="5">
        <f>SUMIFS('XBS '!T:T,'XBS '!H:H,' General Stock Summary View  '!$Y$2,'XBS '!B:B,' General Stock Summary View  '!C93,'XBS '!L:L,' General Stock Summary View  '!B93)</f>
        <v>0</v>
      </c>
      <c r="Z93" s="3">
        <f>SUMIFS('PowerApp_Physical count'!H:H,'PowerApp_Physical count'!B:B,' General Stock Summary View  '!$Y$2,'PowerApp_Physical count'!C:C,' General Stock Summary View  '!C93,'PowerApp_Physical count'!A:A,' General Stock Summary View  '!B93)</f>
        <v>0</v>
      </c>
      <c r="AA93" s="4">
        <f t="shared" si="25"/>
        <v>0</v>
      </c>
      <c r="AB93" s="5">
        <f>SUMIFS('XBS '!T:T,'XBS '!H:H,' General Stock Summary View  '!$AB$2,'XBS '!B:B,' General Stock Summary View  '!C93,'XBS '!L:L,' General Stock Summary View  '!B93)</f>
        <v>0</v>
      </c>
      <c r="AC93" s="3">
        <f>SUMIFS('PowerApp_Physical count'!H:H,'PowerApp_Physical count'!B:B,' General Stock Summary View  '!$AB$2,'PowerApp_Physical count'!C:C,' General Stock Summary View  '!C93,'PowerApp_Physical count'!A:A,' General Stock Summary View  '!B93)</f>
        <v>0</v>
      </c>
      <c r="AD93" s="6">
        <f t="shared" si="26"/>
        <v>0</v>
      </c>
      <c r="AE93" s="7">
        <f t="shared" si="27"/>
        <v>0</v>
      </c>
      <c r="AF93" s="8">
        <f t="shared" si="28"/>
        <v>-113</v>
      </c>
      <c r="AG93" s="112"/>
    </row>
    <row r="94" spans="2:33" s="113" customFormat="1" ht="61.15">
      <c r="B94" s="117" t="s">
        <v>122</v>
      </c>
      <c r="C94" s="111" t="s">
        <v>58</v>
      </c>
      <c r="D94" s="11">
        <f>SUMIFS('XBS '!T:T,'XBS '!C:C,' General Stock Summary View  '!C94,'XBS '!L:L,' General Stock Summary View  '!B94)</f>
        <v>4.6749999999999998</v>
      </c>
      <c r="E94" s="2">
        <f>SUMIFS('Blocked for Processing'!P:P,'Blocked for Processing'!I:I,' General Stock Summary View  '!B94,'Blocked for Processing'!C:C,' General Stock Summary View  '!C94)</f>
        <v>0</v>
      </c>
      <c r="F94" s="122">
        <f t="shared" si="17"/>
        <v>4.6749999999999998</v>
      </c>
      <c r="G94" s="148">
        <f>SUMIFS('XBS '!T:T,'XBS '!H:H,' General Stock Summary View  '!$G$2,'XBS '!L:L,' General Stock Summary View  '!B94,'XBS '!C:C,' General Stock Summary View  '!C94)</f>
        <v>4.6749999999999998</v>
      </c>
      <c r="H94" s="3">
        <f>SUMIFS('PowerApp_Physical count'!H:H,'PowerApp_Physical count'!B:B,' General Stock Summary View  '!$G$2,'PowerApp_Physical count'!C:C,' General Stock Summary View  '!C94,'PowerApp_Physical count'!A:A,' General Stock Summary View  '!B94)</f>
        <v>4.6833333333333336</v>
      </c>
      <c r="I94" s="154">
        <f t="shared" si="16"/>
        <v>8.3333333333337478E-3</v>
      </c>
      <c r="J94" s="11">
        <f>SUMIFS('XBS '!T:T,'XBS '!H:H,' General Stock Summary View  '!$J$2,'XBS '!L:L,' General Stock Summary View  '!B94,'XBS '!C:C,' General Stock Summary View  '!C94)</f>
        <v>0</v>
      </c>
      <c r="K94" s="157">
        <f>SUMIFS('PowerApp_Physical count'!H:H,'PowerApp_Physical count'!B:B,' General Stock Summary View  '!$J$2,'PowerApp_Physical count'!C:C,' General Stock Summary View  '!C94,'PowerApp_Physical count'!A:A,' General Stock Summary View  '!B94)</f>
        <v>0</v>
      </c>
      <c r="L94" s="127">
        <f t="shared" si="18"/>
        <v>0</v>
      </c>
      <c r="M94" s="126">
        <f t="shared" si="19"/>
        <v>4.6749999999999998</v>
      </c>
      <c r="N94" s="11">
        <f t="shared" si="20"/>
        <v>4.6833333333333336</v>
      </c>
      <c r="O94" s="144">
        <f t="shared" si="21"/>
        <v>8.3333333333337478E-3</v>
      </c>
      <c r="P94" s="2">
        <f>SUMIFS('XBS '!T:T,'XBS '!H:H,' General Stock Summary View  '!$P$2,'XBS '!L:L,' General Stock Summary View  '!B94,'XBS '!C:C,' General Stock Summary View  '!C94)</f>
        <v>0</v>
      </c>
      <c r="Q94" s="3">
        <f>SUMIFS('PowerApp_Physical count'!H:H,'PowerApp_Physical count'!B:B,' General Stock Summary View  '!$P$2,'PowerApp_Physical count'!C:C,' General Stock Summary View  '!C94,'PowerApp_Physical count'!A:A,' General Stock Summary View  '!B94)</f>
        <v>0</v>
      </c>
      <c r="R94" s="4">
        <f t="shared" si="22"/>
        <v>0</v>
      </c>
      <c r="S94" s="5">
        <f>SUMIFS('XBS '!T:T,'XBS '!L:L,' General Stock Summary View  '!B94,'XBS '!H:H,' General Stock Summary View  '!$S$2,'XBS '!C:C,' General Stock Summary View  '!C94)</f>
        <v>0</v>
      </c>
      <c r="T94" s="3">
        <f>SUMIFS('PowerApp_Physical count'!H:H,'PowerApp_Physical count'!B:B,' General Stock Summary View  '!$S$2,'PowerApp_Physical count'!C:C,' General Stock Summary View  '!C94,'PowerApp_Physical count'!A:A,' General Stock Summary View  '!B94)</f>
        <v>0</v>
      </c>
      <c r="U94" s="4">
        <f t="shared" si="23"/>
        <v>0</v>
      </c>
      <c r="V94" s="2">
        <f>SUMIFS('XBS '!T:T,'XBS '!H:H,' General Stock Summary View  '!$V$2,'XBS '!B:B,' General Stock Summary View  '!C94,'XBS '!L:L,' General Stock Summary View  '!B94)</f>
        <v>0</v>
      </c>
      <c r="W94" s="3">
        <f>SUMIFS('PowerApp_Physical count'!H:H,'PowerApp_Physical count'!B:B,' General Stock Summary View  '!$V$2,'PowerApp_Physical count'!C:C,' General Stock Summary View  '!C94,'PowerApp_Physical count'!A:A,' General Stock Summary View  '!B94)</f>
        <v>0</v>
      </c>
      <c r="X94" s="4">
        <f t="shared" si="24"/>
        <v>0</v>
      </c>
      <c r="Y94" s="5">
        <f>SUMIFS('XBS '!T:T,'XBS '!H:H,' General Stock Summary View  '!$Y$2,'XBS '!B:B,' General Stock Summary View  '!C94,'XBS '!L:L,' General Stock Summary View  '!B94)</f>
        <v>0</v>
      </c>
      <c r="Z94" s="3">
        <f>SUMIFS('PowerApp_Physical count'!H:H,'PowerApp_Physical count'!B:B,' General Stock Summary View  '!$Y$2,'PowerApp_Physical count'!C:C,' General Stock Summary View  '!C94,'PowerApp_Physical count'!A:A,' General Stock Summary View  '!B94)</f>
        <v>0</v>
      </c>
      <c r="AA94" s="4">
        <f t="shared" si="25"/>
        <v>0</v>
      </c>
      <c r="AB94" s="5">
        <f>SUMIFS('XBS '!T:T,'XBS '!H:H,' General Stock Summary View  '!$AB$2,'XBS '!B:B,' General Stock Summary View  '!C94,'XBS '!L:L,' General Stock Summary View  '!B94)</f>
        <v>0</v>
      </c>
      <c r="AC94" s="3">
        <f>SUMIFS('PowerApp_Physical count'!H:H,'PowerApp_Physical count'!B:B,' General Stock Summary View  '!$AB$2,'PowerApp_Physical count'!C:C,' General Stock Summary View  '!C94,'PowerApp_Physical count'!A:A,' General Stock Summary View  '!B94)</f>
        <v>0</v>
      </c>
      <c r="AD94" s="6">
        <f t="shared" si="26"/>
        <v>0</v>
      </c>
      <c r="AE94" s="7">
        <f t="shared" si="27"/>
        <v>4.6833333333333336</v>
      </c>
      <c r="AF94" s="8">
        <f t="shared" si="28"/>
        <v>8.3333333333337478E-3</v>
      </c>
      <c r="AG94" s="112"/>
    </row>
    <row r="95" spans="2:33" s="113" customFormat="1" ht="61.15">
      <c r="B95" s="117" t="s">
        <v>123</v>
      </c>
      <c r="C95" s="111" t="s">
        <v>58</v>
      </c>
      <c r="D95" s="11">
        <f>SUMIFS('XBS '!T:T,'XBS '!C:C,' General Stock Summary View  '!C95,'XBS '!L:L,' General Stock Summary View  '!B95)</f>
        <v>57.866666666666667</v>
      </c>
      <c r="E95" s="2">
        <f>SUMIFS('Blocked for Processing'!P:P,'Blocked for Processing'!I:I,' General Stock Summary View  '!B95,'Blocked for Processing'!C:C,' General Stock Summary View  '!C95)</f>
        <v>0</v>
      </c>
      <c r="F95" s="122">
        <f t="shared" si="17"/>
        <v>57.866666666666667</v>
      </c>
      <c r="G95" s="148">
        <f>SUMIFS('XBS '!T:T,'XBS '!H:H,' General Stock Summary View  '!$G$2,'XBS '!L:L,' General Stock Summary View  '!B95,'XBS '!C:C,' General Stock Summary View  '!C95)</f>
        <v>0</v>
      </c>
      <c r="H95" s="3">
        <f>SUMIFS('PowerApp_Physical count'!H:H,'PowerApp_Physical count'!B:B,' General Stock Summary View  '!$G$2,'PowerApp_Physical count'!C:C,' General Stock Summary View  '!C95,'PowerApp_Physical count'!A:A,' General Stock Summary View  '!B95)</f>
        <v>0</v>
      </c>
      <c r="I95" s="154">
        <f t="shared" si="16"/>
        <v>0</v>
      </c>
      <c r="J95" s="11">
        <f>SUMIFS('XBS '!T:T,'XBS '!H:H,' General Stock Summary View  '!$J$2,'XBS '!L:L,' General Stock Summary View  '!B95,'XBS '!C:C,' General Stock Summary View  '!C95)</f>
        <v>0</v>
      </c>
      <c r="K95" s="157">
        <f>SUMIFS('PowerApp_Physical count'!H:H,'PowerApp_Physical count'!B:B,' General Stock Summary View  '!$J$2,'PowerApp_Physical count'!C:C,' General Stock Summary View  '!C95,'PowerApp_Physical count'!A:A,' General Stock Summary View  '!B95)</f>
        <v>0</v>
      </c>
      <c r="L95" s="127">
        <f t="shared" si="18"/>
        <v>0</v>
      </c>
      <c r="M95" s="126">
        <f t="shared" si="19"/>
        <v>0</v>
      </c>
      <c r="N95" s="11">
        <f t="shared" si="20"/>
        <v>0</v>
      </c>
      <c r="O95" s="144">
        <f t="shared" si="21"/>
        <v>0</v>
      </c>
      <c r="P95" s="2">
        <f>SUMIFS('XBS '!T:T,'XBS '!H:H,' General Stock Summary View  '!$P$2,'XBS '!L:L,' General Stock Summary View  '!B95,'XBS '!C:C,' General Stock Summary View  '!C95)</f>
        <v>0</v>
      </c>
      <c r="Q95" s="3">
        <f>SUMIFS('PowerApp_Physical count'!H:H,'PowerApp_Physical count'!B:B,' General Stock Summary View  '!$P$2,'PowerApp_Physical count'!C:C,' General Stock Summary View  '!C95,'PowerApp_Physical count'!A:A,' General Stock Summary View  '!B95)</f>
        <v>0</v>
      </c>
      <c r="R95" s="4">
        <f t="shared" si="22"/>
        <v>0</v>
      </c>
      <c r="S95" s="5">
        <f>SUMIFS('XBS '!T:T,'XBS '!L:L,' General Stock Summary View  '!B95,'XBS '!H:H,' General Stock Summary View  '!$S$2,'XBS '!C:C,' General Stock Summary View  '!C95)</f>
        <v>0</v>
      </c>
      <c r="T95" s="3">
        <f>SUMIFS('PowerApp_Physical count'!H:H,'PowerApp_Physical count'!B:B,' General Stock Summary View  '!$S$2,'PowerApp_Physical count'!C:C,' General Stock Summary View  '!C95,'PowerApp_Physical count'!A:A,' General Stock Summary View  '!B95)</f>
        <v>0</v>
      </c>
      <c r="U95" s="4">
        <f t="shared" si="23"/>
        <v>0</v>
      </c>
      <c r="V95" s="2">
        <f>SUMIFS('XBS '!T:T,'XBS '!H:H,' General Stock Summary View  '!$V$2,'XBS '!B:B,' General Stock Summary View  '!C95,'XBS '!L:L,' General Stock Summary View  '!B95)</f>
        <v>0</v>
      </c>
      <c r="W95" s="3">
        <f>SUMIFS('PowerApp_Physical count'!H:H,'PowerApp_Physical count'!B:B,' General Stock Summary View  '!$V$2,'PowerApp_Physical count'!C:C,' General Stock Summary View  '!C95,'PowerApp_Physical count'!A:A,' General Stock Summary View  '!B95)</f>
        <v>0</v>
      </c>
      <c r="X95" s="4">
        <f t="shared" si="24"/>
        <v>0</v>
      </c>
      <c r="Y95" s="5">
        <f>SUMIFS('XBS '!T:T,'XBS '!H:H,' General Stock Summary View  '!$Y$2,'XBS '!B:B,' General Stock Summary View  '!C95,'XBS '!L:L,' General Stock Summary View  '!B95)</f>
        <v>0</v>
      </c>
      <c r="Z95" s="3">
        <f>SUMIFS('PowerApp_Physical count'!H:H,'PowerApp_Physical count'!B:B,' General Stock Summary View  '!$Y$2,'PowerApp_Physical count'!C:C,' General Stock Summary View  '!C95,'PowerApp_Physical count'!A:A,' General Stock Summary View  '!B95)</f>
        <v>0</v>
      </c>
      <c r="AA95" s="4">
        <f t="shared" si="25"/>
        <v>0</v>
      </c>
      <c r="AB95" s="5">
        <f>SUMIFS('XBS '!T:T,'XBS '!H:H,' General Stock Summary View  '!$AB$2,'XBS '!B:B,' General Stock Summary View  '!C95,'XBS '!L:L,' General Stock Summary View  '!B95)</f>
        <v>57.866666666666667</v>
      </c>
      <c r="AC95" s="3">
        <f>SUMIFS('PowerApp_Physical count'!H:H,'PowerApp_Physical count'!B:B,' General Stock Summary View  '!$AB$2,'PowerApp_Physical count'!C:C,' General Stock Summary View  '!C95,'PowerApp_Physical count'!A:A,' General Stock Summary View  '!B95)</f>
        <v>0</v>
      </c>
      <c r="AD95" s="6">
        <f t="shared" si="26"/>
        <v>-57.866666666666667</v>
      </c>
      <c r="AE95" s="7">
        <f t="shared" si="27"/>
        <v>0</v>
      </c>
      <c r="AF95" s="8">
        <f t="shared" si="28"/>
        <v>-57.866666666666667</v>
      </c>
      <c r="AG95" s="112"/>
    </row>
    <row r="96" spans="2:33" s="113" customFormat="1" ht="61.15">
      <c r="B96" s="117" t="s">
        <v>124</v>
      </c>
      <c r="C96" s="111" t="s">
        <v>58</v>
      </c>
      <c r="D96" s="11">
        <f>SUMIFS('XBS '!T:T,'XBS '!C:C,' General Stock Summary View  '!C96,'XBS '!L:L,' General Stock Summary View  '!B96)</f>
        <v>19.333333333333332</v>
      </c>
      <c r="E96" s="2">
        <f>SUMIFS('Blocked for Processing'!P:P,'Blocked for Processing'!I:I,' General Stock Summary View  '!B96,'Blocked for Processing'!C:C,' General Stock Summary View  '!C96)</f>
        <v>0</v>
      </c>
      <c r="F96" s="122">
        <f t="shared" si="17"/>
        <v>19.333333333333332</v>
      </c>
      <c r="G96" s="148">
        <f>SUMIFS('XBS '!T:T,'XBS '!H:H,' General Stock Summary View  '!$G$2,'XBS '!L:L,' General Stock Summary View  '!B96,'XBS '!C:C,' General Stock Summary View  '!C96)</f>
        <v>0</v>
      </c>
      <c r="H96" s="3">
        <f>SUMIFS('PowerApp_Physical count'!H:H,'PowerApp_Physical count'!B:B,' General Stock Summary View  '!$G$2,'PowerApp_Physical count'!C:C,' General Stock Summary View  '!C96,'PowerApp_Physical count'!A:A,' General Stock Summary View  '!B96)</f>
        <v>0</v>
      </c>
      <c r="I96" s="154">
        <f t="shared" si="16"/>
        <v>0</v>
      </c>
      <c r="J96" s="11">
        <f>SUMIFS('XBS '!T:T,'XBS '!H:H,' General Stock Summary View  '!$J$2,'XBS '!L:L,' General Stock Summary View  '!B96,'XBS '!C:C,' General Stock Summary View  '!C96)</f>
        <v>0</v>
      </c>
      <c r="K96" s="157">
        <f>SUMIFS('PowerApp_Physical count'!H:H,'PowerApp_Physical count'!B:B,' General Stock Summary View  '!$J$2,'PowerApp_Physical count'!C:C,' General Stock Summary View  '!C96,'PowerApp_Physical count'!A:A,' General Stock Summary View  '!B96)</f>
        <v>0</v>
      </c>
      <c r="L96" s="127">
        <f t="shared" si="18"/>
        <v>0</v>
      </c>
      <c r="M96" s="126">
        <f t="shared" si="19"/>
        <v>0</v>
      </c>
      <c r="N96" s="11">
        <f t="shared" si="20"/>
        <v>0</v>
      </c>
      <c r="O96" s="144">
        <f t="shared" si="21"/>
        <v>0</v>
      </c>
      <c r="P96" s="2">
        <f>SUMIFS('XBS '!T:T,'XBS '!H:H,' General Stock Summary View  '!$P$2,'XBS '!L:L,' General Stock Summary View  '!B96,'XBS '!C:C,' General Stock Summary View  '!C96)</f>
        <v>0</v>
      </c>
      <c r="Q96" s="3">
        <f>SUMIFS('PowerApp_Physical count'!H:H,'PowerApp_Physical count'!B:B,' General Stock Summary View  '!$P$2,'PowerApp_Physical count'!C:C,' General Stock Summary View  '!C96,'PowerApp_Physical count'!A:A,' General Stock Summary View  '!B96)</f>
        <v>0</v>
      </c>
      <c r="R96" s="4">
        <f t="shared" si="22"/>
        <v>0</v>
      </c>
      <c r="S96" s="5">
        <f>SUMIFS('XBS '!T:T,'XBS '!L:L,' General Stock Summary View  '!B96,'XBS '!H:H,' General Stock Summary View  '!$S$2,'XBS '!C:C,' General Stock Summary View  '!C96)</f>
        <v>0</v>
      </c>
      <c r="T96" s="3">
        <f>SUMIFS('PowerApp_Physical count'!H:H,'PowerApp_Physical count'!B:B,' General Stock Summary View  '!$S$2,'PowerApp_Physical count'!C:C,' General Stock Summary View  '!C96,'PowerApp_Physical count'!A:A,' General Stock Summary View  '!B96)</f>
        <v>0</v>
      </c>
      <c r="U96" s="4">
        <f t="shared" si="23"/>
        <v>0</v>
      </c>
      <c r="V96" s="2">
        <f>SUMIFS('XBS '!T:T,'XBS '!H:H,' General Stock Summary View  '!$V$2,'XBS '!B:B,' General Stock Summary View  '!C96,'XBS '!L:L,' General Stock Summary View  '!B96)</f>
        <v>0</v>
      </c>
      <c r="W96" s="3">
        <f>SUMIFS('PowerApp_Physical count'!H:H,'PowerApp_Physical count'!B:B,' General Stock Summary View  '!$V$2,'PowerApp_Physical count'!C:C,' General Stock Summary View  '!C96,'PowerApp_Physical count'!A:A,' General Stock Summary View  '!B96)</f>
        <v>0</v>
      </c>
      <c r="X96" s="4">
        <f t="shared" si="24"/>
        <v>0</v>
      </c>
      <c r="Y96" s="5">
        <f>SUMIFS('XBS '!T:T,'XBS '!H:H,' General Stock Summary View  '!$Y$2,'XBS '!B:B,' General Stock Summary View  '!C96,'XBS '!L:L,' General Stock Summary View  '!B96)</f>
        <v>19.333333333333332</v>
      </c>
      <c r="Z96" s="3">
        <f>SUMIFS('PowerApp_Physical count'!H:H,'PowerApp_Physical count'!B:B,' General Stock Summary View  '!$Y$2,'PowerApp_Physical count'!C:C,' General Stock Summary View  '!C96,'PowerApp_Physical count'!A:A,' General Stock Summary View  '!B96)</f>
        <v>0</v>
      </c>
      <c r="AA96" s="4">
        <f t="shared" si="25"/>
        <v>-19.333333333333332</v>
      </c>
      <c r="AB96" s="5">
        <f>SUMIFS('XBS '!T:T,'XBS '!H:H,' General Stock Summary View  '!$AB$2,'XBS '!B:B,' General Stock Summary View  '!C96,'XBS '!L:L,' General Stock Summary View  '!B96)</f>
        <v>0</v>
      </c>
      <c r="AC96" s="3">
        <f>SUMIFS('PowerApp_Physical count'!H:H,'PowerApp_Physical count'!B:B,' General Stock Summary View  '!$AB$2,'PowerApp_Physical count'!C:C,' General Stock Summary View  '!C96,'PowerApp_Physical count'!A:A,' General Stock Summary View  '!B96)</f>
        <v>0</v>
      </c>
      <c r="AD96" s="6">
        <f t="shared" si="26"/>
        <v>0</v>
      </c>
      <c r="AE96" s="7">
        <f t="shared" si="27"/>
        <v>0</v>
      </c>
      <c r="AF96" s="8">
        <f t="shared" si="28"/>
        <v>-19.333333333333332</v>
      </c>
      <c r="AG96" s="112"/>
    </row>
    <row r="97" spans="2:33" s="113" customFormat="1" ht="61.15">
      <c r="B97" s="117" t="s">
        <v>125</v>
      </c>
      <c r="C97" s="111" t="s">
        <v>58</v>
      </c>
      <c r="D97" s="11">
        <f>SUMIFS('XBS '!T:T,'XBS '!C:C,' General Stock Summary View  '!C97,'XBS '!L:L,' General Stock Summary View  '!B97)</f>
        <v>26.783333333333335</v>
      </c>
      <c r="E97" s="2">
        <f>SUMIFS('Blocked for Processing'!P:P,'Blocked for Processing'!I:I,' General Stock Summary View  '!B97,'Blocked for Processing'!C:C,' General Stock Summary View  '!C97)</f>
        <v>0</v>
      </c>
      <c r="F97" s="122">
        <f t="shared" si="17"/>
        <v>26.783333333333335</v>
      </c>
      <c r="G97" s="148">
        <f>SUMIFS('XBS '!T:T,'XBS '!H:H,' General Stock Summary View  '!$G$2,'XBS '!L:L,' General Stock Summary View  '!B97,'XBS '!C:C,' General Stock Summary View  '!C97)</f>
        <v>0</v>
      </c>
      <c r="H97" s="3">
        <f>SUMIFS('PowerApp_Physical count'!H:H,'PowerApp_Physical count'!B:B,' General Stock Summary View  '!$G$2,'PowerApp_Physical count'!C:C,' General Stock Summary View  '!C97,'PowerApp_Physical count'!A:A,' General Stock Summary View  '!B97)</f>
        <v>0</v>
      </c>
      <c r="I97" s="154">
        <f t="shared" si="16"/>
        <v>0</v>
      </c>
      <c r="J97" s="11">
        <f>SUMIFS('XBS '!T:T,'XBS '!H:H,' General Stock Summary View  '!$J$2,'XBS '!L:L,' General Stock Summary View  '!B97,'XBS '!C:C,' General Stock Summary View  '!C97)</f>
        <v>0</v>
      </c>
      <c r="K97" s="157">
        <f>SUMIFS('PowerApp_Physical count'!H:H,'PowerApp_Physical count'!B:B,' General Stock Summary View  '!$J$2,'PowerApp_Physical count'!C:C,' General Stock Summary View  '!C97,'PowerApp_Physical count'!A:A,' General Stock Summary View  '!B97)</f>
        <v>0</v>
      </c>
      <c r="L97" s="127">
        <f t="shared" si="18"/>
        <v>0</v>
      </c>
      <c r="M97" s="126">
        <f t="shared" si="19"/>
        <v>0</v>
      </c>
      <c r="N97" s="11">
        <f t="shared" si="20"/>
        <v>0</v>
      </c>
      <c r="O97" s="144">
        <f t="shared" si="21"/>
        <v>0</v>
      </c>
      <c r="P97" s="2">
        <f>SUMIFS('XBS '!T:T,'XBS '!H:H,' General Stock Summary View  '!$P$2,'XBS '!L:L,' General Stock Summary View  '!B97,'XBS '!C:C,' General Stock Summary View  '!C97)</f>
        <v>0</v>
      </c>
      <c r="Q97" s="3">
        <f>SUMIFS('PowerApp_Physical count'!H:H,'PowerApp_Physical count'!B:B,' General Stock Summary View  '!$P$2,'PowerApp_Physical count'!C:C,' General Stock Summary View  '!C97,'PowerApp_Physical count'!A:A,' General Stock Summary View  '!B97)</f>
        <v>0</v>
      </c>
      <c r="R97" s="4">
        <f t="shared" si="22"/>
        <v>0</v>
      </c>
      <c r="S97" s="5">
        <f>SUMIFS('XBS '!T:T,'XBS '!L:L,' General Stock Summary View  '!B97,'XBS '!H:H,' General Stock Summary View  '!$S$2,'XBS '!C:C,' General Stock Summary View  '!C97)</f>
        <v>0</v>
      </c>
      <c r="T97" s="3">
        <f>SUMIFS('PowerApp_Physical count'!H:H,'PowerApp_Physical count'!B:B,' General Stock Summary View  '!$S$2,'PowerApp_Physical count'!C:C,' General Stock Summary View  '!C97,'PowerApp_Physical count'!A:A,' General Stock Summary View  '!B97)</f>
        <v>0</v>
      </c>
      <c r="U97" s="4">
        <f t="shared" si="23"/>
        <v>0</v>
      </c>
      <c r="V97" s="2">
        <f>SUMIFS('XBS '!T:T,'XBS '!H:H,' General Stock Summary View  '!$V$2,'XBS '!B:B,' General Stock Summary View  '!C97,'XBS '!L:L,' General Stock Summary View  '!B97)</f>
        <v>0</v>
      </c>
      <c r="W97" s="3">
        <f>SUMIFS('PowerApp_Physical count'!H:H,'PowerApp_Physical count'!B:B,' General Stock Summary View  '!$V$2,'PowerApp_Physical count'!C:C,' General Stock Summary View  '!C97,'PowerApp_Physical count'!A:A,' General Stock Summary View  '!B97)</f>
        <v>0</v>
      </c>
      <c r="X97" s="4">
        <f t="shared" si="24"/>
        <v>0</v>
      </c>
      <c r="Y97" s="5">
        <f>SUMIFS('XBS '!T:T,'XBS '!H:H,' General Stock Summary View  '!$Y$2,'XBS '!B:B,' General Stock Summary View  '!C97,'XBS '!L:L,' General Stock Summary View  '!B97)</f>
        <v>26.783333333333335</v>
      </c>
      <c r="Z97" s="3">
        <f>SUMIFS('PowerApp_Physical count'!H:H,'PowerApp_Physical count'!B:B,' General Stock Summary View  '!$Y$2,'PowerApp_Physical count'!C:C,' General Stock Summary View  '!C97,'PowerApp_Physical count'!A:A,' General Stock Summary View  '!B97)</f>
        <v>0</v>
      </c>
      <c r="AA97" s="4">
        <f t="shared" si="25"/>
        <v>-26.783333333333335</v>
      </c>
      <c r="AB97" s="5">
        <f>SUMIFS('XBS '!T:T,'XBS '!H:H,' General Stock Summary View  '!$AB$2,'XBS '!B:B,' General Stock Summary View  '!C97,'XBS '!L:L,' General Stock Summary View  '!B97)</f>
        <v>0</v>
      </c>
      <c r="AC97" s="3">
        <f>SUMIFS('PowerApp_Physical count'!H:H,'PowerApp_Physical count'!B:B,' General Stock Summary View  '!$AB$2,'PowerApp_Physical count'!C:C,' General Stock Summary View  '!C97,'PowerApp_Physical count'!A:A,' General Stock Summary View  '!B97)</f>
        <v>0</v>
      </c>
      <c r="AD97" s="6">
        <f t="shared" si="26"/>
        <v>0</v>
      </c>
      <c r="AE97" s="7">
        <f t="shared" si="27"/>
        <v>0</v>
      </c>
      <c r="AF97" s="8">
        <f t="shared" si="28"/>
        <v>-26.783333333333335</v>
      </c>
      <c r="AG97" s="112"/>
    </row>
    <row r="98" spans="2:33" s="113" customFormat="1" ht="61.15">
      <c r="B98" s="117" t="s">
        <v>126</v>
      </c>
      <c r="C98" s="111" t="s">
        <v>58</v>
      </c>
      <c r="D98" s="11">
        <f>SUMIFS('XBS '!T:T,'XBS '!C:C,' General Stock Summary View  '!C98,'XBS '!L:L,' General Stock Summary View  '!B98)</f>
        <v>12.316666666666666</v>
      </c>
      <c r="E98" s="2">
        <f>SUMIFS('Blocked for Processing'!P:P,'Blocked for Processing'!I:I,' General Stock Summary View  '!B98,'Blocked for Processing'!C:C,' General Stock Summary View  '!C98)</f>
        <v>0</v>
      </c>
      <c r="F98" s="122">
        <f t="shared" si="17"/>
        <v>12.316666666666666</v>
      </c>
      <c r="G98" s="148">
        <f>SUMIFS('XBS '!T:T,'XBS '!H:H,' General Stock Summary View  '!$G$2,'XBS '!L:L,' General Stock Summary View  '!B98,'XBS '!C:C,' General Stock Summary View  '!C98)</f>
        <v>0</v>
      </c>
      <c r="H98" s="3">
        <f>SUMIFS('PowerApp_Physical count'!H:H,'PowerApp_Physical count'!B:B,' General Stock Summary View  '!$G$2,'PowerApp_Physical count'!C:C,' General Stock Summary View  '!C98,'PowerApp_Physical count'!A:A,' General Stock Summary View  '!B98)</f>
        <v>0</v>
      </c>
      <c r="I98" s="154">
        <f t="shared" si="16"/>
        <v>0</v>
      </c>
      <c r="J98" s="11">
        <f>SUMIFS('XBS '!T:T,'XBS '!H:H,' General Stock Summary View  '!$J$2,'XBS '!L:L,' General Stock Summary View  '!B98,'XBS '!C:C,' General Stock Summary View  '!C98)</f>
        <v>0</v>
      </c>
      <c r="K98" s="157">
        <f>SUMIFS('PowerApp_Physical count'!H:H,'PowerApp_Physical count'!B:B,' General Stock Summary View  '!$J$2,'PowerApp_Physical count'!C:C,' General Stock Summary View  '!C98,'PowerApp_Physical count'!A:A,' General Stock Summary View  '!B98)</f>
        <v>0</v>
      </c>
      <c r="L98" s="127">
        <f t="shared" si="18"/>
        <v>0</v>
      </c>
      <c r="M98" s="126">
        <f t="shared" si="19"/>
        <v>0</v>
      </c>
      <c r="N98" s="11">
        <f t="shared" si="20"/>
        <v>0</v>
      </c>
      <c r="O98" s="144">
        <f t="shared" si="21"/>
        <v>0</v>
      </c>
      <c r="P98" s="2">
        <f>SUMIFS('XBS '!T:T,'XBS '!H:H,' General Stock Summary View  '!$P$2,'XBS '!L:L,' General Stock Summary View  '!B98,'XBS '!C:C,' General Stock Summary View  '!C98)</f>
        <v>0</v>
      </c>
      <c r="Q98" s="3">
        <f>SUMIFS('PowerApp_Physical count'!H:H,'PowerApp_Physical count'!B:B,' General Stock Summary View  '!$P$2,'PowerApp_Physical count'!C:C,' General Stock Summary View  '!C98,'PowerApp_Physical count'!A:A,' General Stock Summary View  '!B98)</f>
        <v>0</v>
      </c>
      <c r="R98" s="4">
        <f t="shared" si="22"/>
        <v>0</v>
      </c>
      <c r="S98" s="5">
        <f>SUMIFS('XBS '!T:T,'XBS '!L:L,' General Stock Summary View  '!B98,'XBS '!H:H,' General Stock Summary View  '!$S$2,'XBS '!C:C,' General Stock Summary View  '!C98)</f>
        <v>12.316666666666666</v>
      </c>
      <c r="T98" s="3">
        <f>SUMIFS('PowerApp_Physical count'!H:H,'PowerApp_Physical count'!B:B,' General Stock Summary View  '!$S$2,'PowerApp_Physical count'!C:C,' General Stock Summary View  '!C98,'PowerApp_Physical count'!A:A,' General Stock Summary View  '!B98)</f>
        <v>0</v>
      </c>
      <c r="U98" s="4">
        <f t="shared" si="23"/>
        <v>-12.316666666666666</v>
      </c>
      <c r="V98" s="2">
        <f>SUMIFS('XBS '!T:T,'XBS '!H:H,' General Stock Summary View  '!$V$2,'XBS '!B:B,' General Stock Summary View  '!C98,'XBS '!L:L,' General Stock Summary View  '!B98)</f>
        <v>0</v>
      </c>
      <c r="W98" s="3">
        <f>SUMIFS('PowerApp_Physical count'!H:H,'PowerApp_Physical count'!B:B,' General Stock Summary View  '!$V$2,'PowerApp_Physical count'!C:C,' General Stock Summary View  '!C98,'PowerApp_Physical count'!A:A,' General Stock Summary View  '!B98)</f>
        <v>0</v>
      </c>
      <c r="X98" s="4">
        <f t="shared" si="24"/>
        <v>0</v>
      </c>
      <c r="Y98" s="5">
        <f>SUMIFS('XBS '!T:T,'XBS '!H:H,' General Stock Summary View  '!$Y$2,'XBS '!B:B,' General Stock Summary View  '!C98,'XBS '!L:L,' General Stock Summary View  '!B98)</f>
        <v>0</v>
      </c>
      <c r="Z98" s="3">
        <f>SUMIFS('PowerApp_Physical count'!H:H,'PowerApp_Physical count'!B:B,' General Stock Summary View  '!$Y$2,'PowerApp_Physical count'!C:C,' General Stock Summary View  '!C98,'PowerApp_Physical count'!A:A,' General Stock Summary View  '!B98)</f>
        <v>0</v>
      </c>
      <c r="AA98" s="4">
        <f t="shared" si="25"/>
        <v>0</v>
      </c>
      <c r="AB98" s="5">
        <f>SUMIFS('XBS '!T:T,'XBS '!H:H,' General Stock Summary View  '!$AB$2,'XBS '!B:B,' General Stock Summary View  '!C98,'XBS '!L:L,' General Stock Summary View  '!B98)</f>
        <v>0</v>
      </c>
      <c r="AC98" s="3">
        <f>SUMIFS('PowerApp_Physical count'!H:H,'PowerApp_Physical count'!B:B,' General Stock Summary View  '!$AB$2,'PowerApp_Physical count'!C:C,' General Stock Summary View  '!C98,'PowerApp_Physical count'!A:A,' General Stock Summary View  '!B98)</f>
        <v>0</v>
      </c>
      <c r="AD98" s="6">
        <f t="shared" si="26"/>
        <v>0</v>
      </c>
      <c r="AE98" s="7">
        <f t="shared" si="27"/>
        <v>0</v>
      </c>
      <c r="AF98" s="8">
        <f t="shared" si="28"/>
        <v>-12.316666666666666</v>
      </c>
      <c r="AG98" s="112"/>
    </row>
    <row r="99" spans="2:33" s="113" customFormat="1" ht="61.15">
      <c r="B99" s="117" t="s">
        <v>127</v>
      </c>
      <c r="C99" s="111" t="s">
        <v>58</v>
      </c>
      <c r="D99" s="11">
        <f>SUMIFS('XBS '!T:T,'XBS '!C:C,' General Stock Summary View  '!C99,'XBS '!L:L,' General Stock Summary View  '!B99)</f>
        <v>20.05</v>
      </c>
      <c r="E99" s="2">
        <f>SUMIFS('Blocked for Processing'!P:P,'Blocked for Processing'!I:I,' General Stock Summary View  '!B99,'Blocked for Processing'!C:C,' General Stock Summary View  '!C99)</f>
        <v>0</v>
      </c>
      <c r="F99" s="122">
        <f t="shared" si="17"/>
        <v>20.05</v>
      </c>
      <c r="G99" s="148">
        <f>SUMIFS('XBS '!T:T,'XBS '!H:H,' General Stock Summary View  '!$G$2,'XBS '!L:L,' General Stock Summary View  '!B99,'XBS '!C:C,' General Stock Summary View  '!C99)</f>
        <v>0</v>
      </c>
      <c r="H99" s="3">
        <f>SUMIFS('PowerApp_Physical count'!H:H,'PowerApp_Physical count'!B:B,' General Stock Summary View  '!$G$2,'PowerApp_Physical count'!C:C,' General Stock Summary View  '!C99,'PowerApp_Physical count'!A:A,' General Stock Summary View  '!B99)</f>
        <v>0</v>
      </c>
      <c r="I99" s="154">
        <f t="shared" si="16"/>
        <v>0</v>
      </c>
      <c r="J99" s="11">
        <f>SUMIFS('XBS '!T:T,'XBS '!H:H,' General Stock Summary View  '!$J$2,'XBS '!L:L,' General Stock Summary View  '!B99,'XBS '!C:C,' General Stock Summary View  '!C99)</f>
        <v>0</v>
      </c>
      <c r="K99" s="157">
        <f>SUMIFS('PowerApp_Physical count'!H:H,'PowerApp_Physical count'!B:B,' General Stock Summary View  '!$J$2,'PowerApp_Physical count'!C:C,' General Stock Summary View  '!C99,'PowerApp_Physical count'!A:A,' General Stock Summary View  '!B99)</f>
        <v>0</v>
      </c>
      <c r="L99" s="127">
        <f t="shared" si="18"/>
        <v>0</v>
      </c>
      <c r="M99" s="126">
        <f t="shared" si="19"/>
        <v>0</v>
      </c>
      <c r="N99" s="11">
        <f t="shared" si="20"/>
        <v>0</v>
      </c>
      <c r="O99" s="144">
        <f t="shared" si="21"/>
        <v>0</v>
      </c>
      <c r="P99" s="2">
        <f>SUMIFS('XBS '!T:T,'XBS '!H:H,' General Stock Summary View  '!$P$2,'XBS '!L:L,' General Stock Summary View  '!B99,'XBS '!C:C,' General Stock Summary View  '!C99)</f>
        <v>0</v>
      </c>
      <c r="Q99" s="3">
        <f>SUMIFS('PowerApp_Physical count'!H:H,'PowerApp_Physical count'!B:B,' General Stock Summary View  '!$P$2,'PowerApp_Physical count'!C:C,' General Stock Summary View  '!C99,'PowerApp_Physical count'!A:A,' General Stock Summary View  '!B99)</f>
        <v>0</v>
      </c>
      <c r="R99" s="4">
        <f t="shared" si="22"/>
        <v>0</v>
      </c>
      <c r="S99" s="5">
        <f>SUMIFS('XBS '!T:T,'XBS '!L:L,' General Stock Summary View  '!B99,'XBS '!H:H,' General Stock Summary View  '!$S$2,'XBS '!C:C,' General Stock Summary View  '!C99)</f>
        <v>20.05</v>
      </c>
      <c r="T99" s="3">
        <f>SUMIFS('PowerApp_Physical count'!H:H,'PowerApp_Physical count'!B:B,' General Stock Summary View  '!$S$2,'PowerApp_Physical count'!C:C,' General Stock Summary View  '!C99,'PowerApp_Physical count'!A:A,' General Stock Summary View  '!B99)</f>
        <v>0</v>
      </c>
      <c r="U99" s="4">
        <f t="shared" si="23"/>
        <v>-20.05</v>
      </c>
      <c r="V99" s="2">
        <f>SUMIFS('XBS '!T:T,'XBS '!H:H,' General Stock Summary View  '!$V$2,'XBS '!B:B,' General Stock Summary View  '!C99,'XBS '!L:L,' General Stock Summary View  '!B99)</f>
        <v>0</v>
      </c>
      <c r="W99" s="3">
        <f>SUMIFS('PowerApp_Physical count'!H:H,'PowerApp_Physical count'!B:B,' General Stock Summary View  '!$V$2,'PowerApp_Physical count'!C:C,' General Stock Summary View  '!C99,'PowerApp_Physical count'!A:A,' General Stock Summary View  '!B99)</f>
        <v>0</v>
      </c>
      <c r="X99" s="4">
        <f t="shared" si="24"/>
        <v>0</v>
      </c>
      <c r="Y99" s="5">
        <f>SUMIFS('XBS '!T:T,'XBS '!H:H,' General Stock Summary View  '!$Y$2,'XBS '!B:B,' General Stock Summary View  '!C99,'XBS '!L:L,' General Stock Summary View  '!B99)</f>
        <v>0</v>
      </c>
      <c r="Z99" s="3">
        <f>SUMIFS('PowerApp_Physical count'!H:H,'PowerApp_Physical count'!B:B,' General Stock Summary View  '!$Y$2,'PowerApp_Physical count'!C:C,' General Stock Summary View  '!C99,'PowerApp_Physical count'!A:A,' General Stock Summary View  '!B99)</f>
        <v>0</v>
      </c>
      <c r="AA99" s="4">
        <f t="shared" si="25"/>
        <v>0</v>
      </c>
      <c r="AB99" s="5">
        <f>SUMIFS('XBS '!T:T,'XBS '!H:H,' General Stock Summary View  '!$AB$2,'XBS '!B:B,' General Stock Summary View  '!C99,'XBS '!L:L,' General Stock Summary View  '!B99)</f>
        <v>0</v>
      </c>
      <c r="AC99" s="3">
        <f>SUMIFS('PowerApp_Physical count'!H:H,'PowerApp_Physical count'!B:B,' General Stock Summary View  '!$AB$2,'PowerApp_Physical count'!C:C,' General Stock Summary View  '!C99,'PowerApp_Physical count'!A:A,' General Stock Summary View  '!B99)</f>
        <v>0</v>
      </c>
      <c r="AD99" s="6">
        <f t="shared" si="26"/>
        <v>0</v>
      </c>
      <c r="AE99" s="7">
        <f t="shared" si="27"/>
        <v>0</v>
      </c>
      <c r="AF99" s="8">
        <f t="shared" si="28"/>
        <v>-20.05</v>
      </c>
      <c r="AG99" s="112"/>
    </row>
    <row r="100" spans="2:33" s="113" customFormat="1" ht="61.15">
      <c r="B100" s="117" t="s">
        <v>128</v>
      </c>
      <c r="C100" s="111" t="s">
        <v>58</v>
      </c>
      <c r="D100" s="11">
        <f>SUMIFS('XBS '!T:T,'XBS '!C:C,' General Stock Summary View  '!C100,'XBS '!L:L,' General Stock Summary View  '!B100)</f>
        <v>4.3833333333333337</v>
      </c>
      <c r="E100" s="2">
        <f>SUMIFS('Blocked for Processing'!P:P,'Blocked for Processing'!I:I,' General Stock Summary View  '!B100,'Blocked for Processing'!C:C,' General Stock Summary View  '!C100)</f>
        <v>0</v>
      </c>
      <c r="F100" s="122">
        <f t="shared" si="17"/>
        <v>4.3833333333333337</v>
      </c>
      <c r="G100" s="148">
        <f>SUMIFS('XBS '!T:T,'XBS '!H:H,' General Stock Summary View  '!$G$2,'XBS '!L:L,' General Stock Summary View  '!B100,'XBS '!C:C,' General Stock Summary View  '!C100)</f>
        <v>0</v>
      </c>
      <c r="H100" s="3">
        <f>SUMIFS('PowerApp_Physical count'!H:H,'PowerApp_Physical count'!B:B,' General Stock Summary View  '!$G$2,'PowerApp_Physical count'!C:C,' General Stock Summary View  '!C100,'PowerApp_Physical count'!A:A,' General Stock Summary View  '!B100)</f>
        <v>0</v>
      </c>
      <c r="I100" s="154">
        <f t="shared" si="16"/>
        <v>0</v>
      </c>
      <c r="J100" s="11">
        <f>SUMIFS('XBS '!T:T,'XBS '!H:H,' General Stock Summary View  '!$J$2,'XBS '!L:L,' General Stock Summary View  '!B100,'XBS '!C:C,' General Stock Summary View  '!C100)</f>
        <v>0</v>
      </c>
      <c r="K100" s="157">
        <f>SUMIFS('PowerApp_Physical count'!H:H,'PowerApp_Physical count'!B:B,' General Stock Summary View  '!$J$2,'PowerApp_Physical count'!C:C,' General Stock Summary View  '!C100,'PowerApp_Physical count'!A:A,' General Stock Summary View  '!B100)</f>
        <v>0</v>
      </c>
      <c r="L100" s="127">
        <f t="shared" si="18"/>
        <v>0</v>
      </c>
      <c r="M100" s="126">
        <f t="shared" si="19"/>
        <v>0</v>
      </c>
      <c r="N100" s="11">
        <f t="shared" si="20"/>
        <v>0</v>
      </c>
      <c r="O100" s="144">
        <f t="shared" si="21"/>
        <v>0</v>
      </c>
      <c r="P100" s="2">
        <f>SUMIFS('XBS '!T:T,'XBS '!H:H,' General Stock Summary View  '!$P$2,'XBS '!L:L,' General Stock Summary View  '!B100,'XBS '!C:C,' General Stock Summary View  '!C100)</f>
        <v>0</v>
      </c>
      <c r="Q100" s="3">
        <f>SUMIFS('PowerApp_Physical count'!H:H,'PowerApp_Physical count'!B:B,' General Stock Summary View  '!$P$2,'PowerApp_Physical count'!C:C,' General Stock Summary View  '!C100,'PowerApp_Physical count'!A:A,' General Stock Summary View  '!B100)</f>
        <v>0</v>
      </c>
      <c r="R100" s="4">
        <f t="shared" si="22"/>
        <v>0</v>
      </c>
      <c r="S100" s="5">
        <f>SUMIFS('XBS '!T:T,'XBS '!L:L,' General Stock Summary View  '!B100,'XBS '!H:H,' General Stock Summary View  '!$S$2,'XBS '!C:C,' General Stock Summary View  '!C100)</f>
        <v>4.3833333333333337</v>
      </c>
      <c r="T100" s="3">
        <f>SUMIFS('PowerApp_Physical count'!H:H,'PowerApp_Physical count'!B:B,' General Stock Summary View  '!$S$2,'PowerApp_Physical count'!C:C,' General Stock Summary View  '!C100,'PowerApp_Physical count'!A:A,' General Stock Summary View  '!B100)</f>
        <v>0</v>
      </c>
      <c r="U100" s="4">
        <f t="shared" si="23"/>
        <v>-4.3833333333333337</v>
      </c>
      <c r="V100" s="2">
        <f>SUMIFS('XBS '!T:T,'XBS '!H:H,' General Stock Summary View  '!$V$2,'XBS '!B:B,' General Stock Summary View  '!C100,'XBS '!L:L,' General Stock Summary View  '!B100)</f>
        <v>0</v>
      </c>
      <c r="W100" s="3">
        <f>SUMIFS('PowerApp_Physical count'!H:H,'PowerApp_Physical count'!B:B,' General Stock Summary View  '!$V$2,'PowerApp_Physical count'!C:C,' General Stock Summary View  '!C100,'PowerApp_Physical count'!A:A,' General Stock Summary View  '!B100)</f>
        <v>0</v>
      </c>
      <c r="X100" s="4">
        <f t="shared" si="24"/>
        <v>0</v>
      </c>
      <c r="Y100" s="5">
        <f>SUMIFS('XBS '!T:T,'XBS '!H:H,' General Stock Summary View  '!$Y$2,'XBS '!B:B,' General Stock Summary View  '!C100,'XBS '!L:L,' General Stock Summary View  '!B100)</f>
        <v>0</v>
      </c>
      <c r="Z100" s="3">
        <f>SUMIFS('PowerApp_Physical count'!H:H,'PowerApp_Physical count'!B:B,' General Stock Summary View  '!$Y$2,'PowerApp_Physical count'!C:C,' General Stock Summary View  '!C100,'PowerApp_Physical count'!A:A,' General Stock Summary View  '!B100)</f>
        <v>0</v>
      </c>
      <c r="AA100" s="4">
        <f t="shared" si="25"/>
        <v>0</v>
      </c>
      <c r="AB100" s="5">
        <f>SUMIFS('XBS '!T:T,'XBS '!H:H,' General Stock Summary View  '!$AB$2,'XBS '!B:B,' General Stock Summary View  '!C100,'XBS '!L:L,' General Stock Summary View  '!B100)</f>
        <v>0</v>
      </c>
      <c r="AC100" s="3">
        <f>SUMIFS('PowerApp_Physical count'!H:H,'PowerApp_Physical count'!B:B,' General Stock Summary View  '!$AB$2,'PowerApp_Physical count'!C:C,' General Stock Summary View  '!C100,'PowerApp_Physical count'!A:A,' General Stock Summary View  '!B100)</f>
        <v>0</v>
      </c>
      <c r="AD100" s="6">
        <f t="shared" si="26"/>
        <v>0</v>
      </c>
      <c r="AE100" s="7">
        <f t="shared" si="27"/>
        <v>0</v>
      </c>
      <c r="AF100" s="8">
        <f t="shared" si="28"/>
        <v>-4.3833333333333337</v>
      </c>
      <c r="AG100" s="112"/>
    </row>
    <row r="101" spans="2:33" s="113" customFormat="1" ht="61.15">
      <c r="B101" s="117" t="s">
        <v>129</v>
      </c>
      <c r="C101" s="111" t="s">
        <v>58</v>
      </c>
      <c r="D101" s="11">
        <f>SUMIFS('XBS '!T:T,'XBS '!C:C,' General Stock Summary View  '!C101,'XBS '!L:L,' General Stock Summary View  '!B101)</f>
        <v>3.8</v>
      </c>
      <c r="E101" s="2">
        <f>SUMIFS('Blocked for Processing'!P:P,'Blocked for Processing'!I:I,' General Stock Summary View  '!B101,'Blocked for Processing'!C:C,' General Stock Summary View  '!C101)</f>
        <v>0</v>
      </c>
      <c r="F101" s="122">
        <f t="shared" si="17"/>
        <v>3.8</v>
      </c>
      <c r="G101" s="148">
        <f>SUMIFS('XBS '!T:T,'XBS '!H:H,' General Stock Summary View  '!$G$2,'XBS '!L:L,' General Stock Summary View  '!B101,'XBS '!C:C,' General Stock Summary View  '!C101)</f>
        <v>0</v>
      </c>
      <c r="H101" s="3">
        <f>SUMIFS('PowerApp_Physical count'!H:H,'PowerApp_Physical count'!B:B,' General Stock Summary View  '!$G$2,'PowerApp_Physical count'!C:C,' General Stock Summary View  '!C101,'PowerApp_Physical count'!A:A,' General Stock Summary View  '!B101)</f>
        <v>0</v>
      </c>
      <c r="I101" s="154">
        <f t="shared" si="16"/>
        <v>0</v>
      </c>
      <c r="J101" s="11">
        <f>SUMIFS('XBS '!T:T,'XBS '!H:H,' General Stock Summary View  '!$J$2,'XBS '!L:L,' General Stock Summary View  '!B101,'XBS '!C:C,' General Stock Summary View  '!C101)</f>
        <v>0</v>
      </c>
      <c r="K101" s="157">
        <f>SUMIFS('PowerApp_Physical count'!H:H,'PowerApp_Physical count'!B:B,' General Stock Summary View  '!$J$2,'PowerApp_Physical count'!C:C,' General Stock Summary View  '!C101,'PowerApp_Physical count'!A:A,' General Stock Summary View  '!B101)</f>
        <v>0</v>
      </c>
      <c r="L101" s="127">
        <f t="shared" si="18"/>
        <v>0</v>
      </c>
      <c r="M101" s="126">
        <f t="shared" si="19"/>
        <v>0</v>
      </c>
      <c r="N101" s="11">
        <f t="shared" si="20"/>
        <v>0</v>
      </c>
      <c r="O101" s="144">
        <f t="shared" si="21"/>
        <v>0</v>
      </c>
      <c r="P101" s="2">
        <f>SUMIFS('XBS '!T:T,'XBS '!H:H,' General Stock Summary View  '!$P$2,'XBS '!L:L,' General Stock Summary View  '!B101,'XBS '!C:C,' General Stock Summary View  '!C101)</f>
        <v>0</v>
      </c>
      <c r="Q101" s="3">
        <f>SUMIFS('PowerApp_Physical count'!H:H,'PowerApp_Physical count'!B:B,' General Stock Summary View  '!$P$2,'PowerApp_Physical count'!C:C,' General Stock Summary View  '!C101,'PowerApp_Physical count'!A:A,' General Stock Summary View  '!B101)</f>
        <v>0</v>
      </c>
      <c r="R101" s="4">
        <f t="shared" si="22"/>
        <v>0</v>
      </c>
      <c r="S101" s="5">
        <f>SUMIFS('XBS '!T:T,'XBS '!L:L,' General Stock Summary View  '!B101,'XBS '!H:H,' General Stock Summary View  '!$S$2,'XBS '!C:C,' General Stock Summary View  '!C101)</f>
        <v>3.8</v>
      </c>
      <c r="T101" s="3">
        <f>SUMIFS('PowerApp_Physical count'!H:H,'PowerApp_Physical count'!B:B,' General Stock Summary View  '!$S$2,'PowerApp_Physical count'!C:C,' General Stock Summary View  '!C101,'PowerApp_Physical count'!A:A,' General Stock Summary View  '!B101)</f>
        <v>0</v>
      </c>
      <c r="U101" s="4">
        <f t="shared" si="23"/>
        <v>-3.8</v>
      </c>
      <c r="V101" s="2">
        <f>SUMIFS('XBS '!T:T,'XBS '!H:H,' General Stock Summary View  '!$V$2,'XBS '!B:B,' General Stock Summary View  '!C101,'XBS '!L:L,' General Stock Summary View  '!B101)</f>
        <v>0</v>
      </c>
      <c r="W101" s="3">
        <f>SUMIFS('PowerApp_Physical count'!H:H,'PowerApp_Physical count'!B:B,' General Stock Summary View  '!$V$2,'PowerApp_Physical count'!C:C,' General Stock Summary View  '!C101,'PowerApp_Physical count'!A:A,' General Stock Summary View  '!B101)</f>
        <v>0</v>
      </c>
      <c r="X101" s="4">
        <f t="shared" si="24"/>
        <v>0</v>
      </c>
      <c r="Y101" s="5">
        <f>SUMIFS('XBS '!T:T,'XBS '!H:H,' General Stock Summary View  '!$Y$2,'XBS '!B:B,' General Stock Summary View  '!C101,'XBS '!L:L,' General Stock Summary View  '!B101)</f>
        <v>0</v>
      </c>
      <c r="Z101" s="3">
        <f>SUMIFS('PowerApp_Physical count'!H:H,'PowerApp_Physical count'!B:B,' General Stock Summary View  '!$Y$2,'PowerApp_Physical count'!C:C,' General Stock Summary View  '!C101,'PowerApp_Physical count'!A:A,' General Stock Summary View  '!B101)</f>
        <v>0</v>
      </c>
      <c r="AA101" s="4">
        <f t="shared" si="25"/>
        <v>0</v>
      </c>
      <c r="AB101" s="5">
        <f>SUMIFS('XBS '!T:T,'XBS '!H:H,' General Stock Summary View  '!$AB$2,'XBS '!B:B,' General Stock Summary View  '!C101,'XBS '!L:L,' General Stock Summary View  '!B101)</f>
        <v>0</v>
      </c>
      <c r="AC101" s="3">
        <f>SUMIFS('PowerApp_Physical count'!H:H,'PowerApp_Physical count'!B:B,' General Stock Summary View  '!$AB$2,'PowerApp_Physical count'!C:C,' General Stock Summary View  '!C101,'PowerApp_Physical count'!A:A,' General Stock Summary View  '!B101)</f>
        <v>0</v>
      </c>
      <c r="AD101" s="6">
        <f t="shared" si="26"/>
        <v>0</v>
      </c>
      <c r="AE101" s="7">
        <f t="shared" si="27"/>
        <v>0</v>
      </c>
      <c r="AF101" s="8">
        <f t="shared" si="28"/>
        <v>-3.8</v>
      </c>
      <c r="AG101" s="112"/>
    </row>
    <row r="102" spans="2:33" s="113" customFormat="1" ht="61.15">
      <c r="B102" s="117" t="s">
        <v>130</v>
      </c>
      <c r="C102" s="111" t="s">
        <v>58</v>
      </c>
      <c r="D102" s="11">
        <f>SUMIFS('XBS '!T:T,'XBS '!C:C,' General Stock Summary View  '!C102,'XBS '!L:L,' General Stock Summary View  '!B102)</f>
        <v>23.95</v>
      </c>
      <c r="E102" s="2">
        <f>SUMIFS('Blocked for Processing'!P:P,'Blocked for Processing'!I:I,' General Stock Summary View  '!B102,'Blocked for Processing'!C:C,' General Stock Summary View  '!C102)</f>
        <v>0</v>
      </c>
      <c r="F102" s="122">
        <f t="shared" si="17"/>
        <v>23.95</v>
      </c>
      <c r="G102" s="148">
        <f>SUMIFS('XBS '!T:T,'XBS '!H:H,' General Stock Summary View  '!$G$2,'XBS '!L:L,' General Stock Summary View  '!B102,'XBS '!C:C,' General Stock Summary View  '!C102)</f>
        <v>0</v>
      </c>
      <c r="H102" s="3">
        <f>SUMIFS('PowerApp_Physical count'!H:H,'PowerApp_Physical count'!B:B,' General Stock Summary View  '!$G$2,'PowerApp_Physical count'!C:C,' General Stock Summary View  '!C102,'PowerApp_Physical count'!A:A,' General Stock Summary View  '!B102)</f>
        <v>0</v>
      </c>
      <c r="I102" s="154">
        <f t="shared" si="16"/>
        <v>0</v>
      </c>
      <c r="J102" s="11">
        <f>SUMIFS('XBS '!T:T,'XBS '!H:H,' General Stock Summary View  '!$J$2,'XBS '!L:L,' General Stock Summary View  '!B102,'XBS '!C:C,' General Stock Summary View  '!C102)</f>
        <v>0</v>
      </c>
      <c r="K102" s="157">
        <f>SUMIFS('PowerApp_Physical count'!H:H,'PowerApp_Physical count'!B:B,' General Stock Summary View  '!$J$2,'PowerApp_Physical count'!C:C,' General Stock Summary View  '!C102,'PowerApp_Physical count'!A:A,' General Stock Summary View  '!B102)</f>
        <v>0</v>
      </c>
      <c r="L102" s="127">
        <f t="shared" si="18"/>
        <v>0</v>
      </c>
      <c r="M102" s="126">
        <f t="shared" si="19"/>
        <v>0</v>
      </c>
      <c r="N102" s="11">
        <f t="shared" si="20"/>
        <v>0</v>
      </c>
      <c r="O102" s="144">
        <f t="shared" si="21"/>
        <v>0</v>
      </c>
      <c r="P102" s="2">
        <f>SUMIFS('XBS '!T:T,'XBS '!H:H,' General Stock Summary View  '!$P$2,'XBS '!L:L,' General Stock Summary View  '!B102,'XBS '!C:C,' General Stock Summary View  '!C102)</f>
        <v>0</v>
      </c>
      <c r="Q102" s="3">
        <f>SUMIFS('PowerApp_Physical count'!H:H,'PowerApp_Physical count'!B:B,' General Stock Summary View  '!$P$2,'PowerApp_Physical count'!C:C,' General Stock Summary View  '!C102,'PowerApp_Physical count'!A:A,' General Stock Summary View  '!B102)</f>
        <v>0</v>
      </c>
      <c r="R102" s="4">
        <f t="shared" si="22"/>
        <v>0</v>
      </c>
      <c r="S102" s="5">
        <f>SUMIFS('XBS '!T:T,'XBS '!L:L,' General Stock Summary View  '!B102,'XBS '!H:H,' General Stock Summary View  '!$S$2,'XBS '!C:C,' General Stock Summary View  '!C102)</f>
        <v>23.95</v>
      </c>
      <c r="T102" s="3">
        <f>SUMIFS('PowerApp_Physical count'!H:H,'PowerApp_Physical count'!B:B,' General Stock Summary View  '!$S$2,'PowerApp_Physical count'!C:C,' General Stock Summary View  '!C102,'PowerApp_Physical count'!A:A,' General Stock Summary View  '!B102)</f>
        <v>0</v>
      </c>
      <c r="U102" s="4">
        <f t="shared" si="23"/>
        <v>-23.95</v>
      </c>
      <c r="V102" s="2">
        <f>SUMIFS('XBS '!T:T,'XBS '!H:H,' General Stock Summary View  '!$V$2,'XBS '!B:B,' General Stock Summary View  '!C102,'XBS '!L:L,' General Stock Summary View  '!B102)</f>
        <v>0</v>
      </c>
      <c r="W102" s="3">
        <f>SUMIFS('PowerApp_Physical count'!H:H,'PowerApp_Physical count'!B:B,' General Stock Summary View  '!$V$2,'PowerApp_Physical count'!C:C,' General Stock Summary View  '!C102,'PowerApp_Physical count'!A:A,' General Stock Summary View  '!B102)</f>
        <v>0</v>
      </c>
      <c r="X102" s="4">
        <f t="shared" si="24"/>
        <v>0</v>
      </c>
      <c r="Y102" s="5">
        <f>SUMIFS('XBS '!T:T,'XBS '!H:H,' General Stock Summary View  '!$Y$2,'XBS '!B:B,' General Stock Summary View  '!C102,'XBS '!L:L,' General Stock Summary View  '!B102)</f>
        <v>0</v>
      </c>
      <c r="Z102" s="3">
        <f>SUMIFS('PowerApp_Physical count'!H:H,'PowerApp_Physical count'!B:B,' General Stock Summary View  '!$Y$2,'PowerApp_Physical count'!C:C,' General Stock Summary View  '!C102,'PowerApp_Physical count'!A:A,' General Stock Summary View  '!B102)</f>
        <v>0</v>
      </c>
      <c r="AA102" s="4">
        <f t="shared" si="25"/>
        <v>0</v>
      </c>
      <c r="AB102" s="5">
        <f>SUMIFS('XBS '!T:T,'XBS '!H:H,' General Stock Summary View  '!$AB$2,'XBS '!B:B,' General Stock Summary View  '!C102,'XBS '!L:L,' General Stock Summary View  '!B102)</f>
        <v>0</v>
      </c>
      <c r="AC102" s="3">
        <f>SUMIFS('PowerApp_Physical count'!H:H,'PowerApp_Physical count'!B:B,' General Stock Summary View  '!$AB$2,'PowerApp_Physical count'!C:C,' General Stock Summary View  '!C102,'PowerApp_Physical count'!A:A,' General Stock Summary View  '!B102)</f>
        <v>0</v>
      </c>
      <c r="AD102" s="6">
        <f t="shared" si="26"/>
        <v>0</v>
      </c>
      <c r="AE102" s="7">
        <f t="shared" si="27"/>
        <v>0</v>
      </c>
      <c r="AF102" s="8">
        <f t="shared" si="28"/>
        <v>-23.95</v>
      </c>
      <c r="AG102" s="112"/>
    </row>
    <row r="103" spans="2:33" s="113" customFormat="1" ht="61.15">
      <c r="B103" s="117" t="s">
        <v>131</v>
      </c>
      <c r="C103" s="111" t="s">
        <v>58</v>
      </c>
      <c r="D103" s="11">
        <f>SUMIFS('XBS '!T:T,'XBS '!C:C,' General Stock Summary View  '!C103,'XBS '!L:L,' General Stock Summary View  '!B103)</f>
        <v>1.6666666666666668E-3</v>
      </c>
      <c r="E103" s="2">
        <f>SUMIFS('Blocked for Processing'!P:P,'Blocked for Processing'!I:I,' General Stock Summary View  '!B103,'Blocked for Processing'!C:C,' General Stock Summary View  '!C103)</f>
        <v>0</v>
      </c>
      <c r="F103" s="122">
        <f t="shared" si="17"/>
        <v>1.6666666666666668E-3</v>
      </c>
      <c r="G103" s="148">
        <f>SUMIFS('XBS '!T:T,'XBS '!H:H,' General Stock Summary View  '!$G$2,'XBS '!L:L,' General Stock Summary View  '!B103,'XBS '!C:C,' General Stock Summary View  '!C103)</f>
        <v>0</v>
      </c>
      <c r="H103" s="3">
        <f>SUMIFS('PowerApp_Physical count'!H:H,'PowerApp_Physical count'!B:B,' General Stock Summary View  '!$G$2,'PowerApp_Physical count'!C:C,' General Stock Summary View  '!C103,'PowerApp_Physical count'!A:A,' General Stock Summary View  '!B103)</f>
        <v>0</v>
      </c>
      <c r="I103" s="154">
        <f t="shared" si="16"/>
        <v>0</v>
      </c>
      <c r="J103" s="11">
        <f>SUMIFS('XBS '!T:T,'XBS '!H:H,' General Stock Summary View  '!$J$2,'XBS '!L:L,' General Stock Summary View  '!B103,'XBS '!C:C,' General Stock Summary View  '!C103)</f>
        <v>0</v>
      </c>
      <c r="K103" s="157">
        <f>SUMIFS('PowerApp_Physical count'!H:H,'PowerApp_Physical count'!B:B,' General Stock Summary View  '!$J$2,'PowerApp_Physical count'!C:C,' General Stock Summary View  '!C103,'PowerApp_Physical count'!A:A,' General Stock Summary View  '!B103)</f>
        <v>0</v>
      </c>
      <c r="L103" s="127">
        <f t="shared" si="18"/>
        <v>0</v>
      </c>
      <c r="M103" s="126">
        <f t="shared" si="19"/>
        <v>0</v>
      </c>
      <c r="N103" s="11">
        <f t="shared" si="20"/>
        <v>0</v>
      </c>
      <c r="O103" s="144">
        <f t="shared" si="21"/>
        <v>0</v>
      </c>
      <c r="P103" s="2">
        <f>SUMIFS('XBS '!T:T,'XBS '!H:H,' General Stock Summary View  '!$P$2,'XBS '!L:L,' General Stock Summary View  '!B103,'XBS '!C:C,' General Stock Summary View  '!C103)</f>
        <v>1.6666666666666668E-3</v>
      </c>
      <c r="Q103" s="3">
        <f>SUMIFS('PowerApp_Physical count'!H:H,'PowerApp_Physical count'!B:B,' General Stock Summary View  '!$P$2,'PowerApp_Physical count'!C:C,' General Stock Summary View  '!C103,'PowerApp_Physical count'!A:A,' General Stock Summary View  '!B103)</f>
        <v>0</v>
      </c>
      <c r="R103" s="4">
        <f t="shared" si="22"/>
        <v>-1.6666666666666668E-3</v>
      </c>
      <c r="S103" s="5">
        <f>SUMIFS('XBS '!T:T,'XBS '!L:L,' General Stock Summary View  '!B103,'XBS '!H:H,' General Stock Summary View  '!$S$2,'XBS '!C:C,' General Stock Summary View  '!C103)</f>
        <v>0</v>
      </c>
      <c r="T103" s="3">
        <f>SUMIFS('PowerApp_Physical count'!H:H,'PowerApp_Physical count'!B:B,' General Stock Summary View  '!$S$2,'PowerApp_Physical count'!C:C,' General Stock Summary View  '!C103,'PowerApp_Physical count'!A:A,' General Stock Summary View  '!B103)</f>
        <v>0</v>
      </c>
      <c r="U103" s="4">
        <f t="shared" si="23"/>
        <v>0</v>
      </c>
      <c r="V103" s="2">
        <f>SUMIFS('XBS '!T:T,'XBS '!H:H,' General Stock Summary View  '!$V$2,'XBS '!B:B,' General Stock Summary View  '!C103,'XBS '!L:L,' General Stock Summary View  '!B103)</f>
        <v>0</v>
      </c>
      <c r="W103" s="3">
        <f>SUMIFS('PowerApp_Physical count'!H:H,'PowerApp_Physical count'!B:B,' General Stock Summary View  '!$V$2,'PowerApp_Physical count'!C:C,' General Stock Summary View  '!C103,'PowerApp_Physical count'!A:A,' General Stock Summary View  '!B103)</f>
        <v>0</v>
      </c>
      <c r="X103" s="4">
        <f t="shared" si="24"/>
        <v>0</v>
      </c>
      <c r="Y103" s="5">
        <f>SUMIFS('XBS '!T:T,'XBS '!H:H,' General Stock Summary View  '!$Y$2,'XBS '!B:B,' General Stock Summary View  '!C103,'XBS '!L:L,' General Stock Summary View  '!B103)</f>
        <v>0</v>
      </c>
      <c r="Z103" s="3">
        <f>SUMIFS('PowerApp_Physical count'!H:H,'PowerApp_Physical count'!B:B,' General Stock Summary View  '!$Y$2,'PowerApp_Physical count'!C:C,' General Stock Summary View  '!C103,'PowerApp_Physical count'!A:A,' General Stock Summary View  '!B103)</f>
        <v>0</v>
      </c>
      <c r="AA103" s="4">
        <f t="shared" si="25"/>
        <v>0</v>
      </c>
      <c r="AB103" s="5">
        <f>SUMIFS('XBS '!T:T,'XBS '!H:H,' General Stock Summary View  '!$AB$2,'XBS '!B:B,' General Stock Summary View  '!C103,'XBS '!L:L,' General Stock Summary View  '!B103)</f>
        <v>0</v>
      </c>
      <c r="AC103" s="3">
        <f>SUMIFS('PowerApp_Physical count'!H:H,'PowerApp_Physical count'!B:B,' General Stock Summary View  '!$AB$2,'PowerApp_Physical count'!C:C,' General Stock Summary View  '!C103,'PowerApp_Physical count'!A:A,' General Stock Summary View  '!B103)</f>
        <v>0</v>
      </c>
      <c r="AD103" s="6">
        <f t="shared" si="26"/>
        <v>0</v>
      </c>
      <c r="AE103" s="7">
        <f t="shared" si="27"/>
        <v>0</v>
      </c>
      <c r="AF103" s="8">
        <f t="shared" si="28"/>
        <v>-1.6666666666666668E-3</v>
      </c>
      <c r="AG103" s="112"/>
    </row>
    <row r="104" spans="2:33" s="113" customFormat="1" ht="61.15">
      <c r="B104" s="117" t="s">
        <v>132</v>
      </c>
      <c r="C104" s="111" t="s">
        <v>133</v>
      </c>
      <c r="D104" s="11">
        <f>SUMIFS('XBS '!T:T,'XBS '!C:C,' General Stock Summary View  '!C104,'XBS '!L:L,' General Stock Summary View  '!B104)</f>
        <v>222.73333333333332</v>
      </c>
      <c r="E104" s="2">
        <f>SUMIFS('Blocked for Processing'!P:P,'Blocked for Processing'!I:I,' General Stock Summary View  '!B104,'Blocked for Processing'!C:C,' General Stock Summary View  '!C104)</f>
        <v>0</v>
      </c>
      <c r="F104" s="122">
        <f t="shared" si="17"/>
        <v>222.73333333333332</v>
      </c>
      <c r="G104" s="148">
        <f>SUMIFS('XBS '!T:T,'XBS '!H:H,' General Stock Summary View  '!$G$2,'XBS '!L:L,' General Stock Summary View  '!B104,'XBS '!C:C,' General Stock Summary View  '!C104)</f>
        <v>222.73333333333332</v>
      </c>
      <c r="H104" s="3">
        <f>SUMIFS('PowerApp_Physical count'!H:H,'PowerApp_Physical count'!B:B,' General Stock Summary View  '!$G$2,'PowerApp_Physical count'!C:C,' General Stock Summary View  '!C104,'PowerApp_Physical count'!A:A,' General Stock Summary View  '!B104)</f>
        <v>222.73333333333332</v>
      </c>
      <c r="I104" s="154">
        <f t="shared" si="16"/>
        <v>0</v>
      </c>
      <c r="J104" s="11">
        <f>SUMIFS('XBS '!T:T,'XBS '!H:H,' General Stock Summary View  '!$J$2,'XBS '!L:L,' General Stock Summary View  '!B104,'XBS '!C:C,' General Stock Summary View  '!C104)</f>
        <v>0</v>
      </c>
      <c r="K104" s="157">
        <f>SUMIFS('PowerApp_Physical count'!H:H,'PowerApp_Physical count'!B:B,' General Stock Summary View  '!$J$2,'PowerApp_Physical count'!C:C,' General Stock Summary View  '!C104,'PowerApp_Physical count'!A:A,' General Stock Summary View  '!B104)</f>
        <v>0</v>
      </c>
      <c r="L104" s="127">
        <f t="shared" si="18"/>
        <v>0</v>
      </c>
      <c r="M104" s="126">
        <f t="shared" si="19"/>
        <v>222.73333333333332</v>
      </c>
      <c r="N104" s="11">
        <f t="shared" si="20"/>
        <v>222.73333333333332</v>
      </c>
      <c r="O104" s="144">
        <f t="shared" si="21"/>
        <v>0</v>
      </c>
      <c r="P104" s="2">
        <f>SUMIFS('XBS '!T:T,'XBS '!H:H,' General Stock Summary View  '!$P$2,'XBS '!L:L,' General Stock Summary View  '!B104,'XBS '!C:C,' General Stock Summary View  '!C104)</f>
        <v>0</v>
      </c>
      <c r="Q104" s="3">
        <f>SUMIFS('PowerApp_Physical count'!H:H,'PowerApp_Physical count'!B:B,' General Stock Summary View  '!$P$2,'PowerApp_Physical count'!C:C,' General Stock Summary View  '!C104,'PowerApp_Physical count'!A:A,' General Stock Summary View  '!B104)</f>
        <v>0</v>
      </c>
      <c r="R104" s="4">
        <f t="shared" si="22"/>
        <v>0</v>
      </c>
      <c r="S104" s="5">
        <f>SUMIFS('XBS '!T:T,'XBS '!L:L,' General Stock Summary View  '!B104,'XBS '!H:H,' General Stock Summary View  '!$S$2,'XBS '!C:C,' General Stock Summary View  '!C104)</f>
        <v>0</v>
      </c>
      <c r="T104" s="3">
        <f>SUMIFS('PowerApp_Physical count'!H:H,'PowerApp_Physical count'!B:B,' General Stock Summary View  '!$S$2,'PowerApp_Physical count'!C:C,' General Stock Summary View  '!C104,'PowerApp_Physical count'!A:A,' General Stock Summary View  '!B104)</f>
        <v>0</v>
      </c>
      <c r="U104" s="4">
        <f t="shared" si="23"/>
        <v>0</v>
      </c>
      <c r="V104" s="2">
        <f>SUMIFS('XBS '!T:T,'XBS '!H:H,' General Stock Summary View  '!$V$2,'XBS '!B:B,' General Stock Summary View  '!C104,'XBS '!L:L,' General Stock Summary View  '!B104)</f>
        <v>0</v>
      </c>
      <c r="W104" s="3">
        <f>SUMIFS('PowerApp_Physical count'!H:H,'PowerApp_Physical count'!B:B,' General Stock Summary View  '!$V$2,'PowerApp_Physical count'!C:C,' General Stock Summary View  '!C104,'PowerApp_Physical count'!A:A,' General Stock Summary View  '!B104)</f>
        <v>0</v>
      </c>
      <c r="X104" s="4">
        <f t="shared" si="24"/>
        <v>0</v>
      </c>
      <c r="Y104" s="5">
        <f>SUMIFS('XBS '!T:T,'XBS '!H:H,' General Stock Summary View  '!$Y$2,'XBS '!B:B,' General Stock Summary View  '!C104,'XBS '!L:L,' General Stock Summary View  '!B104)</f>
        <v>0</v>
      </c>
      <c r="Z104" s="3">
        <f>SUMIFS('PowerApp_Physical count'!H:H,'PowerApp_Physical count'!B:B,' General Stock Summary View  '!$Y$2,'PowerApp_Physical count'!C:C,' General Stock Summary View  '!C104,'PowerApp_Physical count'!A:A,' General Stock Summary View  '!B104)</f>
        <v>0</v>
      </c>
      <c r="AA104" s="4">
        <f t="shared" si="25"/>
        <v>0</v>
      </c>
      <c r="AB104" s="5">
        <f>SUMIFS('XBS '!T:T,'XBS '!H:H,' General Stock Summary View  '!$AB$2,'XBS '!B:B,' General Stock Summary View  '!C104,'XBS '!L:L,' General Stock Summary View  '!B104)</f>
        <v>0</v>
      </c>
      <c r="AC104" s="3">
        <f>SUMIFS('PowerApp_Physical count'!H:H,'PowerApp_Physical count'!B:B,' General Stock Summary View  '!$AB$2,'PowerApp_Physical count'!C:C,' General Stock Summary View  '!C104,'PowerApp_Physical count'!A:A,' General Stock Summary View  '!B104)</f>
        <v>0</v>
      </c>
      <c r="AD104" s="6">
        <f t="shared" si="26"/>
        <v>0</v>
      </c>
      <c r="AE104" s="7">
        <f t="shared" si="27"/>
        <v>222.73333333333332</v>
      </c>
      <c r="AF104" s="8">
        <f t="shared" si="28"/>
        <v>0</v>
      </c>
      <c r="AG104" s="112"/>
    </row>
    <row r="105" spans="2:33" s="113" customFormat="1" ht="61.15">
      <c r="B105" s="117" t="s">
        <v>134</v>
      </c>
      <c r="C105" s="111" t="s">
        <v>133</v>
      </c>
      <c r="D105" s="11">
        <f>SUMIFS('XBS '!T:T,'XBS '!C:C,' General Stock Summary View  '!C105,'XBS '!L:L,' General Stock Summary View  '!B105)</f>
        <v>168.16666666666666</v>
      </c>
      <c r="E105" s="2">
        <f>SUMIFS('Blocked for Processing'!P:P,'Blocked for Processing'!I:I,' General Stock Summary View  '!B105,'Blocked for Processing'!C:C,' General Stock Summary View  '!C105)</f>
        <v>0</v>
      </c>
      <c r="F105" s="122">
        <f t="shared" ref="F105:F119" si="29">SUM(D105:E105)</f>
        <v>168.16666666666666</v>
      </c>
      <c r="G105" s="148">
        <f>SUMIFS('XBS '!T:T,'XBS '!H:H,' General Stock Summary View  '!$G$2,'XBS '!L:L,' General Stock Summary View  '!B105,'XBS '!C:C,' General Stock Summary View  '!C105)</f>
        <v>168.16666666666666</v>
      </c>
      <c r="H105" s="3">
        <f>SUMIFS('PowerApp_Physical count'!H:H,'PowerApp_Physical count'!B:B,' General Stock Summary View  '!$G$2,'PowerApp_Physical count'!C:C,' General Stock Summary View  '!C105,'PowerApp_Physical count'!A:A,' General Stock Summary View  '!B105)</f>
        <v>168.16666666666666</v>
      </c>
      <c r="I105" s="154">
        <f t="shared" si="16"/>
        <v>0</v>
      </c>
      <c r="J105" s="11">
        <f>SUMIFS('XBS '!T:T,'XBS '!H:H,' General Stock Summary View  '!$J$2,'XBS '!L:L,' General Stock Summary View  '!B105,'XBS '!C:C,' General Stock Summary View  '!C105)</f>
        <v>0</v>
      </c>
      <c r="K105" s="157">
        <f>SUMIFS('PowerApp_Physical count'!H:H,'PowerApp_Physical count'!B:B,' General Stock Summary View  '!$J$2,'PowerApp_Physical count'!C:C,' General Stock Summary View  '!C105,'PowerApp_Physical count'!A:A,' General Stock Summary View  '!B105)</f>
        <v>0</v>
      </c>
      <c r="L105" s="127">
        <f t="shared" ref="L105:L119" si="30">K105-J105</f>
        <v>0</v>
      </c>
      <c r="M105" s="126">
        <f t="shared" ref="M105:M119" si="31">J105+G105+E105</f>
        <v>168.16666666666666</v>
      </c>
      <c r="N105" s="11">
        <f t="shared" ref="N105:N119" si="32">K105+H105</f>
        <v>168.16666666666666</v>
      </c>
      <c r="O105" s="144">
        <f t="shared" ref="O105:O119" si="33">N105-M105</f>
        <v>0</v>
      </c>
      <c r="P105" s="2">
        <f>SUMIFS('XBS '!T:T,'XBS '!H:H,' General Stock Summary View  '!$P$2,'XBS '!L:L,' General Stock Summary View  '!B105,'XBS '!C:C,' General Stock Summary View  '!C105)</f>
        <v>0</v>
      </c>
      <c r="Q105" s="3">
        <f>SUMIFS('PowerApp_Physical count'!H:H,'PowerApp_Physical count'!B:B,' General Stock Summary View  '!$P$2,'PowerApp_Physical count'!C:C,' General Stock Summary View  '!C105,'PowerApp_Physical count'!A:A,' General Stock Summary View  '!B105)</f>
        <v>0</v>
      </c>
      <c r="R105" s="4">
        <f t="shared" ref="R105:R119" si="34">Q105-P105</f>
        <v>0</v>
      </c>
      <c r="S105" s="5">
        <f>SUMIFS('XBS '!T:T,'XBS '!L:L,' General Stock Summary View  '!B105,'XBS '!H:H,' General Stock Summary View  '!$S$2,'XBS '!C:C,' General Stock Summary View  '!C105)</f>
        <v>0</v>
      </c>
      <c r="T105" s="3">
        <f>SUMIFS('PowerApp_Physical count'!H:H,'PowerApp_Physical count'!B:B,' General Stock Summary View  '!$S$2,'PowerApp_Physical count'!C:C,' General Stock Summary View  '!C105,'PowerApp_Physical count'!A:A,' General Stock Summary View  '!B105)</f>
        <v>0</v>
      </c>
      <c r="U105" s="4">
        <f t="shared" ref="U105:U119" si="35">T105-S105</f>
        <v>0</v>
      </c>
      <c r="V105" s="2">
        <f>SUMIFS('XBS '!T:T,'XBS '!H:H,' General Stock Summary View  '!$V$2,'XBS '!B:B,' General Stock Summary View  '!C105,'XBS '!L:L,' General Stock Summary View  '!B105)</f>
        <v>0</v>
      </c>
      <c r="W105" s="3">
        <f>SUMIFS('PowerApp_Physical count'!H:H,'PowerApp_Physical count'!B:B,' General Stock Summary View  '!$V$2,'PowerApp_Physical count'!C:C,' General Stock Summary View  '!C105,'PowerApp_Physical count'!A:A,' General Stock Summary View  '!B105)</f>
        <v>0</v>
      </c>
      <c r="X105" s="4">
        <f t="shared" ref="X105:X119" si="36">W105-V105</f>
        <v>0</v>
      </c>
      <c r="Y105" s="5">
        <f>SUMIFS('XBS '!T:T,'XBS '!H:H,' General Stock Summary View  '!$Y$2,'XBS '!B:B,' General Stock Summary View  '!C105,'XBS '!L:L,' General Stock Summary View  '!B105)</f>
        <v>0</v>
      </c>
      <c r="Z105" s="3">
        <f>SUMIFS('PowerApp_Physical count'!H:H,'PowerApp_Physical count'!B:B,' General Stock Summary View  '!$Y$2,'PowerApp_Physical count'!C:C,' General Stock Summary View  '!C105,'PowerApp_Physical count'!A:A,' General Stock Summary View  '!B105)</f>
        <v>0</v>
      </c>
      <c r="AA105" s="4">
        <f t="shared" ref="AA105:AA119" si="37">Z105-Y105</f>
        <v>0</v>
      </c>
      <c r="AB105" s="5">
        <f>SUMIFS('XBS '!T:T,'XBS '!H:H,' General Stock Summary View  '!$AB$2,'XBS '!B:B,' General Stock Summary View  '!C105,'XBS '!L:L,' General Stock Summary View  '!B105)</f>
        <v>0</v>
      </c>
      <c r="AC105" s="3">
        <f>SUMIFS('PowerApp_Physical count'!H:H,'PowerApp_Physical count'!B:B,' General Stock Summary View  '!$AB$2,'PowerApp_Physical count'!C:C,' General Stock Summary View  '!C105,'PowerApp_Physical count'!A:A,' General Stock Summary View  '!B105)</f>
        <v>0</v>
      </c>
      <c r="AD105" s="6">
        <f t="shared" ref="AD105:AD119" si="38">AC105-AB105</f>
        <v>0</v>
      </c>
      <c r="AE105" s="7">
        <f t="shared" ref="AE105:AE119" si="39">SUM(H105,Q105,T105,W105,Z105,AC105+K105)</f>
        <v>168.16666666666666</v>
      </c>
      <c r="AF105" s="8">
        <f t="shared" ref="AF105:AF119" si="40">AE105-F105</f>
        <v>0</v>
      </c>
      <c r="AG105" s="112"/>
    </row>
    <row r="106" spans="2:33" s="113" customFormat="1" ht="61.15">
      <c r="B106" s="117" t="s">
        <v>135</v>
      </c>
      <c r="C106" s="111" t="s">
        <v>133</v>
      </c>
      <c r="D106" s="11">
        <f>SUMIFS('XBS '!T:T,'XBS '!C:C,' General Stock Summary View  '!C106,'XBS '!L:L,' General Stock Summary View  '!B106)</f>
        <v>261.66666666666669</v>
      </c>
      <c r="E106" s="2">
        <f>SUMIFS('Blocked for Processing'!P:P,'Blocked for Processing'!I:I,' General Stock Summary View  '!B106,'Blocked for Processing'!C:C,' General Stock Summary View  '!C106)</f>
        <v>0</v>
      </c>
      <c r="F106" s="122">
        <f t="shared" si="29"/>
        <v>261.66666666666669</v>
      </c>
      <c r="G106" s="148">
        <f>SUMIFS('XBS '!T:T,'XBS '!H:H,' General Stock Summary View  '!$G$2,'XBS '!L:L,' General Stock Summary View  '!B106,'XBS '!C:C,' General Stock Summary View  '!C106)</f>
        <v>261.66666666666669</v>
      </c>
      <c r="H106" s="3">
        <f>SUMIFS('PowerApp_Physical count'!H:H,'PowerApp_Physical count'!B:B,' General Stock Summary View  '!$G$2,'PowerApp_Physical count'!C:C,' General Stock Summary View  '!C106,'PowerApp_Physical count'!A:A,' General Stock Summary View  '!B106)</f>
        <v>261.66666666666669</v>
      </c>
      <c r="I106" s="154">
        <f t="shared" si="16"/>
        <v>0</v>
      </c>
      <c r="J106" s="11">
        <f>SUMIFS('XBS '!T:T,'XBS '!H:H,' General Stock Summary View  '!$J$2,'XBS '!L:L,' General Stock Summary View  '!B106,'XBS '!C:C,' General Stock Summary View  '!C106)</f>
        <v>0</v>
      </c>
      <c r="K106" s="157">
        <f>SUMIFS('PowerApp_Physical count'!H:H,'PowerApp_Physical count'!B:B,' General Stock Summary View  '!$J$2,'PowerApp_Physical count'!C:C,' General Stock Summary View  '!C106,'PowerApp_Physical count'!A:A,' General Stock Summary View  '!B106)</f>
        <v>0</v>
      </c>
      <c r="L106" s="127">
        <f t="shared" si="30"/>
        <v>0</v>
      </c>
      <c r="M106" s="126">
        <f t="shared" si="31"/>
        <v>261.66666666666669</v>
      </c>
      <c r="N106" s="11">
        <f t="shared" si="32"/>
        <v>261.66666666666669</v>
      </c>
      <c r="O106" s="144">
        <f t="shared" si="33"/>
        <v>0</v>
      </c>
      <c r="P106" s="2">
        <f>SUMIFS('XBS '!T:T,'XBS '!H:H,' General Stock Summary View  '!$P$2,'XBS '!L:L,' General Stock Summary View  '!B106,'XBS '!C:C,' General Stock Summary View  '!C106)</f>
        <v>0</v>
      </c>
      <c r="Q106" s="3">
        <f>SUMIFS('PowerApp_Physical count'!H:H,'PowerApp_Physical count'!B:B,' General Stock Summary View  '!$P$2,'PowerApp_Physical count'!C:C,' General Stock Summary View  '!C106,'PowerApp_Physical count'!A:A,' General Stock Summary View  '!B106)</f>
        <v>0</v>
      </c>
      <c r="R106" s="4">
        <f t="shared" si="34"/>
        <v>0</v>
      </c>
      <c r="S106" s="5">
        <f>SUMIFS('XBS '!T:T,'XBS '!L:L,' General Stock Summary View  '!B106,'XBS '!H:H,' General Stock Summary View  '!$S$2,'XBS '!C:C,' General Stock Summary View  '!C106)</f>
        <v>0</v>
      </c>
      <c r="T106" s="3">
        <f>SUMIFS('PowerApp_Physical count'!H:H,'PowerApp_Physical count'!B:B,' General Stock Summary View  '!$S$2,'PowerApp_Physical count'!C:C,' General Stock Summary View  '!C106,'PowerApp_Physical count'!A:A,' General Stock Summary View  '!B106)</f>
        <v>0</v>
      </c>
      <c r="U106" s="4">
        <f t="shared" si="35"/>
        <v>0</v>
      </c>
      <c r="V106" s="2">
        <f>SUMIFS('XBS '!T:T,'XBS '!H:H,' General Stock Summary View  '!$V$2,'XBS '!B:B,' General Stock Summary View  '!C106,'XBS '!L:L,' General Stock Summary View  '!B106)</f>
        <v>0</v>
      </c>
      <c r="W106" s="3">
        <f>SUMIFS('PowerApp_Physical count'!H:H,'PowerApp_Physical count'!B:B,' General Stock Summary View  '!$V$2,'PowerApp_Physical count'!C:C,' General Stock Summary View  '!C106,'PowerApp_Physical count'!A:A,' General Stock Summary View  '!B106)</f>
        <v>0</v>
      </c>
      <c r="X106" s="4">
        <f t="shared" si="36"/>
        <v>0</v>
      </c>
      <c r="Y106" s="5">
        <f>SUMIFS('XBS '!T:T,'XBS '!H:H,' General Stock Summary View  '!$Y$2,'XBS '!B:B,' General Stock Summary View  '!C106,'XBS '!L:L,' General Stock Summary View  '!B106)</f>
        <v>0</v>
      </c>
      <c r="Z106" s="3">
        <f>SUMIFS('PowerApp_Physical count'!H:H,'PowerApp_Physical count'!B:B,' General Stock Summary View  '!$Y$2,'PowerApp_Physical count'!C:C,' General Stock Summary View  '!C106,'PowerApp_Physical count'!A:A,' General Stock Summary View  '!B106)</f>
        <v>0</v>
      </c>
      <c r="AA106" s="4">
        <f t="shared" si="37"/>
        <v>0</v>
      </c>
      <c r="AB106" s="5">
        <f>SUMIFS('XBS '!T:T,'XBS '!H:H,' General Stock Summary View  '!$AB$2,'XBS '!B:B,' General Stock Summary View  '!C106,'XBS '!L:L,' General Stock Summary View  '!B106)</f>
        <v>0</v>
      </c>
      <c r="AC106" s="3">
        <f>SUMIFS('PowerApp_Physical count'!H:H,'PowerApp_Physical count'!B:B,' General Stock Summary View  '!$AB$2,'PowerApp_Physical count'!C:C,' General Stock Summary View  '!C106,'PowerApp_Physical count'!A:A,' General Stock Summary View  '!B106)</f>
        <v>0</v>
      </c>
      <c r="AD106" s="6">
        <f t="shared" si="38"/>
        <v>0</v>
      </c>
      <c r="AE106" s="7">
        <f t="shared" si="39"/>
        <v>261.66666666666669</v>
      </c>
      <c r="AF106" s="8">
        <f t="shared" si="40"/>
        <v>0</v>
      </c>
      <c r="AG106" s="112"/>
    </row>
    <row r="107" spans="2:33" s="113" customFormat="1" ht="61.15">
      <c r="B107" s="117" t="s">
        <v>136</v>
      </c>
      <c r="C107" s="111" t="s">
        <v>133</v>
      </c>
      <c r="D107" s="11">
        <f>SUMIFS('XBS '!T:T,'XBS '!C:C,' General Stock Summary View  '!C107,'XBS '!L:L,' General Stock Summary View  '!B107)</f>
        <v>168.58333333333334</v>
      </c>
      <c r="E107" s="2">
        <f>SUMIFS('Blocked for Processing'!P:P,'Blocked for Processing'!I:I,' General Stock Summary View  '!B107,'Blocked for Processing'!C:C,' General Stock Summary View  '!C107)</f>
        <v>0</v>
      </c>
      <c r="F107" s="122">
        <f t="shared" si="29"/>
        <v>168.58333333333334</v>
      </c>
      <c r="G107" s="148">
        <f>SUMIFS('XBS '!T:T,'XBS '!H:H,' General Stock Summary View  '!$G$2,'XBS '!L:L,' General Stock Summary View  '!B107,'XBS '!C:C,' General Stock Summary View  '!C107)</f>
        <v>168.58333333333334</v>
      </c>
      <c r="H107" s="3">
        <f>SUMIFS('PowerApp_Physical count'!H:H,'PowerApp_Physical count'!B:B,' General Stock Summary View  '!$G$2,'PowerApp_Physical count'!C:C,' General Stock Summary View  '!C107,'PowerApp_Physical count'!A:A,' General Stock Summary View  '!B107)</f>
        <v>168.58333333333334</v>
      </c>
      <c r="I107" s="154">
        <f t="shared" si="16"/>
        <v>0</v>
      </c>
      <c r="J107" s="11">
        <f>SUMIFS('XBS '!T:T,'XBS '!H:H,' General Stock Summary View  '!$J$2,'XBS '!L:L,' General Stock Summary View  '!B107,'XBS '!C:C,' General Stock Summary View  '!C107)</f>
        <v>0</v>
      </c>
      <c r="K107" s="157">
        <f>SUMIFS('PowerApp_Physical count'!H:H,'PowerApp_Physical count'!B:B,' General Stock Summary View  '!$J$2,'PowerApp_Physical count'!C:C,' General Stock Summary View  '!C107,'PowerApp_Physical count'!A:A,' General Stock Summary View  '!B107)</f>
        <v>0</v>
      </c>
      <c r="L107" s="127">
        <f t="shared" si="30"/>
        <v>0</v>
      </c>
      <c r="M107" s="126">
        <f t="shared" si="31"/>
        <v>168.58333333333334</v>
      </c>
      <c r="N107" s="11">
        <f t="shared" si="32"/>
        <v>168.58333333333334</v>
      </c>
      <c r="O107" s="144">
        <f t="shared" si="33"/>
        <v>0</v>
      </c>
      <c r="P107" s="2">
        <f>SUMIFS('XBS '!T:T,'XBS '!H:H,' General Stock Summary View  '!$P$2,'XBS '!L:L,' General Stock Summary View  '!B107,'XBS '!C:C,' General Stock Summary View  '!C107)</f>
        <v>0</v>
      </c>
      <c r="Q107" s="3">
        <f>SUMIFS('PowerApp_Physical count'!H:H,'PowerApp_Physical count'!B:B,' General Stock Summary View  '!$P$2,'PowerApp_Physical count'!C:C,' General Stock Summary View  '!C107,'PowerApp_Physical count'!A:A,' General Stock Summary View  '!B107)</f>
        <v>0</v>
      </c>
      <c r="R107" s="4">
        <f t="shared" si="34"/>
        <v>0</v>
      </c>
      <c r="S107" s="5">
        <f>SUMIFS('XBS '!T:T,'XBS '!L:L,' General Stock Summary View  '!B107,'XBS '!H:H,' General Stock Summary View  '!$S$2,'XBS '!C:C,' General Stock Summary View  '!C107)</f>
        <v>0</v>
      </c>
      <c r="T107" s="3">
        <f>SUMIFS('PowerApp_Physical count'!H:H,'PowerApp_Physical count'!B:B,' General Stock Summary View  '!$S$2,'PowerApp_Physical count'!C:C,' General Stock Summary View  '!C107,'PowerApp_Physical count'!A:A,' General Stock Summary View  '!B107)</f>
        <v>0</v>
      </c>
      <c r="U107" s="4">
        <f t="shared" si="35"/>
        <v>0</v>
      </c>
      <c r="V107" s="2">
        <f>SUMIFS('XBS '!T:T,'XBS '!H:H,' General Stock Summary View  '!$V$2,'XBS '!B:B,' General Stock Summary View  '!C107,'XBS '!L:L,' General Stock Summary View  '!B107)</f>
        <v>0</v>
      </c>
      <c r="W107" s="3">
        <f>SUMIFS('PowerApp_Physical count'!H:H,'PowerApp_Physical count'!B:B,' General Stock Summary View  '!$V$2,'PowerApp_Physical count'!C:C,' General Stock Summary View  '!C107,'PowerApp_Physical count'!A:A,' General Stock Summary View  '!B107)</f>
        <v>0</v>
      </c>
      <c r="X107" s="4">
        <f t="shared" si="36"/>
        <v>0</v>
      </c>
      <c r="Y107" s="5">
        <f>SUMIFS('XBS '!T:T,'XBS '!H:H,' General Stock Summary View  '!$Y$2,'XBS '!B:B,' General Stock Summary View  '!C107,'XBS '!L:L,' General Stock Summary View  '!B107)</f>
        <v>0</v>
      </c>
      <c r="Z107" s="3">
        <f>SUMIFS('PowerApp_Physical count'!H:H,'PowerApp_Physical count'!B:B,' General Stock Summary View  '!$Y$2,'PowerApp_Physical count'!C:C,' General Stock Summary View  '!C107,'PowerApp_Physical count'!A:A,' General Stock Summary View  '!B107)</f>
        <v>0</v>
      </c>
      <c r="AA107" s="4">
        <f t="shared" si="37"/>
        <v>0</v>
      </c>
      <c r="AB107" s="5">
        <f>SUMIFS('XBS '!T:T,'XBS '!H:H,' General Stock Summary View  '!$AB$2,'XBS '!B:B,' General Stock Summary View  '!C107,'XBS '!L:L,' General Stock Summary View  '!B107)</f>
        <v>0</v>
      </c>
      <c r="AC107" s="3">
        <f>SUMIFS('PowerApp_Physical count'!H:H,'PowerApp_Physical count'!B:B,' General Stock Summary View  '!$AB$2,'PowerApp_Physical count'!C:C,' General Stock Summary View  '!C107,'PowerApp_Physical count'!A:A,' General Stock Summary View  '!B107)</f>
        <v>0</v>
      </c>
      <c r="AD107" s="6">
        <f t="shared" si="38"/>
        <v>0</v>
      </c>
      <c r="AE107" s="7">
        <f t="shared" si="39"/>
        <v>168.58333333333334</v>
      </c>
      <c r="AF107" s="8">
        <f t="shared" si="40"/>
        <v>0</v>
      </c>
      <c r="AG107" s="112"/>
    </row>
    <row r="108" spans="2:33" s="113" customFormat="1" ht="61.15">
      <c r="B108" s="117" t="s">
        <v>137</v>
      </c>
      <c r="C108" s="111" t="s">
        <v>133</v>
      </c>
      <c r="D108" s="11">
        <f>SUMIFS('XBS '!T:T,'XBS '!C:C,' General Stock Summary View  '!C108,'XBS '!L:L,' General Stock Summary View  '!B108)</f>
        <v>123.28333333333333</v>
      </c>
      <c r="E108" s="2">
        <f>SUMIFS('Blocked for Processing'!P:P,'Blocked for Processing'!I:I,' General Stock Summary View  '!B108,'Blocked for Processing'!C:C,' General Stock Summary View  '!C108)</f>
        <v>0</v>
      </c>
      <c r="F108" s="122">
        <f t="shared" si="29"/>
        <v>123.28333333333333</v>
      </c>
      <c r="G108" s="148">
        <f>SUMIFS('XBS '!T:T,'XBS '!H:H,' General Stock Summary View  '!$G$2,'XBS '!L:L,' General Stock Summary View  '!B108,'XBS '!C:C,' General Stock Summary View  '!C108)</f>
        <v>123.28333333333333</v>
      </c>
      <c r="H108" s="3">
        <f>SUMIFS('PowerApp_Physical count'!H:H,'PowerApp_Physical count'!B:B,' General Stock Summary View  '!$G$2,'PowerApp_Physical count'!C:C,' General Stock Summary View  '!C108,'PowerApp_Physical count'!A:A,' General Stock Summary View  '!B108)</f>
        <v>123.28333333333333</v>
      </c>
      <c r="I108" s="154">
        <f t="shared" si="16"/>
        <v>0</v>
      </c>
      <c r="J108" s="11">
        <f>SUMIFS('XBS '!T:T,'XBS '!H:H,' General Stock Summary View  '!$J$2,'XBS '!L:L,' General Stock Summary View  '!B108,'XBS '!C:C,' General Stock Summary View  '!C108)</f>
        <v>0</v>
      </c>
      <c r="K108" s="157">
        <f>SUMIFS('PowerApp_Physical count'!H:H,'PowerApp_Physical count'!B:B,' General Stock Summary View  '!$J$2,'PowerApp_Physical count'!C:C,' General Stock Summary View  '!C108,'PowerApp_Physical count'!A:A,' General Stock Summary View  '!B108)</f>
        <v>0</v>
      </c>
      <c r="L108" s="127">
        <f t="shared" si="30"/>
        <v>0</v>
      </c>
      <c r="M108" s="126">
        <f t="shared" si="31"/>
        <v>123.28333333333333</v>
      </c>
      <c r="N108" s="11">
        <f t="shared" si="32"/>
        <v>123.28333333333333</v>
      </c>
      <c r="O108" s="144">
        <f t="shared" si="33"/>
        <v>0</v>
      </c>
      <c r="P108" s="2">
        <f>SUMIFS('XBS '!T:T,'XBS '!H:H,' General Stock Summary View  '!$P$2,'XBS '!L:L,' General Stock Summary View  '!B108,'XBS '!C:C,' General Stock Summary View  '!C108)</f>
        <v>0</v>
      </c>
      <c r="Q108" s="3">
        <f>SUMIFS('PowerApp_Physical count'!H:H,'PowerApp_Physical count'!B:B,' General Stock Summary View  '!$P$2,'PowerApp_Physical count'!C:C,' General Stock Summary View  '!C108,'PowerApp_Physical count'!A:A,' General Stock Summary View  '!B108)</f>
        <v>0</v>
      </c>
      <c r="R108" s="4">
        <f t="shared" si="34"/>
        <v>0</v>
      </c>
      <c r="S108" s="5">
        <f>SUMIFS('XBS '!T:T,'XBS '!L:L,' General Stock Summary View  '!B108,'XBS '!H:H,' General Stock Summary View  '!$S$2,'XBS '!C:C,' General Stock Summary View  '!C108)</f>
        <v>0</v>
      </c>
      <c r="T108" s="3">
        <f>SUMIFS('PowerApp_Physical count'!H:H,'PowerApp_Physical count'!B:B,' General Stock Summary View  '!$S$2,'PowerApp_Physical count'!C:C,' General Stock Summary View  '!C108,'PowerApp_Physical count'!A:A,' General Stock Summary View  '!B108)</f>
        <v>0</v>
      </c>
      <c r="U108" s="4">
        <f t="shared" si="35"/>
        <v>0</v>
      </c>
      <c r="V108" s="2">
        <f>SUMIFS('XBS '!T:T,'XBS '!H:H,' General Stock Summary View  '!$V$2,'XBS '!B:B,' General Stock Summary View  '!C108,'XBS '!L:L,' General Stock Summary View  '!B108)</f>
        <v>0</v>
      </c>
      <c r="W108" s="3">
        <f>SUMIFS('PowerApp_Physical count'!H:H,'PowerApp_Physical count'!B:B,' General Stock Summary View  '!$V$2,'PowerApp_Physical count'!C:C,' General Stock Summary View  '!C108,'PowerApp_Physical count'!A:A,' General Stock Summary View  '!B108)</f>
        <v>0</v>
      </c>
      <c r="X108" s="4">
        <f t="shared" si="36"/>
        <v>0</v>
      </c>
      <c r="Y108" s="5">
        <f>SUMIFS('XBS '!T:T,'XBS '!H:H,' General Stock Summary View  '!$Y$2,'XBS '!B:B,' General Stock Summary View  '!C108,'XBS '!L:L,' General Stock Summary View  '!B108)</f>
        <v>0</v>
      </c>
      <c r="Z108" s="3">
        <f>SUMIFS('PowerApp_Physical count'!H:H,'PowerApp_Physical count'!B:B,' General Stock Summary View  '!$Y$2,'PowerApp_Physical count'!C:C,' General Stock Summary View  '!C108,'PowerApp_Physical count'!A:A,' General Stock Summary View  '!B108)</f>
        <v>0</v>
      </c>
      <c r="AA108" s="4">
        <f t="shared" si="37"/>
        <v>0</v>
      </c>
      <c r="AB108" s="5">
        <f>SUMIFS('XBS '!T:T,'XBS '!H:H,' General Stock Summary View  '!$AB$2,'XBS '!B:B,' General Stock Summary View  '!C108,'XBS '!L:L,' General Stock Summary View  '!B108)</f>
        <v>0</v>
      </c>
      <c r="AC108" s="3">
        <f>SUMIFS('PowerApp_Physical count'!H:H,'PowerApp_Physical count'!B:B,' General Stock Summary View  '!$AB$2,'PowerApp_Physical count'!C:C,' General Stock Summary View  '!C108,'PowerApp_Physical count'!A:A,' General Stock Summary View  '!B108)</f>
        <v>0</v>
      </c>
      <c r="AD108" s="6">
        <f t="shared" si="38"/>
        <v>0</v>
      </c>
      <c r="AE108" s="7">
        <f t="shared" si="39"/>
        <v>123.28333333333333</v>
      </c>
      <c r="AF108" s="8">
        <f t="shared" si="40"/>
        <v>0</v>
      </c>
      <c r="AG108" s="112"/>
    </row>
    <row r="109" spans="2:33" s="113" customFormat="1" ht="61.15">
      <c r="B109" s="117" t="s">
        <v>138</v>
      </c>
      <c r="C109" s="111" t="s">
        <v>133</v>
      </c>
      <c r="D109" s="11">
        <f>SUMIFS('XBS '!T:T,'XBS '!C:C,' General Stock Summary View  '!C109,'XBS '!L:L,' General Stock Summary View  '!B109)</f>
        <v>158</v>
      </c>
      <c r="E109" s="2">
        <f>SUMIFS('Blocked for Processing'!P:P,'Blocked for Processing'!I:I,' General Stock Summary View  '!B109,'Blocked for Processing'!C:C,' General Stock Summary View  '!C109)</f>
        <v>0</v>
      </c>
      <c r="F109" s="122">
        <f t="shared" si="29"/>
        <v>158</v>
      </c>
      <c r="G109" s="148">
        <f>SUMIFS('XBS '!T:T,'XBS '!H:H,' General Stock Summary View  '!$G$2,'XBS '!L:L,' General Stock Summary View  '!B109,'XBS '!C:C,' General Stock Summary View  '!C109)</f>
        <v>158</v>
      </c>
      <c r="H109" s="3">
        <f>SUMIFS('PowerApp_Physical count'!H:H,'PowerApp_Physical count'!B:B,' General Stock Summary View  '!$G$2,'PowerApp_Physical count'!C:C,' General Stock Summary View  '!C109,'PowerApp_Physical count'!A:A,' General Stock Summary View  '!B109)</f>
        <v>158</v>
      </c>
      <c r="I109" s="154">
        <f t="shared" si="16"/>
        <v>0</v>
      </c>
      <c r="J109" s="11">
        <f>SUMIFS('XBS '!T:T,'XBS '!H:H,' General Stock Summary View  '!$J$2,'XBS '!L:L,' General Stock Summary View  '!B109,'XBS '!C:C,' General Stock Summary View  '!C109)</f>
        <v>0</v>
      </c>
      <c r="K109" s="157">
        <f>SUMIFS('PowerApp_Physical count'!H:H,'PowerApp_Physical count'!B:B,' General Stock Summary View  '!$J$2,'PowerApp_Physical count'!C:C,' General Stock Summary View  '!C109,'PowerApp_Physical count'!A:A,' General Stock Summary View  '!B109)</f>
        <v>0</v>
      </c>
      <c r="L109" s="127">
        <f t="shared" si="30"/>
        <v>0</v>
      </c>
      <c r="M109" s="126">
        <f t="shared" si="31"/>
        <v>158</v>
      </c>
      <c r="N109" s="11">
        <f t="shared" si="32"/>
        <v>158</v>
      </c>
      <c r="O109" s="144">
        <f t="shared" si="33"/>
        <v>0</v>
      </c>
      <c r="P109" s="2">
        <f>SUMIFS('XBS '!T:T,'XBS '!H:H,' General Stock Summary View  '!$P$2,'XBS '!L:L,' General Stock Summary View  '!B109,'XBS '!C:C,' General Stock Summary View  '!C109)</f>
        <v>0</v>
      </c>
      <c r="Q109" s="3">
        <f>SUMIFS('PowerApp_Physical count'!H:H,'PowerApp_Physical count'!B:B,' General Stock Summary View  '!$P$2,'PowerApp_Physical count'!C:C,' General Stock Summary View  '!C109,'PowerApp_Physical count'!A:A,' General Stock Summary View  '!B109)</f>
        <v>0</v>
      </c>
      <c r="R109" s="4">
        <f t="shared" si="34"/>
        <v>0</v>
      </c>
      <c r="S109" s="5">
        <f>SUMIFS('XBS '!T:T,'XBS '!L:L,' General Stock Summary View  '!B109,'XBS '!H:H,' General Stock Summary View  '!$S$2,'XBS '!C:C,' General Stock Summary View  '!C109)</f>
        <v>0</v>
      </c>
      <c r="T109" s="3">
        <f>SUMIFS('PowerApp_Physical count'!H:H,'PowerApp_Physical count'!B:B,' General Stock Summary View  '!$S$2,'PowerApp_Physical count'!C:C,' General Stock Summary View  '!C109,'PowerApp_Physical count'!A:A,' General Stock Summary View  '!B109)</f>
        <v>0</v>
      </c>
      <c r="U109" s="4">
        <f t="shared" si="35"/>
        <v>0</v>
      </c>
      <c r="V109" s="2">
        <f>SUMIFS('XBS '!T:T,'XBS '!H:H,' General Stock Summary View  '!$V$2,'XBS '!B:B,' General Stock Summary View  '!C109,'XBS '!L:L,' General Stock Summary View  '!B109)</f>
        <v>0</v>
      </c>
      <c r="W109" s="3">
        <f>SUMIFS('PowerApp_Physical count'!H:H,'PowerApp_Physical count'!B:B,' General Stock Summary View  '!$V$2,'PowerApp_Physical count'!C:C,' General Stock Summary View  '!C109,'PowerApp_Physical count'!A:A,' General Stock Summary View  '!B109)</f>
        <v>0</v>
      </c>
      <c r="X109" s="4">
        <f t="shared" si="36"/>
        <v>0</v>
      </c>
      <c r="Y109" s="5">
        <f>SUMIFS('XBS '!T:T,'XBS '!H:H,' General Stock Summary View  '!$Y$2,'XBS '!B:B,' General Stock Summary View  '!C109,'XBS '!L:L,' General Stock Summary View  '!B109)</f>
        <v>0</v>
      </c>
      <c r="Z109" s="3">
        <f>SUMIFS('PowerApp_Physical count'!H:H,'PowerApp_Physical count'!B:B,' General Stock Summary View  '!$Y$2,'PowerApp_Physical count'!C:C,' General Stock Summary View  '!C109,'PowerApp_Physical count'!A:A,' General Stock Summary View  '!B109)</f>
        <v>0</v>
      </c>
      <c r="AA109" s="4">
        <f t="shared" si="37"/>
        <v>0</v>
      </c>
      <c r="AB109" s="5">
        <f>SUMIFS('XBS '!T:T,'XBS '!H:H,' General Stock Summary View  '!$AB$2,'XBS '!B:B,' General Stock Summary View  '!C109,'XBS '!L:L,' General Stock Summary View  '!B109)</f>
        <v>0</v>
      </c>
      <c r="AC109" s="3">
        <f>SUMIFS('PowerApp_Physical count'!H:H,'PowerApp_Physical count'!B:B,' General Stock Summary View  '!$AB$2,'PowerApp_Physical count'!C:C,' General Stock Summary View  '!C109,'PowerApp_Physical count'!A:A,' General Stock Summary View  '!B109)</f>
        <v>0</v>
      </c>
      <c r="AD109" s="6">
        <f t="shared" si="38"/>
        <v>0</v>
      </c>
      <c r="AE109" s="7">
        <f t="shared" si="39"/>
        <v>158</v>
      </c>
      <c r="AF109" s="8">
        <f t="shared" si="40"/>
        <v>0</v>
      </c>
      <c r="AG109" s="112"/>
    </row>
    <row r="110" spans="2:33" s="113" customFormat="1" ht="61.15">
      <c r="B110" s="117" t="s">
        <v>139</v>
      </c>
      <c r="C110" s="111" t="s">
        <v>140</v>
      </c>
      <c r="D110" s="11">
        <f>SUMIFS('XBS '!T:T,'XBS '!C:C,' General Stock Summary View  '!C110,'XBS '!L:L,' General Stock Summary View  '!B110)</f>
        <v>55.25</v>
      </c>
      <c r="E110" s="2">
        <f>SUMIFS('Blocked for Processing'!P:P,'Blocked for Processing'!I:I,' General Stock Summary View  '!B110,'Blocked for Processing'!C:C,' General Stock Summary View  '!C110)</f>
        <v>0</v>
      </c>
      <c r="F110" s="122">
        <f t="shared" si="29"/>
        <v>55.25</v>
      </c>
      <c r="G110" s="148">
        <f>SUMIFS('XBS '!T:T,'XBS '!H:H,' General Stock Summary View  '!$G$2,'XBS '!L:L,' General Stock Summary View  '!B110,'XBS '!C:C,' General Stock Summary View  '!C110)</f>
        <v>55.25</v>
      </c>
      <c r="H110" s="3">
        <f>SUMIFS('PowerApp_Physical count'!H:H,'PowerApp_Physical count'!B:B,' General Stock Summary View  '!$G$2,'PowerApp_Physical count'!C:C,' General Stock Summary View  '!C110,'PowerApp_Physical count'!A:A,' General Stock Summary View  '!B110)</f>
        <v>55.25</v>
      </c>
      <c r="I110" s="154">
        <f t="shared" si="16"/>
        <v>0</v>
      </c>
      <c r="J110" s="11">
        <f>SUMIFS('XBS '!T:T,'XBS '!H:H,' General Stock Summary View  '!$J$2,'XBS '!L:L,' General Stock Summary View  '!B110,'XBS '!C:C,' General Stock Summary View  '!C110)</f>
        <v>0</v>
      </c>
      <c r="K110" s="157">
        <f>SUMIFS('PowerApp_Physical count'!H:H,'PowerApp_Physical count'!B:B,' General Stock Summary View  '!$J$2,'PowerApp_Physical count'!C:C,' General Stock Summary View  '!C110,'PowerApp_Physical count'!A:A,' General Stock Summary View  '!B110)</f>
        <v>0</v>
      </c>
      <c r="L110" s="127">
        <f t="shared" si="30"/>
        <v>0</v>
      </c>
      <c r="M110" s="126">
        <f t="shared" si="31"/>
        <v>55.25</v>
      </c>
      <c r="N110" s="11">
        <f t="shared" si="32"/>
        <v>55.25</v>
      </c>
      <c r="O110" s="144">
        <f t="shared" si="33"/>
        <v>0</v>
      </c>
      <c r="P110" s="2">
        <f>SUMIFS('XBS '!T:T,'XBS '!H:H,' General Stock Summary View  '!$P$2,'XBS '!L:L,' General Stock Summary View  '!B110,'XBS '!C:C,' General Stock Summary View  '!C110)</f>
        <v>0</v>
      </c>
      <c r="Q110" s="3">
        <f>SUMIFS('PowerApp_Physical count'!H:H,'PowerApp_Physical count'!B:B,' General Stock Summary View  '!$P$2,'PowerApp_Physical count'!C:C,' General Stock Summary View  '!C110,'PowerApp_Physical count'!A:A,' General Stock Summary View  '!B110)</f>
        <v>0</v>
      </c>
      <c r="R110" s="4">
        <f t="shared" si="34"/>
        <v>0</v>
      </c>
      <c r="S110" s="5">
        <f>SUMIFS('XBS '!T:T,'XBS '!L:L,' General Stock Summary View  '!B110,'XBS '!H:H,' General Stock Summary View  '!$S$2,'XBS '!C:C,' General Stock Summary View  '!C110)</f>
        <v>0</v>
      </c>
      <c r="T110" s="3">
        <f>SUMIFS('PowerApp_Physical count'!H:H,'PowerApp_Physical count'!B:B,' General Stock Summary View  '!$S$2,'PowerApp_Physical count'!C:C,' General Stock Summary View  '!C110,'PowerApp_Physical count'!A:A,' General Stock Summary View  '!B110)</f>
        <v>0</v>
      </c>
      <c r="U110" s="4">
        <f t="shared" si="35"/>
        <v>0</v>
      </c>
      <c r="V110" s="2">
        <f>SUMIFS('XBS '!T:T,'XBS '!H:H,' General Stock Summary View  '!$V$2,'XBS '!B:B,' General Stock Summary View  '!C110,'XBS '!L:L,' General Stock Summary View  '!B110)</f>
        <v>0</v>
      </c>
      <c r="W110" s="3">
        <f>SUMIFS('PowerApp_Physical count'!H:H,'PowerApp_Physical count'!B:B,' General Stock Summary View  '!$V$2,'PowerApp_Physical count'!C:C,' General Stock Summary View  '!C110,'PowerApp_Physical count'!A:A,' General Stock Summary View  '!B110)</f>
        <v>0</v>
      </c>
      <c r="X110" s="4">
        <f t="shared" si="36"/>
        <v>0</v>
      </c>
      <c r="Y110" s="5">
        <f>SUMIFS('XBS '!T:T,'XBS '!H:H,' General Stock Summary View  '!$Y$2,'XBS '!B:B,' General Stock Summary View  '!C110,'XBS '!L:L,' General Stock Summary View  '!B110)</f>
        <v>0</v>
      </c>
      <c r="Z110" s="3">
        <f>SUMIFS('PowerApp_Physical count'!H:H,'PowerApp_Physical count'!B:B,' General Stock Summary View  '!$Y$2,'PowerApp_Physical count'!C:C,' General Stock Summary View  '!C110,'PowerApp_Physical count'!A:A,' General Stock Summary View  '!B110)</f>
        <v>0</v>
      </c>
      <c r="AA110" s="4">
        <f t="shared" si="37"/>
        <v>0</v>
      </c>
      <c r="AB110" s="5">
        <f>SUMIFS('XBS '!T:T,'XBS '!H:H,' General Stock Summary View  '!$AB$2,'XBS '!B:B,' General Stock Summary View  '!C110,'XBS '!L:L,' General Stock Summary View  '!B110)</f>
        <v>0</v>
      </c>
      <c r="AC110" s="3">
        <f>SUMIFS('PowerApp_Physical count'!H:H,'PowerApp_Physical count'!B:B,' General Stock Summary View  '!$AB$2,'PowerApp_Physical count'!C:C,' General Stock Summary View  '!C110,'PowerApp_Physical count'!A:A,' General Stock Summary View  '!B110)</f>
        <v>0</v>
      </c>
      <c r="AD110" s="6">
        <f t="shared" si="38"/>
        <v>0</v>
      </c>
      <c r="AE110" s="7">
        <f t="shared" si="39"/>
        <v>55.25</v>
      </c>
      <c r="AF110" s="8">
        <f t="shared" si="40"/>
        <v>0</v>
      </c>
      <c r="AG110" s="112"/>
    </row>
    <row r="111" spans="2:33" s="113" customFormat="1" ht="61.15">
      <c r="B111" s="117" t="s">
        <v>141</v>
      </c>
      <c r="C111" s="111" t="s">
        <v>140</v>
      </c>
      <c r="D111" s="11">
        <f>SUMIFS('XBS '!T:T,'XBS '!C:C,' General Stock Summary View  '!C111,'XBS '!L:L,' General Stock Summary View  '!B111)</f>
        <v>122.1</v>
      </c>
      <c r="E111" s="2">
        <f>SUMIFS('Blocked for Processing'!P:P,'Blocked for Processing'!I:I,' General Stock Summary View  '!B111,'Blocked for Processing'!C:C,' General Stock Summary View  '!C111)</f>
        <v>0</v>
      </c>
      <c r="F111" s="122">
        <f t="shared" si="29"/>
        <v>122.1</v>
      </c>
      <c r="G111" s="148">
        <f>SUMIFS('XBS '!T:T,'XBS '!H:H,' General Stock Summary View  '!$G$2,'XBS '!L:L,' General Stock Summary View  '!B111,'XBS '!C:C,' General Stock Summary View  '!C111)</f>
        <v>122.1</v>
      </c>
      <c r="H111" s="3">
        <f>SUMIFS('PowerApp_Physical count'!H:H,'PowerApp_Physical count'!B:B,' General Stock Summary View  '!$G$2,'PowerApp_Physical count'!C:C,' General Stock Summary View  '!C111,'PowerApp_Physical count'!A:A,' General Stock Summary View  '!B111)</f>
        <v>122.1</v>
      </c>
      <c r="I111" s="154">
        <f t="shared" si="16"/>
        <v>0</v>
      </c>
      <c r="J111" s="11">
        <f>SUMIFS('XBS '!T:T,'XBS '!H:H,' General Stock Summary View  '!$J$2,'XBS '!L:L,' General Stock Summary View  '!B111,'XBS '!C:C,' General Stock Summary View  '!C111)</f>
        <v>0</v>
      </c>
      <c r="K111" s="157">
        <f>SUMIFS('PowerApp_Physical count'!H:H,'PowerApp_Physical count'!B:B,' General Stock Summary View  '!$J$2,'PowerApp_Physical count'!C:C,' General Stock Summary View  '!C111,'PowerApp_Physical count'!A:A,' General Stock Summary View  '!B111)</f>
        <v>0</v>
      </c>
      <c r="L111" s="127">
        <f t="shared" si="30"/>
        <v>0</v>
      </c>
      <c r="M111" s="126">
        <f t="shared" si="31"/>
        <v>122.1</v>
      </c>
      <c r="N111" s="11">
        <f t="shared" si="32"/>
        <v>122.1</v>
      </c>
      <c r="O111" s="144">
        <f t="shared" si="33"/>
        <v>0</v>
      </c>
      <c r="P111" s="2">
        <f>SUMIFS('XBS '!T:T,'XBS '!H:H,' General Stock Summary View  '!$P$2,'XBS '!L:L,' General Stock Summary View  '!B111,'XBS '!C:C,' General Stock Summary View  '!C111)</f>
        <v>0</v>
      </c>
      <c r="Q111" s="3">
        <f>SUMIFS('PowerApp_Physical count'!H:H,'PowerApp_Physical count'!B:B,' General Stock Summary View  '!$P$2,'PowerApp_Physical count'!C:C,' General Stock Summary View  '!C111,'PowerApp_Physical count'!A:A,' General Stock Summary View  '!B111)</f>
        <v>0</v>
      </c>
      <c r="R111" s="4">
        <f t="shared" si="34"/>
        <v>0</v>
      </c>
      <c r="S111" s="5">
        <f>SUMIFS('XBS '!T:T,'XBS '!L:L,' General Stock Summary View  '!B111,'XBS '!H:H,' General Stock Summary View  '!$S$2,'XBS '!C:C,' General Stock Summary View  '!C111)</f>
        <v>0</v>
      </c>
      <c r="T111" s="3">
        <f>SUMIFS('PowerApp_Physical count'!H:H,'PowerApp_Physical count'!B:B,' General Stock Summary View  '!$S$2,'PowerApp_Physical count'!C:C,' General Stock Summary View  '!C111,'PowerApp_Physical count'!A:A,' General Stock Summary View  '!B111)</f>
        <v>0</v>
      </c>
      <c r="U111" s="4">
        <f t="shared" si="35"/>
        <v>0</v>
      </c>
      <c r="V111" s="2">
        <f>SUMIFS('XBS '!T:T,'XBS '!H:H,' General Stock Summary View  '!$V$2,'XBS '!B:B,' General Stock Summary View  '!C111,'XBS '!L:L,' General Stock Summary View  '!B111)</f>
        <v>0</v>
      </c>
      <c r="W111" s="3">
        <f>SUMIFS('PowerApp_Physical count'!H:H,'PowerApp_Physical count'!B:B,' General Stock Summary View  '!$V$2,'PowerApp_Physical count'!C:C,' General Stock Summary View  '!C111,'PowerApp_Physical count'!A:A,' General Stock Summary View  '!B111)</f>
        <v>0</v>
      </c>
      <c r="X111" s="4">
        <f t="shared" si="36"/>
        <v>0</v>
      </c>
      <c r="Y111" s="5">
        <f>SUMIFS('XBS '!T:T,'XBS '!H:H,' General Stock Summary View  '!$Y$2,'XBS '!B:B,' General Stock Summary View  '!C111,'XBS '!L:L,' General Stock Summary View  '!B111)</f>
        <v>0</v>
      </c>
      <c r="Z111" s="3">
        <f>SUMIFS('PowerApp_Physical count'!H:H,'PowerApp_Physical count'!B:B,' General Stock Summary View  '!$Y$2,'PowerApp_Physical count'!C:C,' General Stock Summary View  '!C111,'PowerApp_Physical count'!A:A,' General Stock Summary View  '!B111)</f>
        <v>0</v>
      </c>
      <c r="AA111" s="4">
        <f t="shared" si="37"/>
        <v>0</v>
      </c>
      <c r="AB111" s="5">
        <f>SUMIFS('XBS '!T:T,'XBS '!H:H,' General Stock Summary View  '!$AB$2,'XBS '!B:B,' General Stock Summary View  '!C111,'XBS '!L:L,' General Stock Summary View  '!B111)</f>
        <v>0</v>
      </c>
      <c r="AC111" s="3">
        <f>SUMIFS('PowerApp_Physical count'!H:H,'PowerApp_Physical count'!B:B,' General Stock Summary View  '!$AB$2,'PowerApp_Physical count'!C:C,' General Stock Summary View  '!C111,'PowerApp_Physical count'!A:A,' General Stock Summary View  '!B111)</f>
        <v>0</v>
      </c>
      <c r="AD111" s="6">
        <f t="shared" si="38"/>
        <v>0</v>
      </c>
      <c r="AE111" s="7">
        <f t="shared" si="39"/>
        <v>122.1</v>
      </c>
      <c r="AF111" s="8">
        <f t="shared" si="40"/>
        <v>0</v>
      </c>
      <c r="AG111" s="112"/>
    </row>
    <row r="112" spans="2:33" s="113" customFormat="1" ht="61.15">
      <c r="B112" s="117" t="s">
        <v>142</v>
      </c>
      <c r="C112" s="111" t="s">
        <v>140</v>
      </c>
      <c r="D112" s="11">
        <f>SUMIFS('XBS '!T:T,'XBS '!C:C,' General Stock Summary View  '!C112,'XBS '!L:L,' General Stock Summary View  '!B112)</f>
        <v>105.55</v>
      </c>
      <c r="E112" s="2">
        <f>SUMIFS('Blocked for Processing'!P:P,'Blocked for Processing'!I:I,' General Stock Summary View  '!B112,'Blocked for Processing'!C:C,' General Stock Summary View  '!C112)</f>
        <v>0</v>
      </c>
      <c r="F112" s="122">
        <f t="shared" si="29"/>
        <v>105.55</v>
      </c>
      <c r="G112" s="148">
        <f>SUMIFS('XBS '!T:T,'XBS '!H:H,' General Stock Summary View  '!$G$2,'XBS '!L:L,' General Stock Summary View  '!B112,'XBS '!C:C,' General Stock Summary View  '!C112)</f>
        <v>105.55</v>
      </c>
      <c r="H112" s="3">
        <f>SUMIFS('PowerApp_Physical count'!H:H,'PowerApp_Physical count'!B:B,' General Stock Summary View  '!$G$2,'PowerApp_Physical count'!C:C,' General Stock Summary View  '!C112,'PowerApp_Physical count'!A:A,' General Stock Summary View  '!B112)</f>
        <v>105.55</v>
      </c>
      <c r="I112" s="154">
        <f t="shared" si="16"/>
        <v>0</v>
      </c>
      <c r="J112" s="11">
        <f>SUMIFS('XBS '!T:T,'XBS '!H:H,' General Stock Summary View  '!$J$2,'XBS '!L:L,' General Stock Summary View  '!B112,'XBS '!C:C,' General Stock Summary View  '!C112)</f>
        <v>0</v>
      </c>
      <c r="K112" s="157">
        <f>SUMIFS('PowerApp_Physical count'!H:H,'PowerApp_Physical count'!B:B,' General Stock Summary View  '!$J$2,'PowerApp_Physical count'!C:C,' General Stock Summary View  '!C112,'PowerApp_Physical count'!A:A,' General Stock Summary View  '!B112)</f>
        <v>0</v>
      </c>
      <c r="L112" s="127">
        <f t="shared" si="30"/>
        <v>0</v>
      </c>
      <c r="M112" s="126">
        <f t="shared" si="31"/>
        <v>105.55</v>
      </c>
      <c r="N112" s="11">
        <f t="shared" si="32"/>
        <v>105.55</v>
      </c>
      <c r="O112" s="144">
        <f t="shared" si="33"/>
        <v>0</v>
      </c>
      <c r="P112" s="2">
        <f>SUMIFS('XBS '!T:T,'XBS '!H:H,' General Stock Summary View  '!$P$2,'XBS '!L:L,' General Stock Summary View  '!B112,'XBS '!C:C,' General Stock Summary View  '!C112)</f>
        <v>0</v>
      </c>
      <c r="Q112" s="3">
        <f>SUMIFS('PowerApp_Physical count'!H:H,'PowerApp_Physical count'!B:B,' General Stock Summary View  '!$P$2,'PowerApp_Physical count'!C:C,' General Stock Summary View  '!C112,'PowerApp_Physical count'!A:A,' General Stock Summary View  '!B112)</f>
        <v>0</v>
      </c>
      <c r="R112" s="4">
        <f t="shared" si="34"/>
        <v>0</v>
      </c>
      <c r="S112" s="5">
        <f>SUMIFS('XBS '!T:T,'XBS '!L:L,' General Stock Summary View  '!B112,'XBS '!H:H,' General Stock Summary View  '!$S$2,'XBS '!C:C,' General Stock Summary View  '!C112)</f>
        <v>0</v>
      </c>
      <c r="T112" s="3">
        <f>SUMIFS('PowerApp_Physical count'!H:H,'PowerApp_Physical count'!B:B,' General Stock Summary View  '!$S$2,'PowerApp_Physical count'!C:C,' General Stock Summary View  '!C112,'PowerApp_Physical count'!A:A,' General Stock Summary View  '!B112)</f>
        <v>0</v>
      </c>
      <c r="U112" s="4">
        <f t="shared" si="35"/>
        <v>0</v>
      </c>
      <c r="V112" s="2">
        <f>SUMIFS('XBS '!T:T,'XBS '!H:H,' General Stock Summary View  '!$V$2,'XBS '!B:B,' General Stock Summary View  '!C112,'XBS '!L:L,' General Stock Summary View  '!B112)</f>
        <v>0</v>
      </c>
      <c r="W112" s="3">
        <f>SUMIFS('PowerApp_Physical count'!H:H,'PowerApp_Physical count'!B:B,' General Stock Summary View  '!$V$2,'PowerApp_Physical count'!C:C,' General Stock Summary View  '!C112,'PowerApp_Physical count'!A:A,' General Stock Summary View  '!B112)</f>
        <v>0</v>
      </c>
      <c r="X112" s="4">
        <f t="shared" si="36"/>
        <v>0</v>
      </c>
      <c r="Y112" s="5">
        <f>SUMIFS('XBS '!T:T,'XBS '!H:H,' General Stock Summary View  '!$Y$2,'XBS '!B:B,' General Stock Summary View  '!C112,'XBS '!L:L,' General Stock Summary View  '!B112)</f>
        <v>0</v>
      </c>
      <c r="Z112" s="3">
        <f>SUMIFS('PowerApp_Physical count'!H:H,'PowerApp_Physical count'!B:B,' General Stock Summary View  '!$Y$2,'PowerApp_Physical count'!C:C,' General Stock Summary View  '!C112,'PowerApp_Physical count'!A:A,' General Stock Summary View  '!B112)</f>
        <v>0</v>
      </c>
      <c r="AA112" s="4">
        <f t="shared" si="37"/>
        <v>0</v>
      </c>
      <c r="AB112" s="5">
        <f>SUMIFS('XBS '!T:T,'XBS '!H:H,' General Stock Summary View  '!$AB$2,'XBS '!B:B,' General Stock Summary View  '!C112,'XBS '!L:L,' General Stock Summary View  '!B112)</f>
        <v>0</v>
      </c>
      <c r="AC112" s="3">
        <f>SUMIFS('PowerApp_Physical count'!H:H,'PowerApp_Physical count'!B:B,' General Stock Summary View  '!$AB$2,'PowerApp_Physical count'!C:C,' General Stock Summary View  '!C112,'PowerApp_Physical count'!A:A,' General Stock Summary View  '!B112)</f>
        <v>0</v>
      </c>
      <c r="AD112" s="6">
        <f t="shared" si="38"/>
        <v>0</v>
      </c>
      <c r="AE112" s="7">
        <f t="shared" si="39"/>
        <v>105.55</v>
      </c>
      <c r="AF112" s="8">
        <f t="shared" si="40"/>
        <v>0</v>
      </c>
      <c r="AG112" s="112"/>
    </row>
    <row r="113" spans="2:33" s="113" customFormat="1" ht="61.15">
      <c r="B113" s="117" t="s">
        <v>143</v>
      </c>
      <c r="C113" s="111" t="s">
        <v>140</v>
      </c>
      <c r="D113" s="11">
        <f>SUMIFS('XBS '!T:T,'XBS '!C:C,' General Stock Summary View  '!C113,'XBS '!L:L,' General Stock Summary View  '!B113)</f>
        <v>127.08333333333333</v>
      </c>
      <c r="E113" s="2">
        <f>SUMIFS('Blocked for Processing'!P:P,'Blocked for Processing'!I:I,' General Stock Summary View  '!B113,'Blocked for Processing'!C:C,' General Stock Summary View  '!C113)</f>
        <v>0</v>
      </c>
      <c r="F113" s="122">
        <f t="shared" si="29"/>
        <v>127.08333333333333</v>
      </c>
      <c r="G113" s="148">
        <f>SUMIFS('XBS '!T:T,'XBS '!H:H,' General Stock Summary View  '!$G$2,'XBS '!L:L,' General Stock Summary View  '!B113,'XBS '!C:C,' General Stock Summary View  '!C113)</f>
        <v>127.08333333333333</v>
      </c>
      <c r="H113" s="3">
        <f>SUMIFS('PowerApp_Physical count'!H:H,'PowerApp_Physical count'!B:B,' General Stock Summary View  '!$G$2,'PowerApp_Physical count'!C:C,' General Stock Summary View  '!C113,'PowerApp_Physical count'!A:A,' General Stock Summary View  '!B113)</f>
        <v>127.08333333333333</v>
      </c>
      <c r="I113" s="154">
        <f t="shared" si="16"/>
        <v>0</v>
      </c>
      <c r="J113" s="11">
        <f>SUMIFS('XBS '!T:T,'XBS '!H:H,' General Stock Summary View  '!$J$2,'XBS '!L:L,' General Stock Summary View  '!B113,'XBS '!C:C,' General Stock Summary View  '!C113)</f>
        <v>0</v>
      </c>
      <c r="K113" s="157">
        <f>SUMIFS('PowerApp_Physical count'!H:H,'PowerApp_Physical count'!B:B,' General Stock Summary View  '!$J$2,'PowerApp_Physical count'!C:C,' General Stock Summary View  '!C113,'PowerApp_Physical count'!A:A,' General Stock Summary View  '!B113)</f>
        <v>0</v>
      </c>
      <c r="L113" s="127">
        <f t="shared" si="30"/>
        <v>0</v>
      </c>
      <c r="M113" s="126">
        <f t="shared" si="31"/>
        <v>127.08333333333333</v>
      </c>
      <c r="N113" s="11">
        <f t="shared" si="32"/>
        <v>127.08333333333333</v>
      </c>
      <c r="O113" s="144">
        <f t="shared" si="33"/>
        <v>0</v>
      </c>
      <c r="P113" s="2">
        <f>SUMIFS('XBS '!T:T,'XBS '!H:H,' General Stock Summary View  '!$P$2,'XBS '!L:L,' General Stock Summary View  '!B113,'XBS '!C:C,' General Stock Summary View  '!C113)</f>
        <v>0</v>
      </c>
      <c r="Q113" s="3">
        <f>SUMIFS('PowerApp_Physical count'!H:H,'PowerApp_Physical count'!B:B,' General Stock Summary View  '!$P$2,'PowerApp_Physical count'!C:C,' General Stock Summary View  '!C113,'PowerApp_Physical count'!A:A,' General Stock Summary View  '!B113)</f>
        <v>0</v>
      </c>
      <c r="R113" s="4">
        <f t="shared" si="34"/>
        <v>0</v>
      </c>
      <c r="S113" s="5">
        <f>SUMIFS('XBS '!T:T,'XBS '!L:L,' General Stock Summary View  '!B113,'XBS '!H:H,' General Stock Summary View  '!$S$2,'XBS '!C:C,' General Stock Summary View  '!C113)</f>
        <v>0</v>
      </c>
      <c r="T113" s="3">
        <f>SUMIFS('PowerApp_Physical count'!H:H,'PowerApp_Physical count'!B:B,' General Stock Summary View  '!$S$2,'PowerApp_Physical count'!C:C,' General Stock Summary View  '!C113,'PowerApp_Physical count'!A:A,' General Stock Summary View  '!B113)</f>
        <v>0</v>
      </c>
      <c r="U113" s="4">
        <f t="shared" si="35"/>
        <v>0</v>
      </c>
      <c r="V113" s="2">
        <f>SUMIFS('XBS '!T:T,'XBS '!H:H,' General Stock Summary View  '!$V$2,'XBS '!B:B,' General Stock Summary View  '!C113,'XBS '!L:L,' General Stock Summary View  '!B113)</f>
        <v>0</v>
      </c>
      <c r="W113" s="3">
        <f>SUMIFS('PowerApp_Physical count'!H:H,'PowerApp_Physical count'!B:B,' General Stock Summary View  '!$V$2,'PowerApp_Physical count'!C:C,' General Stock Summary View  '!C113,'PowerApp_Physical count'!A:A,' General Stock Summary View  '!B113)</f>
        <v>0</v>
      </c>
      <c r="X113" s="4">
        <f t="shared" si="36"/>
        <v>0</v>
      </c>
      <c r="Y113" s="5">
        <f>SUMIFS('XBS '!T:T,'XBS '!H:H,' General Stock Summary View  '!$Y$2,'XBS '!B:B,' General Stock Summary View  '!C113,'XBS '!L:L,' General Stock Summary View  '!B113)</f>
        <v>0</v>
      </c>
      <c r="Z113" s="3">
        <f>SUMIFS('PowerApp_Physical count'!H:H,'PowerApp_Physical count'!B:B,' General Stock Summary View  '!$Y$2,'PowerApp_Physical count'!C:C,' General Stock Summary View  '!C113,'PowerApp_Physical count'!A:A,' General Stock Summary View  '!B113)</f>
        <v>0</v>
      </c>
      <c r="AA113" s="4">
        <f t="shared" si="37"/>
        <v>0</v>
      </c>
      <c r="AB113" s="5">
        <f>SUMIFS('XBS '!T:T,'XBS '!H:H,' General Stock Summary View  '!$AB$2,'XBS '!B:B,' General Stock Summary View  '!C113,'XBS '!L:L,' General Stock Summary View  '!B113)</f>
        <v>0</v>
      </c>
      <c r="AC113" s="3">
        <f>SUMIFS('PowerApp_Physical count'!H:H,'PowerApp_Physical count'!B:B,' General Stock Summary View  '!$AB$2,'PowerApp_Physical count'!C:C,' General Stock Summary View  '!C113,'PowerApp_Physical count'!A:A,' General Stock Summary View  '!B113)</f>
        <v>0</v>
      </c>
      <c r="AD113" s="6">
        <f t="shared" si="38"/>
        <v>0</v>
      </c>
      <c r="AE113" s="7">
        <f t="shared" si="39"/>
        <v>127.08333333333333</v>
      </c>
      <c r="AF113" s="8">
        <f t="shared" si="40"/>
        <v>0</v>
      </c>
      <c r="AG113" s="112"/>
    </row>
    <row r="114" spans="2:33" s="113" customFormat="1" ht="61.15">
      <c r="B114" s="117" t="s">
        <v>144</v>
      </c>
      <c r="C114" s="111" t="s">
        <v>140</v>
      </c>
      <c r="D114" s="11">
        <f>SUMIFS('XBS '!T:T,'XBS '!C:C,' General Stock Summary View  '!C114,'XBS '!L:L,' General Stock Summary View  '!B114)</f>
        <v>47.9</v>
      </c>
      <c r="E114" s="2">
        <f>SUMIFS('Blocked for Processing'!P:P,'Blocked for Processing'!I:I,' General Stock Summary View  '!B114,'Blocked for Processing'!C:C,' General Stock Summary View  '!C114)</f>
        <v>0</v>
      </c>
      <c r="F114" s="122">
        <f t="shared" si="29"/>
        <v>47.9</v>
      </c>
      <c r="G114" s="148">
        <f>SUMIFS('XBS '!T:T,'XBS '!H:H,' General Stock Summary View  '!$G$2,'XBS '!L:L,' General Stock Summary View  '!B114,'XBS '!C:C,' General Stock Summary View  '!C114)</f>
        <v>47.9</v>
      </c>
      <c r="H114" s="3">
        <f>SUMIFS('PowerApp_Physical count'!H:H,'PowerApp_Physical count'!B:B,' General Stock Summary View  '!$G$2,'PowerApp_Physical count'!C:C,' General Stock Summary View  '!C114,'PowerApp_Physical count'!A:A,' General Stock Summary View  '!B114)</f>
        <v>47.9</v>
      </c>
      <c r="I114" s="154">
        <f t="shared" si="16"/>
        <v>0</v>
      </c>
      <c r="J114" s="11">
        <f>SUMIFS('XBS '!T:T,'XBS '!H:H,' General Stock Summary View  '!$J$2,'XBS '!L:L,' General Stock Summary View  '!B114,'XBS '!C:C,' General Stock Summary View  '!C114)</f>
        <v>0</v>
      </c>
      <c r="K114" s="157">
        <f>SUMIFS('PowerApp_Physical count'!H:H,'PowerApp_Physical count'!B:B,' General Stock Summary View  '!$J$2,'PowerApp_Physical count'!C:C,' General Stock Summary View  '!C114,'PowerApp_Physical count'!A:A,' General Stock Summary View  '!B114)</f>
        <v>0</v>
      </c>
      <c r="L114" s="127">
        <f t="shared" si="30"/>
        <v>0</v>
      </c>
      <c r="M114" s="126">
        <f t="shared" si="31"/>
        <v>47.9</v>
      </c>
      <c r="N114" s="11">
        <f t="shared" si="32"/>
        <v>47.9</v>
      </c>
      <c r="O114" s="144">
        <f t="shared" si="33"/>
        <v>0</v>
      </c>
      <c r="P114" s="2">
        <f>SUMIFS('XBS '!T:T,'XBS '!H:H,' General Stock Summary View  '!$P$2,'XBS '!L:L,' General Stock Summary View  '!B114,'XBS '!C:C,' General Stock Summary View  '!C114)</f>
        <v>0</v>
      </c>
      <c r="Q114" s="3">
        <f>SUMIFS('PowerApp_Physical count'!H:H,'PowerApp_Physical count'!B:B,' General Stock Summary View  '!$P$2,'PowerApp_Physical count'!C:C,' General Stock Summary View  '!C114,'PowerApp_Physical count'!A:A,' General Stock Summary View  '!B114)</f>
        <v>0</v>
      </c>
      <c r="R114" s="4">
        <f t="shared" si="34"/>
        <v>0</v>
      </c>
      <c r="S114" s="5">
        <f>SUMIFS('XBS '!T:T,'XBS '!L:L,' General Stock Summary View  '!B114,'XBS '!H:H,' General Stock Summary View  '!$S$2,'XBS '!C:C,' General Stock Summary View  '!C114)</f>
        <v>0</v>
      </c>
      <c r="T114" s="3">
        <f>SUMIFS('PowerApp_Physical count'!H:H,'PowerApp_Physical count'!B:B,' General Stock Summary View  '!$S$2,'PowerApp_Physical count'!C:C,' General Stock Summary View  '!C114,'PowerApp_Physical count'!A:A,' General Stock Summary View  '!B114)</f>
        <v>0</v>
      </c>
      <c r="U114" s="4">
        <f t="shared" si="35"/>
        <v>0</v>
      </c>
      <c r="V114" s="2">
        <f>SUMIFS('XBS '!T:T,'XBS '!H:H,' General Stock Summary View  '!$V$2,'XBS '!B:B,' General Stock Summary View  '!C114,'XBS '!L:L,' General Stock Summary View  '!B114)</f>
        <v>0</v>
      </c>
      <c r="W114" s="3">
        <f>SUMIFS('PowerApp_Physical count'!H:H,'PowerApp_Physical count'!B:B,' General Stock Summary View  '!$V$2,'PowerApp_Physical count'!C:C,' General Stock Summary View  '!C114,'PowerApp_Physical count'!A:A,' General Stock Summary View  '!B114)</f>
        <v>0</v>
      </c>
      <c r="X114" s="4">
        <f t="shared" si="36"/>
        <v>0</v>
      </c>
      <c r="Y114" s="5">
        <f>SUMIFS('XBS '!T:T,'XBS '!H:H,' General Stock Summary View  '!$Y$2,'XBS '!B:B,' General Stock Summary View  '!C114,'XBS '!L:L,' General Stock Summary View  '!B114)</f>
        <v>0</v>
      </c>
      <c r="Z114" s="3">
        <f>SUMIFS('PowerApp_Physical count'!H:H,'PowerApp_Physical count'!B:B,' General Stock Summary View  '!$Y$2,'PowerApp_Physical count'!C:C,' General Stock Summary View  '!C114,'PowerApp_Physical count'!A:A,' General Stock Summary View  '!B114)</f>
        <v>0</v>
      </c>
      <c r="AA114" s="4">
        <f t="shared" si="37"/>
        <v>0</v>
      </c>
      <c r="AB114" s="5">
        <f>SUMIFS('XBS '!T:T,'XBS '!H:H,' General Stock Summary View  '!$AB$2,'XBS '!B:B,' General Stock Summary View  '!C114,'XBS '!L:L,' General Stock Summary View  '!B114)</f>
        <v>0</v>
      </c>
      <c r="AC114" s="3">
        <f>SUMIFS('PowerApp_Physical count'!H:H,'PowerApp_Physical count'!B:B,' General Stock Summary View  '!$AB$2,'PowerApp_Physical count'!C:C,' General Stock Summary View  '!C114,'PowerApp_Physical count'!A:A,' General Stock Summary View  '!B114)</f>
        <v>0</v>
      </c>
      <c r="AD114" s="6">
        <f t="shared" si="38"/>
        <v>0</v>
      </c>
      <c r="AE114" s="7">
        <f t="shared" si="39"/>
        <v>47.9</v>
      </c>
      <c r="AF114" s="8">
        <f t="shared" si="40"/>
        <v>0</v>
      </c>
      <c r="AG114" s="112"/>
    </row>
    <row r="115" spans="2:33" s="113" customFormat="1" ht="61.15">
      <c r="B115" s="117" t="s">
        <v>145</v>
      </c>
      <c r="C115" s="111" t="s">
        <v>140</v>
      </c>
      <c r="D115" s="11">
        <f>SUMIFS('XBS '!T:T,'XBS '!C:C,' General Stock Summary View  '!C115,'XBS '!L:L,' General Stock Summary View  '!B115)</f>
        <v>98.2</v>
      </c>
      <c r="E115" s="2">
        <f>SUMIFS('Blocked for Processing'!P:P,'Blocked for Processing'!I:I,' General Stock Summary View  '!B115,'Blocked for Processing'!C:C,' General Stock Summary View  '!C115)</f>
        <v>0</v>
      </c>
      <c r="F115" s="122">
        <f t="shared" si="29"/>
        <v>98.2</v>
      </c>
      <c r="G115" s="148">
        <f>SUMIFS('XBS '!T:T,'XBS '!H:H,' General Stock Summary View  '!$G$2,'XBS '!L:L,' General Stock Summary View  '!B115,'XBS '!C:C,' General Stock Summary View  '!C115)</f>
        <v>98.2</v>
      </c>
      <c r="H115" s="3">
        <f>SUMIFS('PowerApp_Physical count'!H:H,'PowerApp_Physical count'!B:B,' General Stock Summary View  '!$G$2,'PowerApp_Physical count'!C:C,' General Stock Summary View  '!C115,'PowerApp_Physical count'!A:A,' General Stock Summary View  '!B115)</f>
        <v>98.2</v>
      </c>
      <c r="I115" s="154">
        <f t="shared" si="16"/>
        <v>0</v>
      </c>
      <c r="J115" s="11">
        <f>SUMIFS('XBS '!T:T,'XBS '!H:H,' General Stock Summary View  '!$J$2,'XBS '!L:L,' General Stock Summary View  '!B115,'XBS '!C:C,' General Stock Summary View  '!C115)</f>
        <v>0</v>
      </c>
      <c r="K115" s="157">
        <f>SUMIFS('PowerApp_Physical count'!H:H,'PowerApp_Physical count'!B:B,' General Stock Summary View  '!$J$2,'PowerApp_Physical count'!C:C,' General Stock Summary View  '!C115,'PowerApp_Physical count'!A:A,' General Stock Summary View  '!B115)</f>
        <v>0</v>
      </c>
      <c r="L115" s="127">
        <f t="shared" si="30"/>
        <v>0</v>
      </c>
      <c r="M115" s="126">
        <f t="shared" si="31"/>
        <v>98.2</v>
      </c>
      <c r="N115" s="11">
        <f t="shared" si="32"/>
        <v>98.2</v>
      </c>
      <c r="O115" s="144">
        <f t="shared" si="33"/>
        <v>0</v>
      </c>
      <c r="P115" s="2">
        <f>SUMIFS('XBS '!T:T,'XBS '!H:H,' General Stock Summary View  '!$P$2,'XBS '!L:L,' General Stock Summary View  '!B115,'XBS '!C:C,' General Stock Summary View  '!C115)</f>
        <v>0</v>
      </c>
      <c r="Q115" s="3">
        <f>SUMIFS('PowerApp_Physical count'!H:H,'PowerApp_Physical count'!B:B,' General Stock Summary View  '!$P$2,'PowerApp_Physical count'!C:C,' General Stock Summary View  '!C115,'PowerApp_Physical count'!A:A,' General Stock Summary View  '!B115)</f>
        <v>0</v>
      </c>
      <c r="R115" s="4">
        <f t="shared" si="34"/>
        <v>0</v>
      </c>
      <c r="S115" s="5">
        <f>SUMIFS('XBS '!T:T,'XBS '!L:L,' General Stock Summary View  '!B115,'XBS '!H:H,' General Stock Summary View  '!$S$2,'XBS '!C:C,' General Stock Summary View  '!C115)</f>
        <v>0</v>
      </c>
      <c r="T115" s="3">
        <f>SUMIFS('PowerApp_Physical count'!H:H,'PowerApp_Physical count'!B:B,' General Stock Summary View  '!$S$2,'PowerApp_Physical count'!C:C,' General Stock Summary View  '!C115,'PowerApp_Physical count'!A:A,' General Stock Summary View  '!B115)</f>
        <v>0</v>
      </c>
      <c r="U115" s="4">
        <f t="shared" si="35"/>
        <v>0</v>
      </c>
      <c r="V115" s="2">
        <f>SUMIFS('XBS '!T:T,'XBS '!H:H,' General Stock Summary View  '!$V$2,'XBS '!B:B,' General Stock Summary View  '!C115,'XBS '!L:L,' General Stock Summary View  '!B115)</f>
        <v>0</v>
      </c>
      <c r="W115" s="3">
        <f>SUMIFS('PowerApp_Physical count'!H:H,'PowerApp_Physical count'!B:B,' General Stock Summary View  '!$V$2,'PowerApp_Physical count'!C:C,' General Stock Summary View  '!C115,'PowerApp_Physical count'!A:A,' General Stock Summary View  '!B115)</f>
        <v>0</v>
      </c>
      <c r="X115" s="4">
        <f t="shared" si="36"/>
        <v>0</v>
      </c>
      <c r="Y115" s="5">
        <f>SUMIFS('XBS '!T:T,'XBS '!H:H,' General Stock Summary View  '!$Y$2,'XBS '!B:B,' General Stock Summary View  '!C115,'XBS '!L:L,' General Stock Summary View  '!B115)</f>
        <v>0</v>
      </c>
      <c r="Z115" s="3">
        <f>SUMIFS('PowerApp_Physical count'!H:H,'PowerApp_Physical count'!B:B,' General Stock Summary View  '!$Y$2,'PowerApp_Physical count'!C:C,' General Stock Summary View  '!C115,'PowerApp_Physical count'!A:A,' General Stock Summary View  '!B115)</f>
        <v>0</v>
      </c>
      <c r="AA115" s="4">
        <f t="shared" si="37"/>
        <v>0</v>
      </c>
      <c r="AB115" s="5">
        <f>SUMIFS('XBS '!T:T,'XBS '!H:H,' General Stock Summary View  '!$AB$2,'XBS '!B:B,' General Stock Summary View  '!C115,'XBS '!L:L,' General Stock Summary View  '!B115)</f>
        <v>0</v>
      </c>
      <c r="AC115" s="3">
        <f>SUMIFS('PowerApp_Physical count'!H:H,'PowerApp_Physical count'!B:B,' General Stock Summary View  '!$AB$2,'PowerApp_Physical count'!C:C,' General Stock Summary View  '!C115,'PowerApp_Physical count'!A:A,' General Stock Summary View  '!B115)</f>
        <v>0</v>
      </c>
      <c r="AD115" s="6">
        <f t="shared" si="38"/>
        <v>0</v>
      </c>
      <c r="AE115" s="7">
        <f t="shared" si="39"/>
        <v>98.2</v>
      </c>
      <c r="AF115" s="8">
        <f t="shared" si="40"/>
        <v>0</v>
      </c>
      <c r="AG115" s="112"/>
    </row>
    <row r="116" spans="2:33" s="113" customFormat="1" ht="61.15">
      <c r="B116" s="117" t="s">
        <v>146</v>
      </c>
      <c r="C116" s="111" t="s">
        <v>140</v>
      </c>
      <c r="D116" s="11">
        <f>SUMIFS('XBS '!T:T,'XBS '!C:C,' General Stock Summary View  '!C116,'XBS '!L:L,' General Stock Summary View  '!B116)</f>
        <v>136.88333333333333</v>
      </c>
      <c r="E116" s="2">
        <f>SUMIFS('Blocked for Processing'!P:P,'Blocked for Processing'!I:I,' General Stock Summary View  '!B116,'Blocked for Processing'!C:C,' General Stock Summary View  '!C116)</f>
        <v>0</v>
      </c>
      <c r="F116" s="122">
        <f t="shared" si="29"/>
        <v>136.88333333333333</v>
      </c>
      <c r="G116" s="148">
        <f>SUMIFS('XBS '!T:T,'XBS '!H:H,' General Stock Summary View  '!$G$2,'XBS '!L:L,' General Stock Summary View  '!B116,'XBS '!C:C,' General Stock Summary View  '!C116)</f>
        <v>136.88333333333333</v>
      </c>
      <c r="H116" s="3">
        <f>SUMIFS('PowerApp_Physical count'!H:H,'PowerApp_Physical count'!B:B,' General Stock Summary View  '!$G$2,'PowerApp_Physical count'!C:C,' General Stock Summary View  '!C116,'PowerApp_Physical count'!A:A,' General Stock Summary View  '!B116)</f>
        <v>136.88333333333333</v>
      </c>
      <c r="I116" s="154">
        <f t="shared" si="16"/>
        <v>0</v>
      </c>
      <c r="J116" s="11">
        <f>SUMIFS('XBS '!T:T,'XBS '!H:H,' General Stock Summary View  '!$J$2,'XBS '!L:L,' General Stock Summary View  '!B116,'XBS '!C:C,' General Stock Summary View  '!C116)</f>
        <v>0</v>
      </c>
      <c r="K116" s="157">
        <f>SUMIFS('PowerApp_Physical count'!H:H,'PowerApp_Physical count'!B:B,' General Stock Summary View  '!$J$2,'PowerApp_Physical count'!C:C,' General Stock Summary View  '!C116,'PowerApp_Physical count'!A:A,' General Stock Summary View  '!B116)</f>
        <v>0</v>
      </c>
      <c r="L116" s="127">
        <f t="shared" si="30"/>
        <v>0</v>
      </c>
      <c r="M116" s="126">
        <f t="shared" si="31"/>
        <v>136.88333333333333</v>
      </c>
      <c r="N116" s="11">
        <f t="shared" si="32"/>
        <v>136.88333333333333</v>
      </c>
      <c r="O116" s="144">
        <f t="shared" si="33"/>
        <v>0</v>
      </c>
      <c r="P116" s="2">
        <f>SUMIFS('XBS '!T:T,'XBS '!H:H,' General Stock Summary View  '!$P$2,'XBS '!L:L,' General Stock Summary View  '!B116,'XBS '!C:C,' General Stock Summary View  '!C116)</f>
        <v>0</v>
      </c>
      <c r="Q116" s="3">
        <f>SUMIFS('PowerApp_Physical count'!H:H,'PowerApp_Physical count'!B:B,' General Stock Summary View  '!$P$2,'PowerApp_Physical count'!C:C,' General Stock Summary View  '!C116,'PowerApp_Physical count'!A:A,' General Stock Summary View  '!B116)</f>
        <v>0</v>
      </c>
      <c r="R116" s="4">
        <f t="shared" si="34"/>
        <v>0</v>
      </c>
      <c r="S116" s="5">
        <f>SUMIFS('XBS '!T:T,'XBS '!L:L,' General Stock Summary View  '!B116,'XBS '!H:H,' General Stock Summary View  '!$S$2,'XBS '!C:C,' General Stock Summary View  '!C116)</f>
        <v>0</v>
      </c>
      <c r="T116" s="3">
        <f>SUMIFS('PowerApp_Physical count'!H:H,'PowerApp_Physical count'!B:B,' General Stock Summary View  '!$S$2,'PowerApp_Physical count'!C:C,' General Stock Summary View  '!C116,'PowerApp_Physical count'!A:A,' General Stock Summary View  '!B116)</f>
        <v>0</v>
      </c>
      <c r="U116" s="4">
        <f t="shared" si="35"/>
        <v>0</v>
      </c>
      <c r="V116" s="2">
        <f>SUMIFS('XBS '!T:T,'XBS '!H:H,' General Stock Summary View  '!$V$2,'XBS '!B:B,' General Stock Summary View  '!C116,'XBS '!L:L,' General Stock Summary View  '!B116)</f>
        <v>0</v>
      </c>
      <c r="W116" s="3">
        <f>SUMIFS('PowerApp_Physical count'!H:H,'PowerApp_Physical count'!B:B,' General Stock Summary View  '!$V$2,'PowerApp_Physical count'!C:C,' General Stock Summary View  '!C116,'PowerApp_Physical count'!A:A,' General Stock Summary View  '!B116)</f>
        <v>0</v>
      </c>
      <c r="X116" s="4">
        <f t="shared" si="36"/>
        <v>0</v>
      </c>
      <c r="Y116" s="5">
        <f>SUMIFS('XBS '!T:T,'XBS '!H:H,' General Stock Summary View  '!$Y$2,'XBS '!B:B,' General Stock Summary View  '!C116,'XBS '!L:L,' General Stock Summary View  '!B116)</f>
        <v>0</v>
      </c>
      <c r="Z116" s="3">
        <f>SUMIFS('PowerApp_Physical count'!H:H,'PowerApp_Physical count'!B:B,' General Stock Summary View  '!$Y$2,'PowerApp_Physical count'!C:C,' General Stock Summary View  '!C116,'PowerApp_Physical count'!A:A,' General Stock Summary View  '!B116)</f>
        <v>0</v>
      </c>
      <c r="AA116" s="4">
        <f t="shared" si="37"/>
        <v>0</v>
      </c>
      <c r="AB116" s="5">
        <f>SUMIFS('XBS '!T:T,'XBS '!H:H,' General Stock Summary View  '!$AB$2,'XBS '!B:B,' General Stock Summary View  '!C116,'XBS '!L:L,' General Stock Summary View  '!B116)</f>
        <v>0</v>
      </c>
      <c r="AC116" s="3">
        <f>SUMIFS('PowerApp_Physical count'!H:H,'PowerApp_Physical count'!B:B,' General Stock Summary View  '!$AB$2,'PowerApp_Physical count'!C:C,' General Stock Summary View  '!C116,'PowerApp_Physical count'!A:A,' General Stock Summary View  '!B116)</f>
        <v>0</v>
      </c>
      <c r="AD116" s="6">
        <f t="shared" si="38"/>
        <v>0</v>
      </c>
      <c r="AE116" s="7">
        <f t="shared" si="39"/>
        <v>136.88333333333333</v>
      </c>
      <c r="AF116" s="8">
        <f t="shared" si="40"/>
        <v>0</v>
      </c>
      <c r="AG116" s="112"/>
    </row>
    <row r="117" spans="2:33" s="113" customFormat="1" ht="61.15">
      <c r="B117" s="117" t="s">
        <v>147</v>
      </c>
      <c r="C117" s="111" t="s">
        <v>140</v>
      </c>
      <c r="D117" s="11">
        <f>SUMIFS('XBS '!T:T,'XBS '!C:C,' General Stock Summary View  '!C117,'XBS '!L:L,' General Stock Summary View  '!B117)</f>
        <v>104.48333333333333</v>
      </c>
      <c r="E117" s="2">
        <f>SUMIFS('Blocked for Processing'!P:P,'Blocked for Processing'!I:I,' General Stock Summary View  '!B117,'Blocked for Processing'!C:C,' General Stock Summary View  '!C117)</f>
        <v>0</v>
      </c>
      <c r="F117" s="122">
        <f t="shared" si="29"/>
        <v>104.48333333333333</v>
      </c>
      <c r="G117" s="148">
        <f>SUMIFS('XBS '!T:T,'XBS '!H:H,' General Stock Summary View  '!$G$2,'XBS '!L:L,' General Stock Summary View  '!B117,'XBS '!C:C,' General Stock Summary View  '!C117)</f>
        <v>104.48333333333333</v>
      </c>
      <c r="H117" s="3">
        <f>SUMIFS('PowerApp_Physical count'!H:H,'PowerApp_Physical count'!B:B,' General Stock Summary View  '!$G$2,'PowerApp_Physical count'!C:C,' General Stock Summary View  '!C117,'PowerApp_Physical count'!A:A,' General Stock Summary View  '!B117)</f>
        <v>104.48333333333333</v>
      </c>
      <c r="I117" s="154">
        <f t="shared" si="16"/>
        <v>0</v>
      </c>
      <c r="J117" s="11">
        <f>SUMIFS('XBS '!T:T,'XBS '!H:H,' General Stock Summary View  '!$J$2,'XBS '!L:L,' General Stock Summary View  '!B117,'XBS '!C:C,' General Stock Summary View  '!C117)</f>
        <v>0</v>
      </c>
      <c r="K117" s="157">
        <f>SUMIFS('PowerApp_Physical count'!H:H,'PowerApp_Physical count'!B:B,' General Stock Summary View  '!$J$2,'PowerApp_Physical count'!C:C,' General Stock Summary View  '!C117,'PowerApp_Physical count'!A:A,' General Stock Summary View  '!B117)</f>
        <v>0</v>
      </c>
      <c r="L117" s="127">
        <f t="shared" si="30"/>
        <v>0</v>
      </c>
      <c r="M117" s="126">
        <f t="shared" si="31"/>
        <v>104.48333333333333</v>
      </c>
      <c r="N117" s="11">
        <f t="shared" si="32"/>
        <v>104.48333333333333</v>
      </c>
      <c r="O117" s="144">
        <f t="shared" si="33"/>
        <v>0</v>
      </c>
      <c r="P117" s="2">
        <f>SUMIFS('XBS '!T:T,'XBS '!H:H,' General Stock Summary View  '!$P$2,'XBS '!L:L,' General Stock Summary View  '!B117,'XBS '!C:C,' General Stock Summary View  '!C117)</f>
        <v>0</v>
      </c>
      <c r="Q117" s="3">
        <f>SUMIFS('PowerApp_Physical count'!H:H,'PowerApp_Physical count'!B:B,' General Stock Summary View  '!$P$2,'PowerApp_Physical count'!C:C,' General Stock Summary View  '!C117,'PowerApp_Physical count'!A:A,' General Stock Summary View  '!B117)</f>
        <v>0</v>
      </c>
      <c r="R117" s="4">
        <f t="shared" si="34"/>
        <v>0</v>
      </c>
      <c r="S117" s="5">
        <f>SUMIFS('XBS '!T:T,'XBS '!L:L,' General Stock Summary View  '!B117,'XBS '!H:H,' General Stock Summary View  '!$S$2,'XBS '!C:C,' General Stock Summary View  '!C117)</f>
        <v>0</v>
      </c>
      <c r="T117" s="3">
        <f>SUMIFS('PowerApp_Physical count'!H:H,'PowerApp_Physical count'!B:B,' General Stock Summary View  '!$S$2,'PowerApp_Physical count'!C:C,' General Stock Summary View  '!C117,'PowerApp_Physical count'!A:A,' General Stock Summary View  '!B117)</f>
        <v>0</v>
      </c>
      <c r="U117" s="4">
        <f t="shared" si="35"/>
        <v>0</v>
      </c>
      <c r="V117" s="2">
        <f>SUMIFS('XBS '!T:T,'XBS '!H:H,' General Stock Summary View  '!$V$2,'XBS '!B:B,' General Stock Summary View  '!C117,'XBS '!L:L,' General Stock Summary View  '!B117)</f>
        <v>0</v>
      </c>
      <c r="W117" s="3">
        <f>SUMIFS('PowerApp_Physical count'!H:H,'PowerApp_Physical count'!B:B,' General Stock Summary View  '!$V$2,'PowerApp_Physical count'!C:C,' General Stock Summary View  '!C117,'PowerApp_Physical count'!A:A,' General Stock Summary View  '!B117)</f>
        <v>0</v>
      </c>
      <c r="X117" s="4">
        <f t="shared" si="36"/>
        <v>0</v>
      </c>
      <c r="Y117" s="5">
        <f>SUMIFS('XBS '!T:T,'XBS '!H:H,' General Stock Summary View  '!$Y$2,'XBS '!B:B,' General Stock Summary View  '!C117,'XBS '!L:L,' General Stock Summary View  '!B117)</f>
        <v>0</v>
      </c>
      <c r="Z117" s="3">
        <f>SUMIFS('PowerApp_Physical count'!H:H,'PowerApp_Physical count'!B:B,' General Stock Summary View  '!$Y$2,'PowerApp_Physical count'!C:C,' General Stock Summary View  '!C117,'PowerApp_Physical count'!A:A,' General Stock Summary View  '!B117)</f>
        <v>0</v>
      </c>
      <c r="AA117" s="4">
        <f t="shared" si="37"/>
        <v>0</v>
      </c>
      <c r="AB117" s="5">
        <f>SUMIFS('XBS '!T:T,'XBS '!H:H,' General Stock Summary View  '!$AB$2,'XBS '!B:B,' General Stock Summary View  '!C117,'XBS '!L:L,' General Stock Summary View  '!B117)</f>
        <v>0</v>
      </c>
      <c r="AC117" s="3">
        <f>SUMIFS('PowerApp_Physical count'!H:H,'PowerApp_Physical count'!B:B,' General Stock Summary View  '!$AB$2,'PowerApp_Physical count'!C:C,' General Stock Summary View  '!C117,'PowerApp_Physical count'!A:A,' General Stock Summary View  '!B117)</f>
        <v>0</v>
      </c>
      <c r="AD117" s="6">
        <f t="shared" si="38"/>
        <v>0</v>
      </c>
      <c r="AE117" s="7">
        <f t="shared" si="39"/>
        <v>104.48333333333333</v>
      </c>
      <c r="AF117" s="8">
        <f t="shared" si="40"/>
        <v>0</v>
      </c>
      <c r="AG117" s="112"/>
    </row>
    <row r="118" spans="2:33" s="113" customFormat="1" ht="61.15">
      <c r="B118" s="117" t="s">
        <v>148</v>
      </c>
      <c r="C118" s="111" t="s">
        <v>140</v>
      </c>
      <c r="D118" s="11">
        <f>SUMIFS('XBS '!T:T,'XBS '!C:C,' General Stock Summary View  '!C118,'XBS '!L:L,' General Stock Summary View  '!B118)</f>
        <v>35.6</v>
      </c>
      <c r="E118" s="2">
        <f>SUMIFS('Blocked for Processing'!P:P,'Blocked for Processing'!I:I,' General Stock Summary View  '!B118,'Blocked for Processing'!C:C,' General Stock Summary View  '!C118)</f>
        <v>0</v>
      </c>
      <c r="F118" s="122">
        <f t="shared" si="29"/>
        <v>35.6</v>
      </c>
      <c r="G118" s="148">
        <f>SUMIFS('XBS '!T:T,'XBS '!H:H,' General Stock Summary View  '!$G$2,'XBS '!L:L,' General Stock Summary View  '!B118,'XBS '!C:C,' General Stock Summary View  '!C118)</f>
        <v>35.6</v>
      </c>
      <c r="H118" s="3">
        <f>SUMIFS('PowerApp_Physical count'!H:H,'PowerApp_Physical count'!B:B,' General Stock Summary View  '!$G$2,'PowerApp_Physical count'!C:C,' General Stock Summary View  '!C118,'PowerApp_Physical count'!A:A,' General Stock Summary View  '!B118)</f>
        <v>35.6</v>
      </c>
      <c r="I118" s="154">
        <f t="shared" si="16"/>
        <v>0</v>
      </c>
      <c r="J118" s="11">
        <f>SUMIFS('XBS '!T:T,'XBS '!H:H,' General Stock Summary View  '!$J$2,'XBS '!L:L,' General Stock Summary View  '!B118,'XBS '!C:C,' General Stock Summary View  '!C118)</f>
        <v>0</v>
      </c>
      <c r="K118" s="157">
        <f>SUMIFS('PowerApp_Physical count'!H:H,'PowerApp_Physical count'!B:B,' General Stock Summary View  '!$J$2,'PowerApp_Physical count'!C:C,' General Stock Summary View  '!C118,'PowerApp_Physical count'!A:A,' General Stock Summary View  '!B118)</f>
        <v>0</v>
      </c>
      <c r="L118" s="127">
        <f t="shared" si="30"/>
        <v>0</v>
      </c>
      <c r="M118" s="126">
        <f t="shared" si="31"/>
        <v>35.6</v>
      </c>
      <c r="N118" s="11">
        <f t="shared" si="32"/>
        <v>35.6</v>
      </c>
      <c r="O118" s="144">
        <f t="shared" si="33"/>
        <v>0</v>
      </c>
      <c r="P118" s="2">
        <f>SUMIFS('XBS '!T:T,'XBS '!H:H,' General Stock Summary View  '!$P$2,'XBS '!L:L,' General Stock Summary View  '!B118,'XBS '!C:C,' General Stock Summary View  '!C118)</f>
        <v>0</v>
      </c>
      <c r="Q118" s="3">
        <f>SUMIFS('PowerApp_Physical count'!H:H,'PowerApp_Physical count'!B:B,' General Stock Summary View  '!$P$2,'PowerApp_Physical count'!C:C,' General Stock Summary View  '!C118,'PowerApp_Physical count'!A:A,' General Stock Summary View  '!B118)</f>
        <v>0</v>
      </c>
      <c r="R118" s="4">
        <f t="shared" si="34"/>
        <v>0</v>
      </c>
      <c r="S118" s="5">
        <f>SUMIFS('XBS '!T:T,'XBS '!L:L,' General Stock Summary View  '!B118,'XBS '!H:H,' General Stock Summary View  '!$S$2,'XBS '!C:C,' General Stock Summary View  '!C118)</f>
        <v>0</v>
      </c>
      <c r="T118" s="3">
        <f>SUMIFS('PowerApp_Physical count'!H:H,'PowerApp_Physical count'!B:B,' General Stock Summary View  '!$S$2,'PowerApp_Physical count'!C:C,' General Stock Summary View  '!C118,'PowerApp_Physical count'!A:A,' General Stock Summary View  '!B118)</f>
        <v>0</v>
      </c>
      <c r="U118" s="4">
        <f t="shared" si="35"/>
        <v>0</v>
      </c>
      <c r="V118" s="2">
        <f>SUMIFS('XBS '!T:T,'XBS '!H:H,' General Stock Summary View  '!$V$2,'XBS '!B:B,' General Stock Summary View  '!C118,'XBS '!L:L,' General Stock Summary View  '!B118)</f>
        <v>0</v>
      </c>
      <c r="W118" s="3">
        <f>SUMIFS('PowerApp_Physical count'!H:H,'PowerApp_Physical count'!B:B,' General Stock Summary View  '!$V$2,'PowerApp_Physical count'!C:C,' General Stock Summary View  '!C118,'PowerApp_Physical count'!A:A,' General Stock Summary View  '!B118)</f>
        <v>0</v>
      </c>
      <c r="X118" s="4">
        <f t="shared" si="36"/>
        <v>0</v>
      </c>
      <c r="Y118" s="5">
        <f>SUMIFS('XBS '!T:T,'XBS '!H:H,' General Stock Summary View  '!$Y$2,'XBS '!B:B,' General Stock Summary View  '!C118,'XBS '!L:L,' General Stock Summary View  '!B118)</f>
        <v>0</v>
      </c>
      <c r="Z118" s="3">
        <f>SUMIFS('PowerApp_Physical count'!H:H,'PowerApp_Physical count'!B:B,' General Stock Summary View  '!$Y$2,'PowerApp_Physical count'!C:C,' General Stock Summary View  '!C118,'PowerApp_Physical count'!A:A,' General Stock Summary View  '!B118)</f>
        <v>0</v>
      </c>
      <c r="AA118" s="4">
        <f t="shared" si="37"/>
        <v>0</v>
      </c>
      <c r="AB118" s="5">
        <f>SUMIFS('XBS '!T:T,'XBS '!H:H,' General Stock Summary View  '!$AB$2,'XBS '!B:B,' General Stock Summary View  '!C118,'XBS '!L:L,' General Stock Summary View  '!B118)</f>
        <v>0</v>
      </c>
      <c r="AC118" s="3">
        <f>SUMIFS('PowerApp_Physical count'!H:H,'PowerApp_Physical count'!B:B,' General Stock Summary View  '!$AB$2,'PowerApp_Physical count'!C:C,' General Stock Summary View  '!C118,'PowerApp_Physical count'!A:A,' General Stock Summary View  '!B118)</f>
        <v>0</v>
      </c>
      <c r="AD118" s="6">
        <f t="shared" si="38"/>
        <v>0</v>
      </c>
      <c r="AE118" s="7">
        <f t="shared" si="39"/>
        <v>35.6</v>
      </c>
      <c r="AF118" s="8">
        <f t="shared" si="40"/>
        <v>0</v>
      </c>
      <c r="AG118" s="112"/>
    </row>
    <row r="119" spans="2:33" s="113" customFormat="1" ht="61.15">
      <c r="B119" s="117" t="s">
        <v>149</v>
      </c>
      <c r="C119" s="111" t="s">
        <v>140</v>
      </c>
      <c r="D119" s="11">
        <f>SUMIFS('XBS '!T:T,'XBS '!C:C,' General Stock Summary View  '!C119,'XBS '!L:L,' General Stock Summary View  '!B119)</f>
        <v>20.983333333333334</v>
      </c>
      <c r="E119" s="2">
        <f>SUMIFS('Blocked for Processing'!P:P,'Blocked for Processing'!I:I,' General Stock Summary View  '!B119,'Blocked for Processing'!C:C,' General Stock Summary View  '!C119)</f>
        <v>0</v>
      </c>
      <c r="F119" s="122">
        <f t="shared" si="29"/>
        <v>20.983333333333334</v>
      </c>
      <c r="G119" s="148">
        <f>SUMIFS('XBS '!T:T,'XBS '!H:H,' General Stock Summary View  '!$G$2,'XBS '!L:L,' General Stock Summary View  '!B119,'XBS '!C:C,' General Stock Summary View  '!C119)</f>
        <v>20.983333333333334</v>
      </c>
      <c r="H119" s="3">
        <f>SUMIFS('PowerApp_Physical count'!H:H,'PowerApp_Physical count'!B:B,' General Stock Summary View  '!$G$2,'PowerApp_Physical count'!C:C,' General Stock Summary View  '!C119,'PowerApp_Physical count'!A:A,' General Stock Summary View  '!B119)</f>
        <v>20.983333333333334</v>
      </c>
      <c r="I119" s="154">
        <f t="shared" si="16"/>
        <v>0</v>
      </c>
      <c r="J119" s="11">
        <f>SUMIFS('XBS '!T:T,'XBS '!H:H,' General Stock Summary View  '!$J$2,'XBS '!L:L,' General Stock Summary View  '!B119,'XBS '!C:C,' General Stock Summary View  '!C119)</f>
        <v>0</v>
      </c>
      <c r="K119" s="157">
        <f>SUMIFS('PowerApp_Physical count'!H:H,'PowerApp_Physical count'!B:B,' General Stock Summary View  '!$J$2,'PowerApp_Physical count'!C:C,' General Stock Summary View  '!C119,'PowerApp_Physical count'!A:A,' General Stock Summary View  '!B119)</f>
        <v>0</v>
      </c>
      <c r="L119" s="127">
        <f t="shared" si="30"/>
        <v>0</v>
      </c>
      <c r="M119" s="126">
        <f t="shared" si="31"/>
        <v>20.983333333333334</v>
      </c>
      <c r="N119" s="11">
        <f t="shared" si="32"/>
        <v>20.983333333333334</v>
      </c>
      <c r="O119" s="144">
        <f t="shared" si="33"/>
        <v>0</v>
      </c>
      <c r="P119" s="2">
        <f>SUMIFS('XBS '!T:T,'XBS '!H:H,' General Stock Summary View  '!$P$2,'XBS '!L:L,' General Stock Summary View  '!B119,'XBS '!C:C,' General Stock Summary View  '!C119)</f>
        <v>0</v>
      </c>
      <c r="Q119" s="3">
        <f>SUMIFS('PowerApp_Physical count'!H:H,'PowerApp_Physical count'!B:B,' General Stock Summary View  '!$P$2,'PowerApp_Physical count'!C:C,' General Stock Summary View  '!C119,'PowerApp_Physical count'!A:A,' General Stock Summary View  '!B119)</f>
        <v>0</v>
      </c>
      <c r="R119" s="4">
        <f t="shared" si="34"/>
        <v>0</v>
      </c>
      <c r="S119" s="5">
        <f>SUMIFS('XBS '!T:T,'XBS '!L:L,' General Stock Summary View  '!B119,'XBS '!H:H,' General Stock Summary View  '!$S$2,'XBS '!C:C,' General Stock Summary View  '!C119)</f>
        <v>0</v>
      </c>
      <c r="T119" s="3">
        <f>SUMIFS('PowerApp_Physical count'!H:H,'PowerApp_Physical count'!B:B,' General Stock Summary View  '!$S$2,'PowerApp_Physical count'!C:C,' General Stock Summary View  '!C119,'PowerApp_Physical count'!A:A,' General Stock Summary View  '!B119)</f>
        <v>0</v>
      </c>
      <c r="U119" s="4">
        <f t="shared" si="35"/>
        <v>0</v>
      </c>
      <c r="V119" s="2">
        <f>SUMIFS('XBS '!T:T,'XBS '!H:H,' General Stock Summary View  '!$V$2,'XBS '!B:B,' General Stock Summary View  '!C119,'XBS '!L:L,' General Stock Summary View  '!B119)</f>
        <v>0</v>
      </c>
      <c r="W119" s="3">
        <f>SUMIFS('PowerApp_Physical count'!H:H,'PowerApp_Physical count'!B:B,' General Stock Summary View  '!$V$2,'PowerApp_Physical count'!C:C,' General Stock Summary View  '!C119,'PowerApp_Physical count'!A:A,' General Stock Summary View  '!B119)</f>
        <v>0</v>
      </c>
      <c r="X119" s="4">
        <f t="shared" si="36"/>
        <v>0</v>
      </c>
      <c r="Y119" s="5">
        <f>SUMIFS('XBS '!T:T,'XBS '!H:H,' General Stock Summary View  '!$Y$2,'XBS '!B:B,' General Stock Summary View  '!C119,'XBS '!L:L,' General Stock Summary View  '!B119)</f>
        <v>0</v>
      </c>
      <c r="Z119" s="3">
        <f>SUMIFS('PowerApp_Physical count'!H:H,'PowerApp_Physical count'!B:B,' General Stock Summary View  '!$Y$2,'PowerApp_Physical count'!C:C,' General Stock Summary View  '!C119,'PowerApp_Physical count'!A:A,' General Stock Summary View  '!B119)</f>
        <v>0</v>
      </c>
      <c r="AA119" s="4">
        <f t="shared" si="37"/>
        <v>0</v>
      </c>
      <c r="AB119" s="5">
        <f>SUMIFS('XBS '!T:T,'XBS '!H:H,' General Stock Summary View  '!$AB$2,'XBS '!B:B,' General Stock Summary View  '!C119,'XBS '!L:L,' General Stock Summary View  '!B119)</f>
        <v>0</v>
      </c>
      <c r="AC119" s="3">
        <f>SUMIFS('PowerApp_Physical count'!H:H,'PowerApp_Physical count'!B:B,' General Stock Summary View  '!$AB$2,'PowerApp_Physical count'!C:C,' General Stock Summary View  '!C119,'PowerApp_Physical count'!A:A,' General Stock Summary View  '!B119)</f>
        <v>0</v>
      </c>
      <c r="AD119" s="6">
        <f t="shared" si="38"/>
        <v>0</v>
      </c>
      <c r="AE119" s="7">
        <f t="shared" si="39"/>
        <v>20.983333333333334</v>
      </c>
      <c r="AF119" s="8">
        <f t="shared" si="40"/>
        <v>0</v>
      </c>
      <c r="AG119" s="112"/>
    </row>
    <row r="120" spans="2:33" s="113" customFormat="1" ht="61.15">
      <c r="B120" s="117" t="s">
        <v>132</v>
      </c>
      <c r="C120" s="111" t="s">
        <v>140</v>
      </c>
      <c r="D120" s="11">
        <f>SUMIFS('XBS '!T:T,'XBS '!C:C,' General Stock Summary View  '!C120,'XBS '!L:L,' General Stock Summary View  '!B120)</f>
        <v>80.650000000000006</v>
      </c>
      <c r="E120" s="2">
        <f>SUMIFS('Blocked for Processing'!P:P,'Blocked for Processing'!I:I,' General Stock Summary View  '!B120,'Blocked for Processing'!C:C,' General Stock Summary View  '!C120)</f>
        <v>0</v>
      </c>
      <c r="F120" s="122">
        <f t="shared" si="0"/>
        <v>80.650000000000006</v>
      </c>
      <c r="G120" s="148">
        <f>SUMIFS('XBS '!T:T,'XBS '!H:H,' General Stock Summary View  '!$G$2,'XBS '!L:L,' General Stock Summary View  '!B120,'XBS '!C:C,' General Stock Summary View  '!C120)</f>
        <v>80.650000000000006</v>
      </c>
      <c r="H120" s="3">
        <f>SUMIFS('PowerApp_Physical count'!H:H,'PowerApp_Physical count'!B:B,' General Stock Summary View  '!$G$2,'PowerApp_Physical count'!C:C,' General Stock Summary View  '!C120,'PowerApp_Physical count'!A:A,' General Stock Summary View  '!B120)</f>
        <v>80.650000000000006</v>
      </c>
      <c r="I120" s="154">
        <f t="shared" si="16"/>
        <v>0</v>
      </c>
      <c r="J120" s="11">
        <f>SUMIFS('XBS '!T:T,'XBS '!H:H,' General Stock Summary View  '!$J$2,'XBS '!L:L,' General Stock Summary View  '!B120,'XBS '!C:C,' General Stock Summary View  '!C120)</f>
        <v>0</v>
      </c>
      <c r="K120" s="157">
        <f>SUMIFS('PowerApp_Physical count'!H:H,'PowerApp_Physical count'!B:B,' General Stock Summary View  '!$J$2,'PowerApp_Physical count'!C:C,' General Stock Summary View  '!C120,'PowerApp_Physical count'!A:A,' General Stock Summary View  '!B120)</f>
        <v>0</v>
      </c>
      <c r="L120" s="127">
        <f t="shared" si="15"/>
        <v>0</v>
      </c>
      <c r="M120" s="126">
        <f t="shared" si="2"/>
        <v>80.650000000000006</v>
      </c>
      <c r="N120" s="11">
        <f t="shared" si="3"/>
        <v>80.650000000000006</v>
      </c>
      <c r="O120" s="144">
        <f t="shared" si="10"/>
        <v>0</v>
      </c>
      <c r="P120" s="2">
        <f>SUMIFS('XBS '!T:T,'XBS '!H:H,' General Stock Summary View  '!$P$2,'XBS '!L:L,' General Stock Summary View  '!B120,'XBS '!C:C,' General Stock Summary View  '!C120)</f>
        <v>0</v>
      </c>
      <c r="Q120" s="3">
        <f>SUMIFS('PowerApp_Physical count'!H:H,'PowerApp_Physical count'!B:B,' General Stock Summary View  '!$P$2,'PowerApp_Physical count'!C:C,' General Stock Summary View  '!C120,'PowerApp_Physical count'!A:A,' General Stock Summary View  '!B120)</f>
        <v>0</v>
      </c>
      <c r="R120" s="4">
        <f t="shared" si="11"/>
        <v>0</v>
      </c>
      <c r="S120" s="5">
        <f>SUMIFS('XBS '!T:T,'XBS '!L:L,' General Stock Summary View  '!B120,'XBS '!H:H,' General Stock Summary View  '!$S$2,'XBS '!C:C,' General Stock Summary View  '!C120)</f>
        <v>0</v>
      </c>
      <c r="T120" s="3">
        <f>SUMIFS('PowerApp_Physical count'!H:H,'PowerApp_Physical count'!B:B,' General Stock Summary View  '!$S$2,'PowerApp_Physical count'!C:C,' General Stock Summary View  '!C120,'PowerApp_Physical count'!A:A,' General Stock Summary View  '!B120)</f>
        <v>0</v>
      </c>
      <c r="U120" s="4">
        <f t="shared" si="4"/>
        <v>0</v>
      </c>
      <c r="V120" s="2">
        <f>SUMIFS('XBS '!T:T,'XBS '!H:H,' General Stock Summary View  '!$V$2,'XBS '!B:B,' General Stock Summary View  '!C120,'XBS '!L:L,' General Stock Summary View  '!B120)</f>
        <v>0</v>
      </c>
      <c r="W120" s="3">
        <f>SUMIFS('PowerApp_Physical count'!H:H,'PowerApp_Physical count'!B:B,' General Stock Summary View  '!$V$2,'PowerApp_Physical count'!C:C,' General Stock Summary View  '!C120,'PowerApp_Physical count'!A:A,' General Stock Summary View  '!B120)</f>
        <v>0</v>
      </c>
      <c r="X120" s="4">
        <f t="shared" si="12"/>
        <v>0</v>
      </c>
      <c r="Y120" s="5">
        <f>SUMIFS('XBS '!T:T,'XBS '!H:H,' General Stock Summary View  '!$Y$2,'XBS '!B:B,' General Stock Summary View  '!C120,'XBS '!L:L,' General Stock Summary View  '!B120)</f>
        <v>0</v>
      </c>
      <c r="Z120" s="3">
        <f>SUMIFS('PowerApp_Physical count'!H:H,'PowerApp_Physical count'!B:B,' General Stock Summary View  '!$Y$2,'PowerApp_Physical count'!C:C,' General Stock Summary View  '!C120,'PowerApp_Physical count'!A:A,' General Stock Summary View  '!B120)</f>
        <v>0</v>
      </c>
      <c r="AA120" s="4">
        <f t="shared" si="13"/>
        <v>0</v>
      </c>
      <c r="AB120" s="5">
        <f>SUMIFS('XBS '!T:T,'XBS '!H:H,' General Stock Summary View  '!$AB$2,'XBS '!B:B,' General Stock Summary View  '!C120,'XBS '!L:L,' General Stock Summary View  '!B120)</f>
        <v>0</v>
      </c>
      <c r="AC120" s="3">
        <f>SUMIFS('PowerApp_Physical count'!H:H,'PowerApp_Physical count'!B:B,' General Stock Summary View  '!$AB$2,'PowerApp_Physical count'!C:C,' General Stock Summary View  '!C120,'PowerApp_Physical count'!A:A,' General Stock Summary View  '!B120)</f>
        <v>0</v>
      </c>
      <c r="AD120" s="6">
        <f t="shared" si="14"/>
        <v>0</v>
      </c>
      <c r="AE120" s="7">
        <f t="shared" si="8"/>
        <v>80.650000000000006</v>
      </c>
      <c r="AF120" s="8">
        <f t="shared" si="9"/>
        <v>0</v>
      </c>
      <c r="AG120" s="112"/>
    </row>
    <row r="121" spans="2:33" s="113" customFormat="1" ht="61.15">
      <c r="B121" s="117" t="s">
        <v>138</v>
      </c>
      <c r="C121" s="111" t="s">
        <v>140</v>
      </c>
      <c r="D121" s="11">
        <f>SUMIFS('XBS '!T:T,'XBS '!C:C,' General Stock Summary View  '!C121,'XBS '!L:L,' General Stock Summary View  '!B121)</f>
        <v>76.88333333333334</v>
      </c>
      <c r="E121" s="2">
        <f>SUMIFS('Blocked for Processing'!P:P,'Blocked for Processing'!I:I,' General Stock Summary View  '!B121,'Blocked for Processing'!C:C,' General Stock Summary View  '!C121)</f>
        <v>0</v>
      </c>
      <c r="F121" s="122">
        <f t="shared" si="0"/>
        <v>76.88333333333334</v>
      </c>
      <c r="G121" s="148">
        <f>SUMIFS('XBS '!T:T,'XBS '!H:H,' General Stock Summary View  '!$G$2,'XBS '!L:L,' General Stock Summary View  '!B121,'XBS '!C:C,' General Stock Summary View  '!C121)</f>
        <v>76.88333333333334</v>
      </c>
      <c r="H121" s="3">
        <f>SUMIFS('PowerApp_Physical count'!H:H,'PowerApp_Physical count'!B:B,' General Stock Summary View  '!$G$2,'PowerApp_Physical count'!C:C,' General Stock Summary View  '!C121,'PowerApp_Physical count'!A:A,' General Stock Summary View  '!B121)</f>
        <v>76.88333333333334</v>
      </c>
      <c r="I121" s="154">
        <f t="shared" si="16"/>
        <v>0</v>
      </c>
      <c r="J121" s="11">
        <f>SUMIFS('XBS '!T:T,'XBS '!H:H,' General Stock Summary View  '!$J$2,'XBS '!L:L,' General Stock Summary View  '!B121,'XBS '!C:C,' General Stock Summary View  '!C121)</f>
        <v>0</v>
      </c>
      <c r="K121" s="157">
        <f>SUMIFS('PowerApp_Physical count'!H:H,'PowerApp_Physical count'!B:B,' General Stock Summary View  '!$J$2,'PowerApp_Physical count'!C:C,' General Stock Summary View  '!C121,'PowerApp_Physical count'!A:A,' General Stock Summary View  '!B121)</f>
        <v>0</v>
      </c>
      <c r="L121" s="127">
        <f t="shared" si="15"/>
        <v>0</v>
      </c>
      <c r="M121" s="126">
        <f t="shared" si="2"/>
        <v>76.88333333333334</v>
      </c>
      <c r="N121" s="11">
        <f t="shared" si="3"/>
        <v>76.88333333333334</v>
      </c>
      <c r="O121" s="144">
        <f t="shared" si="10"/>
        <v>0</v>
      </c>
      <c r="P121" s="2">
        <f>SUMIFS('XBS '!T:T,'XBS '!H:H,' General Stock Summary View  '!$P$2,'XBS '!L:L,' General Stock Summary View  '!B121,'XBS '!C:C,' General Stock Summary View  '!C121)</f>
        <v>0</v>
      </c>
      <c r="Q121" s="3">
        <f>SUMIFS('PowerApp_Physical count'!H:H,'PowerApp_Physical count'!B:B,' General Stock Summary View  '!$P$2,'PowerApp_Physical count'!C:C,' General Stock Summary View  '!C121,'PowerApp_Physical count'!A:A,' General Stock Summary View  '!B121)</f>
        <v>0</v>
      </c>
      <c r="R121" s="4">
        <f t="shared" si="11"/>
        <v>0</v>
      </c>
      <c r="S121" s="5">
        <f>SUMIFS('XBS '!T:T,'XBS '!L:L,' General Stock Summary View  '!B121,'XBS '!H:H,' General Stock Summary View  '!$S$2,'XBS '!C:C,' General Stock Summary View  '!C121)</f>
        <v>0</v>
      </c>
      <c r="T121" s="3">
        <f>SUMIFS('PowerApp_Physical count'!H:H,'PowerApp_Physical count'!B:B,' General Stock Summary View  '!$S$2,'PowerApp_Physical count'!C:C,' General Stock Summary View  '!C121,'PowerApp_Physical count'!A:A,' General Stock Summary View  '!B121)</f>
        <v>0</v>
      </c>
      <c r="U121" s="4">
        <f t="shared" si="4"/>
        <v>0</v>
      </c>
      <c r="V121" s="2">
        <f>SUMIFS('XBS '!T:T,'XBS '!H:H,' General Stock Summary View  '!$V$2,'XBS '!B:B,' General Stock Summary View  '!C121,'XBS '!L:L,' General Stock Summary View  '!B121)</f>
        <v>0</v>
      </c>
      <c r="W121" s="3">
        <f>SUMIFS('PowerApp_Physical count'!H:H,'PowerApp_Physical count'!B:B,' General Stock Summary View  '!$V$2,'PowerApp_Physical count'!C:C,' General Stock Summary View  '!C121,'PowerApp_Physical count'!A:A,' General Stock Summary View  '!B121)</f>
        <v>0</v>
      </c>
      <c r="X121" s="4">
        <f t="shared" si="12"/>
        <v>0</v>
      </c>
      <c r="Y121" s="5">
        <f>SUMIFS('XBS '!T:T,'XBS '!H:H,' General Stock Summary View  '!$Y$2,'XBS '!B:B,' General Stock Summary View  '!C121,'XBS '!L:L,' General Stock Summary View  '!B121)</f>
        <v>0</v>
      </c>
      <c r="Z121" s="3">
        <f>SUMIFS('PowerApp_Physical count'!H:H,'PowerApp_Physical count'!B:B,' General Stock Summary View  '!$Y$2,'PowerApp_Physical count'!C:C,' General Stock Summary View  '!C121,'PowerApp_Physical count'!A:A,' General Stock Summary View  '!B121)</f>
        <v>0</v>
      </c>
      <c r="AA121" s="4">
        <f t="shared" si="13"/>
        <v>0</v>
      </c>
      <c r="AB121" s="5">
        <f>SUMIFS('XBS '!T:T,'XBS '!H:H,' General Stock Summary View  '!$AB$2,'XBS '!B:B,' General Stock Summary View  '!C121,'XBS '!L:L,' General Stock Summary View  '!B121)</f>
        <v>0</v>
      </c>
      <c r="AC121" s="3">
        <f>SUMIFS('PowerApp_Physical count'!H:H,'PowerApp_Physical count'!B:B,' General Stock Summary View  '!$AB$2,'PowerApp_Physical count'!C:C,' General Stock Summary View  '!C121,'PowerApp_Physical count'!A:A,' General Stock Summary View  '!B121)</f>
        <v>0</v>
      </c>
      <c r="AD121" s="6">
        <f t="shared" si="14"/>
        <v>0</v>
      </c>
      <c r="AE121" s="7">
        <f t="shared" si="8"/>
        <v>76.88333333333334</v>
      </c>
      <c r="AF121" s="8">
        <f t="shared" si="9"/>
        <v>0</v>
      </c>
      <c r="AG121" s="112"/>
    </row>
    <row r="122" spans="2:33" s="113" customFormat="1" ht="61.15">
      <c r="B122" s="117" t="s">
        <v>134</v>
      </c>
      <c r="C122" s="111" t="s">
        <v>140</v>
      </c>
      <c r="D122" s="11">
        <f>SUMIFS('XBS '!T:T,'XBS '!C:C,' General Stock Summary View  '!C122,'XBS '!L:L,' General Stock Summary View  '!B122)</f>
        <v>80.5</v>
      </c>
      <c r="E122" s="2">
        <f>SUMIFS('Blocked for Processing'!P:P,'Blocked for Processing'!I:I,' General Stock Summary View  '!B122,'Blocked for Processing'!C:C,' General Stock Summary View  '!C122)</f>
        <v>0</v>
      </c>
      <c r="F122" s="122">
        <f t="shared" si="0"/>
        <v>80.5</v>
      </c>
      <c r="G122" s="148">
        <f>SUMIFS('XBS '!T:T,'XBS '!H:H,' General Stock Summary View  '!$G$2,'XBS '!L:L,' General Stock Summary View  '!B122,'XBS '!C:C,' General Stock Summary View  '!C122)</f>
        <v>80.5</v>
      </c>
      <c r="H122" s="3">
        <f>SUMIFS('PowerApp_Physical count'!H:H,'PowerApp_Physical count'!B:B,' General Stock Summary View  '!$G$2,'PowerApp_Physical count'!C:C,' General Stock Summary View  '!C122,'PowerApp_Physical count'!A:A,' General Stock Summary View  '!B122)</f>
        <v>80.5</v>
      </c>
      <c r="I122" s="154">
        <f t="shared" si="16"/>
        <v>0</v>
      </c>
      <c r="J122" s="11">
        <f>SUMIFS('XBS '!T:T,'XBS '!H:H,' General Stock Summary View  '!$J$2,'XBS '!L:L,' General Stock Summary View  '!B122,'XBS '!C:C,' General Stock Summary View  '!C122)</f>
        <v>0</v>
      </c>
      <c r="K122" s="157">
        <f>SUMIFS('PowerApp_Physical count'!H:H,'PowerApp_Physical count'!B:B,' General Stock Summary View  '!$J$2,'PowerApp_Physical count'!C:C,' General Stock Summary View  '!C122,'PowerApp_Physical count'!A:A,' General Stock Summary View  '!B122)</f>
        <v>0</v>
      </c>
      <c r="L122" s="127">
        <f t="shared" si="15"/>
        <v>0</v>
      </c>
      <c r="M122" s="126">
        <f t="shared" si="2"/>
        <v>80.5</v>
      </c>
      <c r="N122" s="11">
        <f t="shared" si="3"/>
        <v>80.5</v>
      </c>
      <c r="O122" s="144">
        <f t="shared" si="10"/>
        <v>0</v>
      </c>
      <c r="P122" s="2">
        <f>SUMIFS('XBS '!T:T,'XBS '!H:H,' General Stock Summary View  '!$P$2,'XBS '!L:L,' General Stock Summary View  '!B122,'XBS '!C:C,' General Stock Summary View  '!C122)</f>
        <v>0</v>
      </c>
      <c r="Q122" s="3">
        <f>SUMIFS('PowerApp_Physical count'!H:H,'PowerApp_Physical count'!B:B,' General Stock Summary View  '!$P$2,'PowerApp_Physical count'!C:C,' General Stock Summary View  '!C122,'PowerApp_Physical count'!A:A,' General Stock Summary View  '!B122)</f>
        <v>0</v>
      </c>
      <c r="R122" s="4">
        <f t="shared" si="11"/>
        <v>0</v>
      </c>
      <c r="S122" s="5">
        <f>SUMIFS('XBS '!T:T,'XBS '!L:L,' General Stock Summary View  '!B122,'XBS '!H:H,' General Stock Summary View  '!$S$2,'XBS '!C:C,' General Stock Summary View  '!C122)</f>
        <v>0</v>
      </c>
      <c r="T122" s="3">
        <f>SUMIFS('PowerApp_Physical count'!H:H,'PowerApp_Physical count'!B:B,' General Stock Summary View  '!$S$2,'PowerApp_Physical count'!C:C,' General Stock Summary View  '!C122,'PowerApp_Physical count'!A:A,' General Stock Summary View  '!B122)</f>
        <v>0</v>
      </c>
      <c r="U122" s="4">
        <f t="shared" si="4"/>
        <v>0</v>
      </c>
      <c r="V122" s="2">
        <f>SUMIFS('XBS '!T:T,'XBS '!H:H,' General Stock Summary View  '!$V$2,'XBS '!B:B,' General Stock Summary View  '!C122,'XBS '!L:L,' General Stock Summary View  '!B122)</f>
        <v>0</v>
      </c>
      <c r="W122" s="3">
        <f>SUMIFS('PowerApp_Physical count'!H:H,'PowerApp_Physical count'!B:B,' General Stock Summary View  '!$V$2,'PowerApp_Physical count'!C:C,' General Stock Summary View  '!C122,'PowerApp_Physical count'!A:A,' General Stock Summary View  '!B122)</f>
        <v>0</v>
      </c>
      <c r="X122" s="4">
        <f t="shared" si="12"/>
        <v>0</v>
      </c>
      <c r="Y122" s="5">
        <f>SUMIFS('XBS '!T:T,'XBS '!H:H,' General Stock Summary View  '!$Y$2,'XBS '!B:B,' General Stock Summary View  '!C122,'XBS '!L:L,' General Stock Summary View  '!B122)</f>
        <v>0</v>
      </c>
      <c r="Z122" s="3">
        <f>SUMIFS('PowerApp_Physical count'!H:H,'PowerApp_Physical count'!B:B,' General Stock Summary View  '!$Y$2,'PowerApp_Physical count'!C:C,' General Stock Summary View  '!C122,'PowerApp_Physical count'!A:A,' General Stock Summary View  '!B122)</f>
        <v>0</v>
      </c>
      <c r="AA122" s="4">
        <f t="shared" si="13"/>
        <v>0</v>
      </c>
      <c r="AB122" s="5">
        <f>SUMIFS('XBS '!T:T,'XBS '!H:H,' General Stock Summary View  '!$AB$2,'XBS '!B:B,' General Stock Summary View  '!C122,'XBS '!L:L,' General Stock Summary View  '!B122)</f>
        <v>0</v>
      </c>
      <c r="AC122" s="3">
        <f>SUMIFS('PowerApp_Physical count'!H:H,'PowerApp_Physical count'!B:B,' General Stock Summary View  '!$AB$2,'PowerApp_Physical count'!C:C,' General Stock Summary View  '!C122,'PowerApp_Physical count'!A:A,' General Stock Summary View  '!B122)</f>
        <v>0</v>
      </c>
      <c r="AD122" s="6">
        <f t="shared" si="14"/>
        <v>0</v>
      </c>
      <c r="AE122" s="7">
        <f t="shared" si="8"/>
        <v>80.5</v>
      </c>
      <c r="AF122" s="8">
        <f t="shared" si="9"/>
        <v>0</v>
      </c>
      <c r="AG122" s="112"/>
    </row>
    <row r="123" spans="2:33" s="113" customFormat="1" ht="61.15">
      <c r="B123" s="117" t="s">
        <v>150</v>
      </c>
      <c r="C123" s="111" t="s">
        <v>140</v>
      </c>
      <c r="D123" s="11">
        <f>SUMIFS('XBS '!T:T,'XBS '!C:C,' General Stock Summary View  '!C123,'XBS '!L:L,' General Stock Summary View  '!B123)</f>
        <v>109.81666666666666</v>
      </c>
      <c r="E123" s="2">
        <f>SUMIFS('Blocked for Processing'!P:P,'Blocked for Processing'!I:I,' General Stock Summary View  '!B123,'Blocked for Processing'!C:C,' General Stock Summary View  '!C123)</f>
        <v>0</v>
      </c>
      <c r="F123" s="122">
        <f t="shared" si="0"/>
        <v>109.81666666666666</v>
      </c>
      <c r="G123" s="148">
        <f>SUMIFS('XBS '!T:T,'XBS '!H:H,' General Stock Summary View  '!$G$2,'XBS '!L:L,' General Stock Summary View  '!B123,'XBS '!C:C,' General Stock Summary View  '!C123)</f>
        <v>109.81666666666666</v>
      </c>
      <c r="H123" s="3">
        <f>SUMIFS('PowerApp_Physical count'!H:H,'PowerApp_Physical count'!B:B,' General Stock Summary View  '!$G$2,'PowerApp_Physical count'!C:C,' General Stock Summary View  '!C123,'PowerApp_Physical count'!A:A,' General Stock Summary View  '!B123)</f>
        <v>109.81666666666666</v>
      </c>
      <c r="I123" s="154">
        <f t="shared" si="16"/>
        <v>0</v>
      </c>
      <c r="J123" s="11">
        <f>SUMIFS('XBS '!T:T,'XBS '!H:H,' General Stock Summary View  '!$J$2,'XBS '!L:L,' General Stock Summary View  '!B123,'XBS '!C:C,' General Stock Summary View  '!C123)</f>
        <v>0</v>
      </c>
      <c r="K123" s="157">
        <f>SUMIFS('PowerApp_Physical count'!H:H,'PowerApp_Physical count'!B:B,' General Stock Summary View  '!$J$2,'PowerApp_Physical count'!C:C,' General Stock Summary View  '!C123,'PowerApp_Physical count'!A:A,' General Stock Summary View  '!B123)</f>
        <v>0</v>
      </c>
      <c r="L123" s="127">
        <f t="shared" si="15"/>
        <v>0</v>
      </c>
      <c r="M123" s="126">
        <f t="shared" si="2"/>
        <v>109.81666666666666</v>
      </c>
      <c r="N123" s="11">
        <f t="shared" si="3"/>
        <v>109.81666666666666</v>
      </c>
      <c r="O123" s="144">
        <f t="shared" si="10"/>
        <v>0</v>
      </c>
      <c r="P123" s="2">
        <f>SUMIFS('XBS '!T:T,'XBS '!H:H,' General Stock Summary View  '!$P$2,'XBS '!L:L,' General Stock Summary View  '!B123,'XBS '!C:C,' General Stock Summary View  '!C123)</f>
        <v>0</v>
      </c>
      <c r="Q123" s="3">
        <f>SUMIFS('PowerApp_Physical count'!H:H,'PowerApp_Physical count'!B:B,' General Stock Summary View  '!$P$2,'PowerApp_Physical count'!C:C,' General Stock Summary View  '!C123,'PowerApp_Physical count'!A:A,' General Stock Summary View  '!B123)</f>
        <v>0</v>
      </c>
      <c r="R123" s="4">
        <f t="shared" si="11"/>
        <v>0</v>
      </c>
      <c r="S123" s="5">
        <f>SUMIFS('XBS '!T:T,'XBS '!L:L,' General Stock Summary View  '!B123,'XBS '!H:H,' General Stock Summary View  '!$S$2,'XBS '!C:C,' General Stock Summary View  '!C123)</f>
        <v>0</v>
      </c>
      <c r="T123" s="3">
        <f>SUMIFS('PowerApp_Physical count'!H:H,'PowerApp_Physical count'!B:B,' General Stock Summary View  '!$S$2,'PowerApp_Physical count'!C:C,' General Stock Summary View  '!C123,'PowerApp_Physical count'!A:A,' General Stock Summary View  '!B123)</f>
        <v>0</v>
      </c>
      <c r="U123" s="4">
        <f t="shared" si="4"/>
        <v>0</v>
      </c>
      <c r="V123" s="2">
        <f>SUMIFS('XBS '!T:T,'XBS '!H:H,' General Stock Summary View  '!$V$2,'XBS '!B:B,' General Stock Summary View  '!C123,'XBS '!L:L,' General Stock Summary View  '!B123)</f>
        <v>0</v>
      </c>
      <c r="W123" s="3">
        <f>SUMIFS('PowerApp_Physical count'!H:H,'PowerApp_Physical count'!B:B,' General Stock Summary View  '!$V$2,'PowerApp_Physical count'!C:C,' General Stock Summary View  '!C123,'PowerApp_Physical count'!A:A,' General Stock Summary View  '!B123)</f>
        <v>0</v>
      </c>
      <c r="X123" s="4">
        <f t="shared" si="12"/>
        <v>0</v>
      </c>
      <c r="Y123" s="5">
        <f>SUMIFS('XBS '!T:T,'XBS '!H:H,' General Stock Summary View  '!$Y$2,'XBS '!B:B,' General Stock Summary View  '!C123,'XBS '!L:L,' General Stock Summary View  '!B123)</f>
        <v>0</v>
      </c>
      <c r="Z123" s="3">
        <f>SUMIFS('PowerApp_Physical count'!H:H,'PowerApp_Physical count'!B:B,' General Stock Summary View  '!$Y$2,'PowerApp_Physical count'!C:C,' General Stock Summary View  '!C123,'PowerApp_Physical count'!A:A,' General Stock Summary View  '!B123)</f>
        <v>0</v>
      </c>
      <c r="AA123" s="4">
        <f t="shared" si="13"/>
        <v>0</v>
      </c>
      <c r="AB123" s="5">
        <f>SUMIFS('XBS '!T:T,'XBS '!H:H,' General Stock Summary View  '!$AB$2,'XBS '!B:B,' General Stock Summary View  '!C123,'XBS '!L:L,' General Stock Summary View  '!B123)</f>
        <v>0</v>
      </c>
      <c r="AC123" s="3">
        <f>SUMIFS('PowerApp_Physical count'!H:H,'PowerApp_Physical count'!B:B,' General Stock Summary View  '!$AB$2,'PowerApp_Physical count'!C:C,' General Stock Summary View  '!C123,'PowerApp_Physical count'!A:A,' General Stock Summary View  '!B123)</f>
        <v>0</v>
      </c>
      <c r="AD123" s="6">
        <f t="shared" si="14"/>
        <v>0</v>
      </c>
      <c r="AE123" s="7">
        <f t="shared" si="8"/>
        <v>109.81666666666666</v>
      </c>
      <c r="AF123" s="8">
        <f t="shared" si="9"/>
        <v>0</v>
      </c>
      <c r="AG123" s="112"/>
    </row>
    <row r="124" spans="2:33" s="113" customFormat="1" ht="61.15">
      <c r="B124" s="117" t="s">
        <v>151</v>
      </c>
      <c r="C124" s="111" t="s">
        <v>140</v>
      </c>
      <c r="D124" s="11">
        <f>SUMIFS('XBS '!T:T,'XBS '!C:C,' General Stock Summary View  '!C124,'XBS '!L:L,' General Stock Summary View  '!B124)</f>
        <v>54.95</v>
      </c>
      <c r="E124" s="2">
        <f>SUMIFS('Blocked for Processing'!P:P,'Blocked for Processing'!I:I,' General Stock Summary View  '!B124,'Blocked for Processing'!C:C,' General Stock Summary View  '!C124)</f>
        <v>0</v>
      </c>
      <c r="F124" s="122">
        <f t="shared" si="0"/>
        <v>54.95</v>
      </c>
      <c r="G124" s="148">
        <f>SUMIFS('XBS '!T:T,'XBS '!H:H,' General Stock Summary View  '!$G$2,'XBS '!L:L,' General Stock Summary View  '!B124,'XBS '!C:C,' General Stock Summary View  '!C124)</f>
        <v>54.95</v>
      </c>
      <c r="H124" s="3">
        <f>SUMIFS('PowerApp_Physical count'!H:H,'PowerApp_Physical count'!B:B,' General Stock Summary View  '!$G$2,'PowerApp_Physical count'!C:C,' General Stock Summary View  '!C124,'PowerApp_Physical count'!A:A,' General Stock Summary View  '!B124)</f>
        <v>54.95</v>
      </c>
      <c r="I124" s="154">
        <f t="shared" si="16"/>
        <v>0</v>
      </c>
      <c r="J124" s="11">
        <f>SUMIFS('XBS '!T:T,'XBS '!H:H,' General Stock Summary View  '!$J$2,'XBS '!L:L,' General Stock Summary View  '!B124,'XBS '!C:C,' General Stock Summary View  '!C124)</f>
        <v>0</v>
      </c>
      <c r="K124" s="157">
        <f>SUMIFS('PowerApp_Physical count'!H:H,'PowerApp_Physical count'!B:B,' General Stock Summary View  '!$J$2,'PowerApp_Physical count'!C:C,' General Stock Summary View  '!C124,'PowerApp_Physical count'!A:A,' General Stock Summary View  '!B124)</f>
        <v>0</v>
      </c>
      <c r="L124" s="127">
        <f t="shared" si="15"/>
        <v>0</v>
      </c>
      <c r="M124" s="126">
        <f t="shared" si="2"/>
        <v>54.95</v>
      </c>
      <c r="N124" s="11">
        <f t="shared" si="3"/>
        <v>54.95</v>
      </c>
      <c r="O124" s="144">
        <f t="shared" si="10"/>
        <v>0</v>
      </c>
      <c r="P124" s="2">
        <f>SUMIFS('XBS '!T:T,'XBS '!H:H,' General Stock Summary View  '!$P$2,'XBS '!L:L,' General Stock Summary View  '!B124,'XBS '!C:C,' General Stock Summary View  '!C124)</f>
        <v>0</v>
      </c>
      <c r="Q124" s="3">
        <f>SUMIFS('PowerApp_Physical count'!H:H,'PowerApp_Physical count'!B:B,' General Stock Summary View  '!$P$2,'PowerApp_Physical count'!C:C,' General Stock Summary View  '!C124,'PowerApp_Physical count'!A:A,' General Stock Summary View  '!B124)</f>
        <v>0</v>
      </c>
      <c r="R124" s="4">
        <f t="shared" si="11"/>
        <v>0</v>
      </c>
      <c r="S124" s="5">
        <f>SUMIFS('XBS '!T:T,'XBS '!L:L,' General Stock Summary View  '!B124,'XBS '!H:H,' General Stock Summary View  '!$S$2,'XBS '!C:C,' General Stock Summary View  '!C124)</f>
        <v>0</v>
      </c>
      <c r="T124" s="3">
        <f>SUMIFS('PowerApp_Physical count'!H:H,'PowerApp_Physical count'!B:B,' General Stock Summary View  '!$S$2,'PowerApp_Physical count'!C:C,' General Stock Summary View  '!C124,'PowerApp_Physical count'!A:A,' General Stock Summary View  '!B124)</f>
        <v>0</v>
      </c>
      <c r="U124" s="4">
        <f t="shared" si="4"/>
        <v>0</v>
      </c>
      <c r="V124" s="2">
        <f>SUMIFS('XBS '!T:T,'XBS '!H:H,' General Stock Summary View  '!$V$2,'XBS '!B:B,' General Stock Summary View  '!C124,'XBS '!L:L,' General Stock Summary View  '!B124)</f>
        <v>0</v>
      </c>
      <c r="W124" s="3">
        <f>SUMIFS('PowerApp_Physical count'!H:H,'PowerApp_Physical count'!B:B,' General Stock Summary View  '!$V$2,'PowerApp_Physical count'!C:C,' General Stock Summary View  '!C124,'PowerApp_Physical count'!A:A,' General Stock Summary View  '!B124)</f>
        <v>0</v>
      </c>
      <c r="X124" s="4">
        <f t="shared" si="12"/>
        <v>0</v>
      </c>
      <c r="Y124" s="5">
        <f>SUMIFS('XBS '!T:T,'XBS '!H:H,' General Stock Summary View  '!$Y$2,'XBS '!B:B,' General Stock Summary View  '!C124,'XBS '!L:L,' General Stock Summary View  '!B124)</f>
        <v>0</v>
      </c>
      <c r="Z124" s="3">
        <f>SUMIFS('PowerApp_Physical count'!H:H,'PowerApp_Physical count'!B:B,' General Stock Summary View  '!$Y$2,'PowerApp_Physical count'!C:C,' General Stock Summary View  '!C124,'PowerApp_Physical count'!A:A,' General Stock Summary View  '!B124)</f>
        <v>0</v>
      </c>
      <c r="AA124" s="4">
        <f t="shared" si="13"/>
        <v>0</v>
      </c>
      <c r="AB124" s="5">
        <f>SUMIFS('XBS '!T:T,'XBS '!H:H,' General Stock Summary View  '!$AB$2,'XBS '!B:B,' General Stock Summary View  '!C124,'XBS '!L:L,' General Stock Summary View  '!B124)</f>
        <v>0</v>
      </c>
      <c r="AC124" s="3">
        <f>SUMIFS('PowerApp_Physical count'!H:H,'PowerApp_Physical count'!B:B,' General Stock Summary View  '!$AB$2,'PowerApp_Physical count'!C:C,' General Stock Summary View  '!C124,'PowerApp_Physical count'!A:A,' General Stock Summary View  '!B124)</f>
        <v>0</v>
      </c>
      <c r="AD124" s="6">
        <f t="shared" si="14"/>
        <v>0</v>
      </c>
      <c r="AE124" s="7">
        <f t="shared" si="8"/>
        <v>54.95</v>
      </c>
      <c r="AF124" s="8">
        <f t="shared" si="9"/>
        <v>0</v>
      </c>
      <c r="AG124" s="112"/>
    </row>
    <row r="125" spans="2:33" s="113" customFormat="1" ht="61.15">
      <c r="B125" s="117" t="s">
        <v>152</v>
      </c>
      <c r="C125" s="111" t="s">
        <v>140</v>
      </c>
      <c r="D125" s="11">
        <f>SUMIFS('XBS '!T:T,'XBS '!C:C,' General Stock Summary View  '!C125,'XBS '!L:L,' General Stock Summary View  '!B125)</f>
        <v>52.516666666666666</v>
      </c>
      <c r="E125" s="2">
        <f>SUMIFS('Blocked for Processing'!P:P,'Blocked for Processing'!I:I,' General Stock Summary View  '!B125,'Blocked for Processing'!C:C,' General Stock Summary View  '!C125)</f>
        <v>0</v>
      </c>
      <c r="F125" s="122">
        <f t="shared" si="0"/>
        <v>52.516666666666666</v>
      </c>
      <c r="G125" s="148">
        <f>SUMIFS('XBS '!T:T,'XBS '!H:H,' General Stock Summary View  '!$G$2,'XBS '!L:L,' General Stock Summary View  '!B125,'XBS '!C:C,' General Stock Summary View  '!C125)</f>
        <v>52.516666666666666</v>
      </c>
      <c r="H125" s="3">
        <f>SUMIFS('PowerApp_Physical count'!H:H,'PowerApp_Physical count'!B:B,' General Stock Summary View  '!$G$2,'PowerApp_Physical count'!C:C,' General Stock Summary View  '!C125,'PowerApp_Physical count'!A:A,' General Stock Summary View  '!B125)</f>
        <v>52.516666666666666</v>
      </c>
      <c r="I125" s="154">
        <f t="shared" si="16"/>
        <v>0</v>
      </c>
      <c r="J125" s="11">
        <f>SUMIFS('XBS '!T:T,'XBS '!H:H,' General Stock Summary View  '!$J$2,'XBS '!L:L,' General Stock Summary View  '!B125,'XBS '!C:C,' General Stock Summary View  '!C125)</f>
        <v>0</v>
      </c>
      <c r="K125" s="157">
        <f>SUMIFS('PowerApp_Physical count'!H:H,'PowerApp_Physical count'!B:B,' General Stock Summary View  '!$J$2,'PowerApp_Physical count'!C:C,' General Stock Summary View  '!C125,'PowerApp_Physical count'!A:A,' General Stock Summary View  '!B125)</f>
        <v>0</v>
      </c>
      <c r="L125" s="127">
        <f t="shared" si="15"/>
        <v>0</v>
      </c>
      <c r="M125" s="126">
        <f t="shared" si="2"/>
        <v>52.516666666666666</v>
      </c>
      <c r="N125" s="11">
        <f t="shared" si="3"/>
        <v>52.516666666666666</v>
      </c>
      <c r="O125" s="144">
        <f t="shared" si="10"/>
        <v>0</v>
      </c>
      <c r="P125" s="2">
        <f>SUMIFS('XBS '!T:T,'XBS '!H:H,' General Stock Summary View  '!$P$2,'XBS '!L:L,' General Stock Summary View  '!B125,'XBS '!C:C,' General Stock Summary View  '!C125)</f>
        <v>0</v>
      </c>
      <c r="Q125" s="3">
        <f>SUMIFS('PowerApp_Physical count'!H:H,'PowerApp_Physical count'!B:B,' General Stock Summary View  '!$P$2,'PowerApp_Physical count'!C:C,' General Stock Summary View  '!C125,'PowerApp_Physical count'!A:A,' General Stock Summary View  '!B125)</f>
        <v>0</v>
      </c>
      <c r="R125" s="4">
        <f t="shared" si="11"/>
        <v>0</v>
      </c>
      <c r="S125" s="5">
        <f>SUMIFS('XBS '!T:T,'XBS '!L:L,' General Stock Summary View  '!B125,'XBS '!H:H,' General Stock Summary View  '!$S$2,'XBS '!C:C,' General Stock Summary View  '!C125)</f>
        <v>0</v>
      </c>
      <c r="T125" s="3">
        <f>SUMIFS('PowerApp_Physical count'!H:H,'PowerApp_Physical count'!B:B,' General Stock Summary View  '!$S$2,'PowerApp_Physical count'!C:C,' General Stock Summary View  '!C125,'PowerApp_Physical count'!A:A,' General Stock Summary View  '!B125)</f>
        <v>0</v>
      </c>
      <c r="U125" s="4">
        <f t="shared" si="4"/>
        <v>0</v>
      </c>
      <c r="V125" s="2">
        <f>SUMIFS('XBS '!T:T,'XBS '!H:H,' General Stock Summary View  '!$V$2,'XBS '!B:B,' General Stock Summary View  '!C125,'XBS '!L:L,' General Stock Summary View  '!B125)</f>
        <v>0</v>
      </c>
      <c r="W125" s="3">
        <f>SUMIFS('PowerApp_Physical count'!H:H,'PowerApp_Physical count'!B:B,' General Stock Summary View  '!$V$2,'PowerApp_Physical count'!C:C,' General Stock Summary View  '!C125,'PowerApp_Physical count'!A:A,' General Stock Summary View  '!B125)</f>
        <v>0</v>
      </c>
      <c r="X125" s="4">
        <f t="shared" si="12"/>
        <v>0</v>
      </c>
      <c r="Y125" s="5">
        <f>SUMIFS('XBS '!T:T,'XBS '!H:H,' General Stock Summary View  '!$Y$2,'XBS '!B:B,' General Stock Summary View  '!C125,'XBS '!L:L,' General Stock Summary View  '!B125)</f>
        <v>0</v>
      </c>
      <c r="Z125" s="3">
        <f>SUMIFS('PowerApp_Physical count'!H:H,'PowerApp_Physical count'!B:B,' General Stock Summary View  '!$Y$2,'PowerApp_Physical count'!C:C,' General Stock Summary View  '!C125,'PowerApp_Physical count'!A:A,' General Stock Summary View  '!B125)</f>
        <v>0</v>
      </c>
      <c r="AA125" s="4">
        <f t="shared" si="13"/>
        <v>0</v>
      </c>
      <c r="AB125" s="5">
        <f>SUMIFS('XBS '!T:T,'XBS '!H:H,' General Stock Summary View  '!$AB$2,'XBS '!B:B,' General Stock Summary View  '!C125,'XBS '!L:L,' General Stock Summary View  '!B125)</f>
        <v>0</v>
      </c>
      <c r="AC125" s="3">
        <f>SUMIFS('PowerApp_Physical count'!H:H,'PowerApp_Physical count'!B:B,' General Stock Summary View  '!$AB$2,'PowerApp_Physical count'!C:C,' General Stock Summary View  '!C125,'PowerApp_Physical count'!A:A,' General Stock Summary View  '!B125)</f>
        <v>0</v>
      </c>
      <c r="AD125" s="6">
        <f t="shared" si="14"/>
        <v>0</v>
      </c>
      <c r="AE125" s="7">
        <f t="shared" si="8"/>
        <v>52.516666666666666</v>
      </c>
      <c r="AF125" s="8">
        <f t="shared" si="9"/>
        <v>0</v>
      </c>
      <c r="AG125" s="112"/>
    </row>
    <row r="126" spans="2:33" s="113" customFormat="1" ht="61.15">
      <c r="B126" s="117" t="s">
        <v>153</v>
      </c>
      <c r="C126" s="111" t="s">
        <v>154</v>
      </c>
      <c r="D126" s="11">
        <f>SUMIFS('XBS '!T:T,'XBS '!C:C,' General Stock Summary View  '!C126,'XBS '!L:L,' General Stock Summary View  '!B126)</f>
        <v>48.5</v>
      </c>
      <c r="E126" s="2">
        <f>SUMIFS('Blocked for Processing'!P:P,'Blocked for Processing'!I:I,' General Stock Summary View  '!B126,'Blocked for Processing'!C:C,' General Stock Summary View  '!C126)</f>
        <v>0</v>
      </c>
      <c r="F126" s="122">
        <f t="shared" si="0"/>
        <v>48.5</v>
      </c>
      <c r="G126" s="148">
        <f>SUMIFS('XBS '!T:T,'XBS '!H:H,' General Stock Summary View  '!$G$2,'XBS '!L:L,' General Stock Summary View  '!B126,'XBS '!C:C,' General Stock Summary View  '!C126)</f>
        <v>48.5</v>
      </c>
      <c r="H126" s="3">
        <f>SUMIFS('PowerApp_Physical count'!H:H,'PowerApp_Physical count'!B:B,' General Stock Summary View  '!$G$2,'PowerApp_Physical count'!C:C,' General Stock Summary View  '!C126,'PowerApp_Physical count'!A:A,' General Stock Summary View  '!B126)</f>
        <v>48.5</v>
      </c>
      <c r="I126" s="154">
        <f t="shared" si="16"/>
        <v>0</v>
      </c>
      <c r="J126" s="11">
        <f>SUMIFS('XBS '!T:T,'XBS '!H:H,' General Stock Summary View  '!$J$2,'XBS '!L:L,' General Stock Summary View  '!B126,'XBS '!C:C,' General Stock Summary View  '!C126)</f>
        <v>0</v>
      </c>
      <c r="K126" s="157">
        <f>SUMIFS('PowerApp_Physical count'!H:H,'PowerApp_Physical count'!B:B,' General Stock Summary View  '!$J$2,'PowerApp_Physical count'!C:C,' General Stock Summary View  '!C126,'PowerApp_Physical count'!A:A,' General Stock Summary View  '!B126)</f>
        <v>0</v>
      </c>
      <c r="L126" s="127">
        <f t="shared" si="15"/>
        <v>0</v>
      </c>
      <c r="M126" s="126">
        <f t="shared" si="2"/>
        <v>48.5</v>
      </c>
      <c r="N126" s="11">
        <f t="shared" si="3"/>
        <v>48.5</v>
      </c>
      <c r="O126" s="144">
        <f t="shared" si="10"/>
        <v>0</v>
      </c>
      <c r="P126" s="2">
        <f>SUMIFS('XBS '!T:T,'XBS '!H:H,' General Stock Summary View  '!$P$2,'XBS '!L:L,' General Stock Summary View  '!B126,'XBS '!C:C,' General Stock Summary View  '!C126)</f>
        <v>0</v>
      </c>
      <c r="Q126" s="3">
        <f>SUMIFS('PowerApp_Physical count'!H:H,'PowerApp_Physical count'!B:B,' General Stock Summary View  '!$P$2,'PowerApp_Physical count'!C:C,' General Stock Summary View  '!C126,'PowerApp_Physical count'!A:A,' General Stock Summary View  '!B126)</f>
        <v>0</v>
      </c>
      <c r="R126" s="4">
        <f t="shared" si="11"/>
        <v>0</v>
      </c>
      <c r="S126" s="5">
        <f>SUMIFS('XBS '!T:T,'XBS '!L:L,' General Stock Summary View  '!B126,'XBS '!H:H,' General Stock Summary View  '!$S$2,'XBS '!C:C,' General Stock Summary View  '!C126)</f>
        <v>0</v>
      </c>
      <c r="T126" s="3">
        <f>SUMIFS('PowerApp_Physical count'!H:H,'PowerApp_Physical count'!B:B,' General Stock Summary View  '!$S$2,'PowerApp_Physical count'!C:C,' General Stock Summary View  '!C126,'PowerApp_Physical count'!A:A,' General Stock Summary View  '!B126)</f>
        <v>0</v>
      </c>
      <c r="U126" s="4">
        <f t="shared" si="4"/>
        <v>0</v>
      </c>
      <c r="V126" s="2">
        <f>SUMIFS('XBS '!T:T,'XBS '!H:H,' General Stock Summary View  '!$V$2,'XBS '!B:B,' General Stock Summary View  '!C126,'XBS '!L:L,' General Stock Summary View  '!B126)</f>
        <v>0</v>
      </c>
      <c r="W126" s="3">
        <f>SUMIFS('PowerApp_Physical count'!H:H,'PowerApp_Physical count'!B:B,' General Stock Summary View  '!$V$2,'PowerApp_Physical count'!C:C,' General Stock Summary View  '!C126,'PowerApp_Physical count'!A:A,' General Stock Summary View  '!B126)</f>
        <v>0</v>
      </c>
      <c r="X126" s="4">
        <f t="shared" si="12"/>
        <v>0</v>
      </c>
      <c r="Y126" s="5">
        <f>SUMIFS('XBS '!T:T,'XBS '!H:H,' General Stock Summary View  '!$Y$2,'XBS '!B:B,' General Stock Summary View  '!C126,'XBS '!L:L,' General Stock Summary View  '!B126)</f>
        <v>0</v>
      </c>
      <c r="Z126" s="3">
        <f>SUMIFS('PowerApp_Physical count'!H:H,'PowerApp_Physical count'!B:B,' General Stock Summary View  '!$Y$2,'PowerApp_Physical count'!C:C,' General Stock Summary View  '!C126,'PowerApp_Physical count'!A:A,' General Stock Summary View  '!B126)</f>
        <v>0</v>
      </c>
      <c r="AA126" s="4">
        <f t="shared" si="13"/>
        <v>0</v>
      </c>
      <c r="AB126" s="5">
        <f>SUMIFS('XBS '!T:T,'XBS '!H:H,' General Stock Summary View  '!$AB$2,'XBS '!B:B,' General Stock Summary View  '!C126,'XBS '!L:L,' General Stock Summary View  '!B126)</f>
        <v>0</v>
      </c>
      <c r="AC126" s="3">
        <f>SUMIFS('PowerApp_Physical count'!H:H,'PowerApp_Physical count'!B:B,' General Stock Summary View  '!$AB$2,'PowerApp_Physical count'!C:C,' General Stock Summary View  '!C126,'PowerApp_Physical count'!A:A,' General Stock Summary View  '!B126)</f>
        <v>0</v>
      </c>
      <c r="AD126" s="6">
        <f t="shared" si="14"/>
        <v>0</v>
      </c>
      <c r="AE126" s="7">
        <f t="shared" si="8"/>
        <v>48.5</v>
      </c>
      <c r="AF126" s="8">
        <f t="shared" si="9"/>
        <v>0</v>
      </c>
      <c r="AG126" s="112"/>
    </row>
    <row r="127" spans="2:33" s="113" customFormat="1" ht="61.15">
      <c r="B127" s="117" t="s">
        <v>155</v>
      </c>
      <c r="C127" s="111" t="s">
        <v>154</v>
      </c>
      <c r="D127" s="11">
        <f>SUMIFS('XBS '!T:T,'XBS '!C:C,' General Stock Summary View  '!C127,'XBS '!L:L,' General Stock Summary View  '!B127)</f>
        <v>163.69999999999999</v>
      </c>
      <c r="E127" s="2">
        <f>SUMIFS('Blocked for Processing'!P:P,'Blocked for Processing'!I:I,' General Stock Summary View  '!B127,'Blocked for Processing'!C:C,' General Stock Summary View  '!C127)</f>
        <v>0</v>
      </c>
      <c r="F127" s="122">
        <f t="shared" si="0"/>
        <v>163.69999999999999</v>
      </c>
      <c r="G127" s="148">
        <f>SUMIFS('XBS '!T:T,'XBS '!H:H,' General Stock Summary View  '!$G$2,'XBS '!L:L,' General Stock Summary View  '!B127,'XBS '!C:C,' General Stock Summary View  '!C127)</f>
        <v>163.69999999999999</v>
      </c>
      <c r="H127" s="3">
        <f>SUMIFS('PowerApp_Physical count'!H:H,'PowerApp_Physical count'!B:B,' General Stock Summary View  '!$G$2,'PowerApp_Physical count'!C:C,' General Stock Summary View  '!C127,'PowerApp_Physical count'!A:A,' General Stock Summary View  '!B127)</f>
        <v>163.69999999999999</v>
      </c>
      <c r="I127" s="154">
        <f t="shared" si="16"/>
        <v>0</v>
      </c>
      <c r="J127" s="11">
        <f>SUMIFS('XBS '!T:T,'XBS '!H:H,' General Stock Summary View  '!$J$2,'XBS '!L:L,' General Stock Summary View  '!B127,'XBS '!C:C,' General Stock Summary View  '!C127)</f>
        <v>0</v>
      </c>
      <c r="K127" s="157">
        <f>SUMIFS('PowerApp_Physical count'!H:H,'PowerApp_Physical count'!B:B,' General Stock Summary View  '!$J$2,'PowerApp_Physical count'!C:C,' General Stock Summary View  '!C127,'PowerApp_Physical count'!A:A,' General Stock Summary View  '!B127)</f>
        <v>0</v>
      </c>
      <c r="L127" s="127">
        <f t="shared" si="15"/>
        <v>0</v>
      </c>
      <c r="M127" s="126">
        <f t="shared" si="2"/>
        <v>163.69999999999999</v>
      </c>
      <c r="N127" s="11">
        <f t="shared" si="3"/>
        <v>163.69999999999999</v>
      </c>
      <c r="O127" s="144">
        <f t="shared" si="10"/>
        <v>0</v>
      </c>
      <c r="P127" s="2">
        <f>SUMIFS('XBS '!T:T,'XBS '!H:H,' General Stock Summary View  '!$P$2,'XBS '!L:L,' General Stock Summary View  '!B127,'XBS '!C:C,' General Stock Summary View  '!C127)</f>
        <v>0</v>
      </c>
      <c r="Q127" s="3">
        <f>SUMIFS('PowerApp_Physical count'!H:H,'PowerApp_Physical count'!B:B,' General Stock Summary View  '!$P$2,'PowerApp_Physical count'!C:C,' General Stock Summary View  '!C127,'PowerApp_Physical count'!A:A,' General Stock Summary View  '!B127)</f>
        <v>0</v>
      </c>
      <c r="R127" s="4">
        <f t="shared" si="11"/>
        <v>0</v>
      </c>
      <c r="S127" s="5">
        <f>SUMIFS('XBS '!T:T,'XBS '!L:L,' General Stock Summary View  '!B127,'XBS '!H:H,' General Stock Summary View  '!$S$2,'XBS '!C:C,' General Stock Summary View  '!C127)</f>
        <v>0</v>
      </c>
      <c r="T127" s="3">
        <f>SUMIFS('PowerApp_Physical count'!H:H,'PowerApp_Physical count'!B:B,' General Stock Summary View  '!$S$2,'PowerApp_Physical count'!C:C,' General Stock Summary View  '!C127,'PowerApp_Physical count'!A:A,' General Stock Summary View  '!B127)</f>
        <v>0</v>
      </c>
      <c r="U127" s="4">
        <f t="shared" si="4"/>
        <v>0</v>
      </c>
      <c r="V127" s="2">
        <f>SUMIFS('XBS '!T:T,'XBS '!H:H,' General Stock Summary View  '!$V$2,'XBS '!B:B,' General Stock Summary View  '!C127,'XBS '!L:L,' General Stock Summary View  '!B127)</f>
        <v>0</v>
      </c>
      <c r="W127" s="3">
        <f>SUMIFS('PowerApp_Physical count'!H:H,'PowerApp_Physical count'!B:B,' General Stock Summary View  '!$V$2,'PowerApp_Physical count'!C:C,' General Stock Summary View  '!C127,'PowerApp_Physical count'!A:A,' General Stock Summary View  '!B127)</f>
        <v>0</v>
      </c>
      <c r="X127" s="4">
        <f t="shared" si="12"/>
        <v>0</v>
      </c>
      <c r="Y127" s="5">
        <f>SUMIFS('XBS '!T:T,'XBS '!H:H,' General Stock Summary View  '!$Y$2,'XBS '!B:B,' General Stock Summary View  '!C127,'XBS '!L:L,' General Stock Summary View  '!B127)</f>
        <v>0</v>
      </c>
      <c r="Z127" s="3">
        <f>SUMIFS('PowerApp_Physical count'!H:H,'PowerApp_Physical count'!B:B,' General Stock Summary View  '!$Y$2,'PowerApp_Physical count'!C:C,' General Stock Summary View  '!C127,'PowerApp_Physical count'!A:A,' General Stock Summary View  '!B127)</f>
        <v>0</v>
      </c>
      <c r="AA127" s="4">
        <f t="shared" si="13"/>
        <v>0</v>
      </c>
      <c r="AB127" s="5">
        <f>SUMIFS('XBS '!T:T,'XBS '!H:H,' General Stock Summary View  '!$AB$2,'XBS '!B:B,' General Stock Summary View  '!C127,'XBS '!L:L,' General Stock Summary View  '!B127)</f>
        <v>0</v>
      </c>
      <c r="AC127" s="3">
        <f>SUMIFS('PowerApp_Physical count'!H:H,'PowerApp_Physical count'!B:B,' General Stock Summary View  '!$AB$2,'PowerApp_Physical count'!C:C,' General Stock Summary View  '!C127,'PowerApp_Physical count'!A:A,' General Stock Summary View  '!B127)</f>
        <v>0</v>
      </c>
      <c r="AD127" s="6">
        <f t="shared" si="14"/>
        <v>0</v>
      </c>
      <c r="AE127" s="7">
        <f t="shared" si="8"/>
        <v>163.69999999999999</v>
      </c>
      <c r="AF127" s="8">
        <f t="shared" si="9"/>
        <v>0</v>
      </c>
      <c r="AG127" s="112"/>
    </row>
    <row r="128" spans="2:33" s="113" customFormat="1" ht="61.15">
      <c r="B128" s="117" t="s">
        <v>156</v>
      </c>
      <c r="C128" s="111" t="s">
        <v>154</v>
      </c>
      <c r="D128" s="11">
        <f>SUMIFS('XBS '!T:T,'XBS '!C:C,' General Stock Summary View  '!C128,'XBS '!L:L,' General Stock Summary View  '!B128)</f>
        <v>8.9</v>
      </c>
      <c r="E128" s="2">
        <f>SUMIFS('Blocked for Processing'!P:P,'Blocked for Processing'!I:I,' General Stock Summary View  '!B128,'Blocked for Processing'!C:C,' General Stock Summary View  '!C128)</f>
        <v>0</v>
      </c>
      <c r="F128" s="122">
        <f t="shared" si="0"/>
        <v>8.9</v>
      </c>
      <c r="G128" s="148">
        <f>SUMIFS('XBS '!T:T,'XBS '!H:H,' General Stock Summary View  '!$G$2,'XBS '!L:L,' General Stock Summary View  '!B128,'XBS '!C:C,' General Stock Summary View  '!C128)</f>
        <v>8.9</v>
      </c>
      <c r="H128" s="3">
        <f>SUMIFS('PowerApp_Physical count'!H:H,'PowerApp_Physical count'!B:B,' General Stock Summary View  '!$G$2,'PowerApp_Physical count'!C:C,' General Stock Summary View  '!C128,'PowerApp_Physical count'!A:A,' General Stock Summary View  '!B128)</f>
        <v>8.9</v>
      </c>
      <c r="I128" s="154">
        <f t="shared" si="16"/>
        <v>0</v>
      </c>
      <c r="J128" s="11">
        <f>SUMIFS('XBS '!T:T,'XBS '!H:H,' General Stock Summary View  '!$J$2,'XBS '!L:L,' General Stock Summary View  '!B128,'XBS '!C:C,' General Stock Summary View  '!C128)</f>
        <v>0</v>
      </c>
      <c r="K128" s="157">
        <f>SUMIFS('PowerApp_Physical count'!H:H,'PowerApp_Physical count'!B:B,' General Stock Summary View  '!$J$2,'PowerApp_Physical count'!C:C,' General Stock Summary View  '!C128,'PowerApp_Physical count'!A:A,' General Stock Summary View  '!B128)</f>
        <v>0</v>
      </c>
      <c r="L128" s="127">
        <f t="shared" si="15"/>
        <v>0</v>
      </c>
      <c r="M128" s="126">
        <f t="shared" si="2"/>
        <v>8.9</v>
      </c>
      <c r="N128" s="11">
        <f t="shared" si="3"/>
        <v>8.9</v>
      </c>
      <c r="O128" s="144">
        <f t="shared" si="10"/>
        <v>0</v>
      </c>
      <c r="P128" s="2">
        <f>SUMIFS('XBS '!T:T,'XBS '!H:H,' General Stock Summary View  '!$P$2,'XBS '!L:L,' General Stock Summary View  '!B128,'XBS '!C:C,' General Stock Summary View  '!C128)</f>
        <v>0</v>
      </c>
      <c r="Q128" s="3">
        <f>SUMIFS('PowerApp_Physical count'!H:H,'PowerApp_Physical count'!B:B,' General Stock Summary View  '!$P$2,'PowerApp_Physical count'!C:C,' General Stock Summary View  '!C128,'PowerApp_Physical count'!A:A,' General Stock Summary View  '!B128)</f>
        <v>0</v>
      </c>
      <c r="R128" s="4">
        <f t="shared" si="11"/>
        <v>0</v>
      </c>
      <c r="S128" s="5">
        <f>SUMIFS('XBS '!T:T,'XBS '!L:L,' General Stock Summary View  '!B128,'XBS '!H:H,' General Stock Summary View  '!$S$2,'XBS '!C:C,' General Stock Summary View  '!C128)</f>
        <v>0</v>
      </c>
      <c r="T128" s="3">
        <f>SUMIFS('PowerApp_Physical count'!H:H,'PowerApp_Physical count'!B:B,' General Stock Summary View  '!$S$2,'PowerApp_Physical count'!C:C,' General Stock Summary View  '!C128,'PowerApp_Physical count'!A:A,' General Stock Summary View  '!B128)</f>
        <v>0</v>
      </c>
      <c r="U128" s="4">
        <f t="shared" si="4"/>
        <v>0</v>
      </c>
      <c r="V128" s="2">
        <f>SUMIFS('XBS '!T:T,'XBS '!H:H,' General Stock Summary View  '!$V$2,'XBS '!B:B,' General Stock Summary View  '!C128,'XBS '!L:L,' General Stock Summary View  '!B128)</f>
        <v>0</v>
      </c>
      <c r="W128" s="3">
        <f>SUMIFS('PowerApp_Physical count'!H:H,'PowerApp_Physical count'!B:B,' General Stock Summary View  '!$V$2,'PowerApp_Physical count'!C:C,' General Stock Summary View  '!C128,'PowerApp_Physical count'!A:A,' General Stock Summary View  '!B128)</f>
        <v>0</v>
      </c>
      <c r="X128" s="4">
        <f t="shared" si="12"/>
        <v>0</v>
      </c>
      <c r="Y128" s="5">
        <f>SUMIFS('XBS '!T:T,'XBS '!H:H,' General Stock Summary View  '!$Y$2,'XBS '!B:B,' General Stock Summary View  '!C128,'XBS '!L:L,' General Stock Summary View  '!B128)</f>
        <v>0</v>
      </c>
      <c r="Z128" s="3">
        <f>SUMIFS('PowerApp_Physical count'!H:H,'PowerApp_Physical count'!B:B,' General Stock Summary View  '!$Y$2,'PowerApp_Physical count'!C:C,' General Stock Summary View  '!C128,'PowerApp_Physical count'!A:A,' General Stock Summary View  '!B128)</f>
        <v>0</v>
      </c>
      <c r="AA128" s="4">
        <f t="shared" si="13"/>
        <v>0</v>
      </c>
      <c r="AB128" s="5">
        <f>SUMIFS('XBS '!T:T,'XBS '!H:H,' General Stock Summary View  '!$AB$2,'XBS '!B:B,' General Stock Summary View  '!C128,'XBS '!L:L,' General Stock Summary View  '!B128)</f>
        <v>0</v>
      </c>
      <c r="AC128" s="3">
        <f>SUMIFS('PowerApp_Physical count'!H:H,'PowerApp_Physical count'!B:B,' General Stock Summary View  '!$AB$2,'PowerApp_Physical count'!C:C,' General Stock Summary View  '!C128,'PowerApp_Physical count'!A:A,' General Stock Summary View  '!B128)</f>
        <v>0</v>
      </c>
      <c r="AD128" s="6">
        <f t="shared" si="14"/>
        <v>0</v>
      </c>
      <c r="AE128" s="7">
        <f t="shared" si="8"/>
        <v>8.9</v>
      </c>
      <c r="AF128" s="8">
        <f t="shared" si="9"/>
        <v>0</v>
      </c>
      <c r="AG128" s="112"/>
    </row>
    <row r="129" spans="2:33" s="113" customFormat="1" ht="61.15">
      <c r="B129" s="117" t="s">
        <v>157</v>
      </c>
      <c r="C129" s="111" t="s">
        <v>154</v>
      </c>
      <c r="D129" s="11">
        <f>SUMIFS('XBS '!T:T,'XBS '!C:C,' General Stock Summary View  '!C129,'XBS '!L:L,' General Stock Summary View  '!B129)</f>
        <v>41.083333333333336</v>
      </c>
      <c r="E129" s="2">
        <f>SUMIFS('Blocked for Processing'!P:P,'Blocked for Processing'!I:I,' General Stock Summary View  '!B129,'Blocked for Processing'!C:C,' General Stock Summary View  '!C129)</f>
        <v>0</v>
      </c>
      <c r="F129" s="122">
        <f t="shared" si="0"/>
        <v>41.083333333333336</v>
      </c>
      <c r="G129" s="148">
        <f>SUMIFS('XBS '!T:T,'XBS '!H:H,' General Stock Summary View  '!$G$2,'XBS '!L:L,' General Stock Summary View  '!B129,'XBS '!C:C,' General Stock Summary View  '!C129)</f>
        <v>41.083333333333336</v>
      </c>
      <c r="H129" s="3">
        <f>SUMIFS('PowerApp_Physical count'!H:H,'PowerApp_Physical count'!B:B,' General Stock Summary View  '!$G$2,'PowerApp_Physical count'!C:C,' General Stock Summary View  '!C129,'PowerApp_Physical count'!A:A,' General Stock Summary View  '!B129)</f>
        <v>41.083333333333336</v>
      </c>
      <c r="I129" s="154">
        <f t="shared" si="16"/>
        <v>0</v>
      </c>
      <c r="J129" s="11">
        <f>SUMIFS('XBS '!T:T,'XBS '!H:H,' General Stock Summary View  '!$J$2,'XBS '!L:L,' General Stock Summary View  '!B129,'XBS '!C:C,' General Stock Summary View  '!C129)</f>
        <v>0</v>
      </c>
      <c r="K129" s="157">
        <f>SUMIFS('PowerApp_Physical count'!H:H,'PowerApp_Physical count'!B:B,' General Stock Summary View  '!$J$2,'PowerApp_Physical count'!C:C,' General Stock Summary View  '!C129,'PowerApp_Physical count'!A:A,' General Stock Summary View  '!B129)</f>
        <v>0</v>
      </c>
      <c r="L129" s="127">
        <f t="shared" si="15"/>
        <v>0</v>
      </c>
      <c r="M129" s="126">
        <f t="shared" si="2"/>
        <v>41.083333333333336</v>
      </c>
      <c r="N129" s="11">
        <f t="shared" si="3"/>
        <v>41.083333333333336</v>
      </c>
      <c r="O129" s="144">
        <f t="shared" si="10"/>
        <v>0</v>
      </c>
      <c r="P129" s="2">
        <f>SUMIFS('XBS '!T:T,'XBS '!H:H,' General Stock Summary View  '!$P$2,'XBS '!L:L,' General Stock Summary View  '!B129,'XBS '!C:C,' General Stock Summary View  '!C129)</f>
        <v>0</v>
      </c>
      <c r="Q129" s="3">
        <f>SUMIFS('PowerApp_Physical count'!H:H,'PowerApp_Physical count'!B:B,' General Stock Summary View  '!$P$2,'PowerApp_Physical count'!C:C,' General Stock Summary View  '!C129,'PowerApp_Physical count'!A:A,' General Stock Summary View  '!B129)</f>
        <v>0</v>
      </c>
      <c r="R129" s="4">
        <f t="shared" si="11"/>
        <v>0</v>
      </c>
      <c r="S129" s="5">
        <f>SUMIFS('XBS '!T:T,'XBS '!L:L,' General Stock Summary View  '!B129,'XBS '!H:H,' General Stock Summary View  '!$S$2,'XBS '!C:C,' General Stock Summary View  '!C129)</f>
        <v>0</v>
      </c>
      <c r="T129" s="3">
        <f>SUMIFS('PowerApp_Physical count'!H:H,'PowerApp_Physical count'!B:B,' General Stock Summary View  '!$S$2,'PowerApp_Physical count'!C:C,' General Stock Summary View  '!C129,'PowerApp_Physical count'!A:A,' General Stock Summary View  '!B129)</f>
        <v>0</v>
      </c>
      <c r="U129" s="4">
        <f t="shared" si="4"/>
        <v>0</v>
      </c>
      <c r="V129" s="2">
        <f>SUMIFS('XBS '!T:T,'XBS '!H:H,' General Stock Summary View  '!$V$2,'XBS '!B:B,' General Stock Summary View  '!C129,'XBS '!L:L,' General Stock Summary View  '!B129)</f>
        <v>0</v>
      </c>
      <c r="W129" s="3">
        <f>SUMIFS('PowerApp_Physical count'!H:H,'PowerApp_Physical count'!B:B,' General Stock Summary View  '!$V$2,'PowerApp_Physical count'!C:C,' General Stock Summary View  '!C129,'PowerApp_Physical count'!A:A,' General Stock Summary View  '!B129)</f>
        <v>0</v>
      </c>
      <c r="X129" s="4">
        <f t="shared" si="12"/>
        <v>0</v>
      </c>
      <c r="Y129" s="5">
        <f>SUMIFS('XBS '!T:T,'XBS '!H:H,' General Stock Summary View  '!$Y$2,'XBS '!B:B,' General Stock Summary View  '!C129,'XBS '!L:L,' General Stock Summary View  '!B129)</f>
        <v>0</v>
      </c>
      <c r="Z129" s="3">
        <f>SUMIFS('PowerApp_Physical count'!H:H,'PowerApp_Physical count'!B:B,' General Stock Summary View  '!$Y$2,'PowerApp_Physical count'!C:C,' General Stock Summary View  '!C129,'PowerApp_Physical count'!A:A,' General Stock Summary View  '!B129)</f>
        <v>0</v>
      </c>
      <c r="AA129" s="4">
        <f t="shared" si="13"/>
        <v>0</v>
      </c>
      <c r="AB129" s="5">
        <f>SUMIFS('XBS '!T:T,'XBS '!H:H,' General Stock Summary View  '!$AB$2,'XBS '!B:B,' General Stock Summary View  '!C129,'XBS '!L:L,' General Stock Summary View  '!B129)</f>
        <v>0</v>
      </c>
      <c r="AC129" s="3">
        <f>SUMIFS('PowerApp_Physical count'!H:H,'PowerApp_Physical count'!B:B,' General Stock Summary View  '!$AB$2,'PowerApp_Physical count'!C:C,' General Stock Summary View  '!C129,'PowerApp_Physical count'!A:A,' General Stock Summary View  '!B129)</f>
        <v>0</v>
      </c>
      <c r="AD129" s="6">
        <f t="shared" si="14"/>
        <v>0</v>
      </c>
      <c r="AE129" s="7">
        <f t="shared" si="8"/>
        <v>41.083333333333336</v>
      </c>
      <c r="AF129" s="8">
        <f t="shared" si="9"/>
        <v>0</v>
      </c>
      <c r="AG129" s="112"/>
    </row>
    <row r="130" spans="2:33" s="113" customFormat="1" ht="61.15">
      <c r="B130" s="117" t="s">
        <v>158</v>
      </c>
      <c r="C130" s="111" t="s">
        <v>154</v>
      </c>
      <c r="D130" s="11">
        <f>SUMIFS('XBS '!T:T,'XBS '!C:C,' General Stock Summary View  '!C130,'XBS '!L:L,' General Stock Summary View  '!B130)</f>
        <v>9.2333333333333325</v>
      </c>
      <c r="E130" s="2">
        <f>SUMIFS('Blocked for Processing'!P:P,'Blocked for Processing'!I:I,' General Stock Summary View  '!B130,'Blocked for Processing'!C:C,' General Stock Summary View  '!C130)</f>
        <v>0</v>
      </c>
      <c r="F130" s="122">
        <f t="shared" si="0"/>
        <v>9.2333333333333325</v>
      </c>
      <c r="G130" s="148">
        <f>SUMIFS('XBS '!T:T,'XBS '!H:H,' General Stock Summary View  '!$G$2,'XBS '!L:L,' General Stock Summary View  '!B130,'XBS '!C:C,' General Stock Summary View  '!C130)</f>
        <v>9.2333333333333325</v>
      </c>
      <c r="H130" s="3">
        <f>SUMIFS('PowerApp_Physical count'!H:H,'PowerApp_Physical count'!B:B,' General Stock Summary View  '!$G$2,'PowerApp_Physical count'!C:C,' General Stock Summary View  '!C130,'PowerApp_Physical count'!A:A,' General Stock Summary View  '!B130)</f>
        <v>9.2333333333333325</v>
      </c>
      <c r="I130" s="154">
        <f t="shared" si="16"/>
        <v>0</v>
      </c>
      <c r="J130" s="11">
        <f>SUMIFS('XBS '!T:T,'XBS '!H:H,' General Stock Summary View  '!$J$2,'XBS '!L:L,' General Stock Summary View  '!B130,'XBS '!C:C,' General Stock Summary View  '!C130)</f>
        <v>0</v>
      </c>
      <c r="K130" s="157">
        <f>SUMIFS('PowerApp_Physical count'!H:H,'PowerApp_Physical count'!B:B,' General Stock Summary View  '!$J$2,'PowerApp_Physical count'!C:C,' General Stock Summary View  '!C130,'PowerApp_Physical count'!A:A,' General Stock Summary View  '!B130)</f>
        <v>0</v>
      </c>
      <c r="L130" s="127">
        <f t="shared" si="15"/>
        <v>0</v>
      </c>
      <c r="M130" s="126">
        <f t="shared" si="2"/>
        <v>9.2333333333333325</v>
      </c>
      <c r="N130" s="11">
        <f t="shared" si="3"/>
        <v>9.2333333333333325</v>
      </c>
      <c r="O130" s="144">
        <f t="shared" si="10"/>
        <v>0</v>
      </c>
      <c r="P130" s="2">
        <f>SUMIFS('XBS '!T:T,'XBS '!H:H,' General Stock Summary View  '!$P$2,'XBS '!L:L,' General Stock Summary View  '!B130,'XBS '!C:C,' General Stock Summary View  '!C130)</f>
        <v>0</v>
      </c>
      <c r="Q130" s="3">
        <f>SUMIFS('PowerApp_Physical count'!H:H,'PowerApp_Physical count'!B:B,' General Stock Summary View  '!$P$2,'PowerApp_Physical count'!C:C,' General Stock Summary View  '!C130,'PowerApp_Physical count'!A:A,' General Stock Summary View  '!B130)</f>
        <v>0</v>
      </c>
      <c r="R130" s="4">
        <f t="shared" si="11"/>
        <v>0</v>
      </c>
      <c r="S130" s="5">
        <f>SUMIFS('XBS '!T:T,'XBS '!L:L,' General Stock Summary View  '!B130,'XBS '!H:H,' General Stock Summary View  '!$S$2,'XBS '!C:C,' General Stock Summary View  '!C130)</f>
        <v>0</v>
      </c>
      <c r="T130" s="3">
        <f>SUMIFS('PowerApp_Physical count'!H:H,'PowerApp_Physical count'!B:B,' General Stock Summary View  '!$S$2,'PowerApp_Physical count'!C:C,' General Stock Summary View  '!C130,'PowerApp_Physical count'!A:A,' General Stock Summary View  '!B130)</f>
        <v>0</v>
      </c>
      <c r="U130" s="4">
        <f t="shared" si="4"/>
        <v>0</v>
      </c>
      <c r="V130" s="2">
        <f>SUMIFS('XBS '!T:T,'XBS '!H:H,' General Stock Summary View  '!$V$2,'XBS '!B:B,' General Stock Summary View  '!C130,'XBS '!L:L,' General Stock Summary View  '!B130)</f>
        <v>0</v>
      </c>
      <c r="W130" s="3">
        <f>SUMIFS('PowerApp_Physical count'!H:H,'PowerApp_Physical count'!B:B,' General Stock Summary View  '!$V$2,'PowerApp_Physical count'!C:C,' General Stock Summary View  '!C130,'PowerApp_Physical count'!A:A,' General Stock Summary View  '!B130)</f>
        <v>0</v>
      </c>
      <c r="X130" s="4">
        <f t="shared" si="12"/>
        <v>0</v>
      </c>
      <c r="Y130" s="5">
        <f>SUMIFS('XBS '!T:T,'XBS '!H:H,' General Stock Summary View  '!$Y$2,'XBS '!B:B,' General Stock Summary View  '!C130,'XBS '!L:L,' General Stock Summary View  '!B130)</f>
        <v>0</v>
      </c>
      <c r="Z130" s="3">
        <f>SUMIFS('PowerApp_Physical count'!H:H,'PowerApp_Physical count'!B:B,' General Stock Summary View  '!$Y$2,'PowerApp_Physical count'!C:C,' General Stock Summary View  '!C130,'PowerApp_Physical count'!A:A,' General Stock Summary View  '!B130)</f>
        <v>0</v>
      </c>
      <c r="AA130" s="4">
        <f t="shared" si="13"/>
        <v>0</v>
      </c>
      <c r="AB130" s="5">
        <f>SUMIFS('XBS '!T:T,'XBS '!H:H,' General Stock Summary View  '!$AB$2,'XBS '!B:B,' General Stock Summary View  '!C130,'XBS '!L:L,' General Stock Summary View  '!B130)</f>
        <v>0</v>
      </c>
      <c r="AC130" s="3">
        <f>SUMIFS('PowerApp_Physical count'!H:H,'PowerApp_Physical count'!B:B,' General Stock Summary View  '!$AB$2,'PowerApp_Physical count'!C:C,' General Stock Summary View  '!C130,'PowerApp_Physical count'!A:A,' General Stock Summary View  '!B130)</f>
        <v>0</v>
      </c>
      <c r="AD130" s="6">
        <f t="shared" si="14"/>
        <v>0</v>
      </c>
      <c r="AE130" s="7">
        <f t="shared" si="8"/>
        <v>9.2333333333333325</v>
      </c>
      <c r="AF130" s="8">
        <f t="shared" si="9"/>
        <v>0</v>
      </c>
      <c r="AG130" s="112"/>
    </row>
    <row r="131" spans="2:33" s="113" customFormat="1" ht="61.15">
      <c r="B131" s="117" t="s">
        <v>159</v>
      </c>
      <c r="C131" s="111" t="s">
        <v>154</v>
      </c>
      <c r="D131" s="11">
        <f>SUMIFS('XBS '!T:T,'XBS '!C:C,' General Stock Summary View  '!C131,'XBS '!L:L,' General Stock Summary View  '!B131)</f>
        <v>41.6</v>
      </c>
      <c r="E131" s="2">
        <f>SUMIFS('Blocked for Processing'!P:P,'Blocked for Processing'!I:I,' General Stock Summary View  '!B131,'Blocked for Processing'!C:C,' General Stock Summary View  '!C131)</f>
        <v>0</v>
      </c>
      <c r="F131" s="122">
        <f t="shared" si="0"/>
        <v>41.6</v>
      </c>
      <c r="G131" s="148">
        <f>SUMIFS('XBS '!T:T,'XBS '!H:H,' General Stock Summary View  '!$G$2,'XBS '!L:L,' General Stock Summary View  '!B131,'XBS '!C:C,' General Stock Summary View  '!C131)</f>
        <v>41.6</v>
      </c>
      <c r="H131" s="3">
        <f>SUMIFS('PowerApp_Physical count'!H:H,'PowerApp_Physical count'!B:B,' General Stock Summary View  '!$G$2,'PowerApp_Physical count'!C:C,' General Stock Summary View  '!C131,'PowerApp_Physical count'!A:A,' General Stock Summary View  '!B131)</f>
        <v>42</v>
      </c>
      <c r="I131" s="154">
        <f t="shared" si="16"/>
        <v>0.39999999999999858</v>
      </c>
      <c r="J131" s="11">
        <f>SUMIFS('XBS '!T:T,'XBS '!H:H,' General Stock Summary View  '!$J$2,'XBS '!L:L,' General Stock Summary View  '!B131,'XBS '!C:C,' General Stock Summary View  '!C131)</f>
        <v>0</v>
      </c>
      <c r="K131" s="157">
        <f>SUMIFS('PowerApp_Physical count'!H:H,'PowerApp_Physical count'!B:B,' General Stock Summary View  '!$J$2,'PowerApp_Physical count'!C:C,' General Stock Summary View  '!C131,'PowerApp_Physical count'!A:A,' General Stock Summary View  '!B131)</f>
        <v>0</v>
      </c>
      <c r="L131" s="127">
        <f t="shared" si="15"/>
        <v>0</v>
      </c>
      <c r="M131" s="126">
        <f t="shared" si="2"/>
        <v>41.6</v>
      </c>
      <c r="N131" s="11">
        <f t="shared" si="3"/>
        <v>42</v>
      </c>
      <c r="O131" s="144">
        <f t="shared" si="10"/>
        <v>0.39999999999999858</v>
      </c>
      <c r="P131" s="2">
        <f>SUMIFS('XBS '!T:T,'XBS '!H:H,' General Stock Summary View  '!$P$2,'XBS '!L:L,' General Stock Summary View  '!B131,'XBS '!C:C,' General Stock Summary View  '!C131)</f>
        <v>0</v>
      </c>
      <c r="Q131" s="3">
        <f>SUMIFS('PowerApp_Physical count'!H:H,'PowerApp_Physical count'!B:B,' General Stock Summary View  '!$P$2,'PowerApp_Physical count'!C:C,' General Stock Summary View  '!C131,'PowerApp_Physical count'!A:A,' General Stock Summary View  '!B131)</f>
        <v>0</v>
      </c>
      <c r="R131" s="4">
        <f t="shared" si="11"/>
        <v>0</v>
      </c>
      <c r="S131" s="5">
        <f>SUMIFS('XBS '!T:T,'XBS '!L:L,' General Stock Summary View  '!B131,'XBS '!H:H,' General Stock Summary View  '!$S$2,'XBS '!C:C,' General Stock Summary View  '!C131)</f>
        <v>0</v>
      </c>
      <c r="T131" s="3">
        <f>SUMIFS('PowerApp_Physical count'!H:H,'PowerApp_Physical count'!B:B,' General Stock Summary View  '!$S$2,'PowerApp_Physical count'!C:C,' General Stock Summary View  '!C131,'PowerApp_Physical count'!A:A,' General Stock Summary View  '!B131)</f>
        <v>0</v>
      </c>
      <c r="U131" s="4">
        <f t="shared" si="4"/>
        <v>0</v>
      </c>
      <c r="V131" s="2">
        <f>SUMIFS('XBS '!T:T,'XBS '!H:H,' General Stock Summary View  '!$V$2,'XBS '!B:B,' General Stock Summary View  '!C131,'XBS '!L:L,' General Stock Summary View  '!B131)</f>
        <v>0</v>
      </c>
      <c r="W131" s="3">
        <f>SUMIFS('PowerApp_Physical count'!H:H,'PowerApp_Physical count'!B:B,' General Stock Summary View  '!$V$2,'PowerApp_Physical count'!C:C,' General Stock Summary View  '!C131,'PowerApp_Physical count'!A:A,' General Stock Summary View  '!B131)</f>
        <v>0</v>
      </c>
      <c r="X131" s="4">
        <f t="shared" si="12"/>
        <v>0</v>
      </c>
      <c r="Y131" s="5">
        <f>SUMIFS('XBS '!T:T,'XBS '!H:H,' General Stock Summary View  '!$Y$2,'XBS '!B:B,' General Stock Summary View  '!C131,'XBS '!L:L,' General Stock Summary View  '!B131)</f>
        <v>0</v>
      </c>
      <c r="Z131" s="3">
        <f>SUMIFS('PowerApp_Physical count'!H:H,'PowerApp_Physical count'!B:B,' General Stock Summary View  '!$Y$2,'PowerApp_Physical count'!C:C,' General Stock Summary View  '!C131,'PowerApp_Physical count'!A:A,' General Stock Summary View  '!B131)</f>
        <v>0</v>
      </c>
      <c r="AA131" s="4">
        <f t="shared" si="13"/>
        <v>0</v>
      </c>
      <c r="AB131" s="5">
        <f>SUMIFS('XBS '!T:T,'XBS '!H:H,' General Stock Summary View  '!$AB$2,'XBS '!B:B,' General Stock Summary View  '!C131,'XBS '!L:L,' General Stock Summary View  '!B131)</f>
        <v>0</v>
      </c>
      <c r="AC131" s="3">
        <f>SUMIFS('PowerApp_Physical count'!H:H,'PowerApp_Physical count'!B:B,' General Stock Summary View  '!$AB$2,'PowerApp_Physical count'!C:C,' General Stock Summary View  '!C131,'PowerApp_Physical count'!A:A,' General Stock Summary View  '!B131)</f>
        <v>0</v>
      </c>
      <c r="AD131" s="6">
        <f t="shared" si="14"/>
        <v>0</v>
      </c>
      <c r="AE131" s="7">
        <f t="shared" si="8"/>
        <v>42</v>
      </c>
      <c r="AF131" s="8">
        <f t="shared" si="9"/>
        <v>0.39999999999999858</v>
      </c>
      <c r="AG131" s="112"/>
    </row>
    <row r="132" spans="2:33" s="113" customFormat="1" ht="61.15">
      <c r="B132" s="117" t="s">
        <v>160</v>
      </c>
      <c r="C132" s="111" t="s">
        <v>154</v>
      </c>
      <c r="D132" s="11">
        <f>SUMIFS('XBS '!T:T,'XBS '!C:C,' General Stock Summary View  '!C132,'XBS '!L:L,' General Stock Summary View  '!B132)</f>
        <v>11.116666666666667</v>
      </c>
      <c r="E132" s="2">
        <f>SUMIFS('Blocked for Processing'!P:P,'Blocked for Processing'!I:I,' General Stock Summary View  '!B132,'Blocked for Processing'!C:C,' General Stock Summary View  '!C132)</f>
        <v>0</v>
      </c>
      <c r="F132" s="122">
        <f t="shared" si="0"/>
        <v>11.116666666666667</v>
      </c>
      <c r="G132" s="148">
        <f>SUMIFS('XBS '!T:T,'XBS '!H:H,' General Stock Summary View  '!$G$2,'XBS '!L:L,' General Stock Summary View  '!B132,'XBS '!C:C,' General Stock Summary View  '!C132)</f>
        <v>11.116666666666667</v>
      </c>
      <c r="H132" s="3">
        <f>SUMIFS('PowerApp_Physical count'!H:H,'PowerApp_Physical count'!B:B,' General Stock Summary View  '!$G$2,'PowerApp_Physical count'!C:C,' General Stock Summary View  '!C132,'PowerApp_Physical count'!A:A,' General Stock Summary View  '!B132)</f>
        <v>10.5</v>
      </c>
      <c r="I132" s="154">
        <f t="shared" si="16"/>
        <v>-0.61666666666666714</v>
      </c>
      <c r="J132" s="11">
        <f>SUMIFS('XBS '!T:T,'XBS '!H:H,' General Stock Summary View  '!$J$2,'XBS '!L:L,' General Stock Summary View  '!B132,'XBS '!C:C,' General Stock Summary View  '!C132)</f>
        <v>0</v>
      </c>
      <c r="K132" s="157">
        <f>SUMIFS('PowerApp_Physical count'!H:H,'PowerApp_Physical count'!B:B,' General Stock Summary View  '!$J$2,'PowerApp_Physical count'!C:C,' General Stock Summary View  '!C132,'PowerApp_Physical count'!A:A,' General Stock Summary View  '!B132)</f>
        <v>0</v>
      </c>
      <c r="L132" s="127">
        <f t="shared" si="15"/>
        <v>0</v>
      </c>
      <c r="M132" s="126">
        <f t="shared" si="2"/>
        <v>11.116666666666667</v>
      </c>
      <c r="N132" s="11">
        <f t="shared" si="3"/>
        <v>10.5</v>
      </c>
      <c r="O132" s="144">
        <f t="shared" si="10"/>
        <v>-0.61666666666666714</v>
      </c>
      <c r="P132" s="2">
        <f>SUMIFS('XBS '!T:T,'XBS '!H:H,' General Stock Summary View  '!$P$2,'XBS '!L:L,' General Stock Summary View  '!B132,'XBS '!C:C,' General Stock Summary View  '!C132)</f>
        <v>0</v>
      </c>
      <c r="Q132" s="3">
        <f>SUMIFS('PowerApp_Physical count'!H:H,'PowerApp_Physical count'!B:B,' General Stock Summary View  '!$P$2,'PowerApp_Physical count'!C:C,' General Stock Summary View  '!C132,'PowerApp_Physical count'!A:A,' General Stock Summary View  '!B132)</f>
        <v>0</v>
      </c>
      <c r="R132" s="4">
        <f t="shared" si="11"/>
        <v>0</v>
      </c>
      <c r="S132" s="5">
        <f>SUMIFS('XBS '!T:T,'XBS '!L:L,' General Stock Summary View  '!B132,'XBS '!H:H,' General Stock Summary View  '!$S$2,'XBS '!C:C,' General Stock Summary View  '!C132)</f>
        <v>0</v>
      </c>
      <c r="T132" s="3">
        <f>SUMIFS('PowerApp_Physical count'!H:H,'PowerApp_Physical count'!B:B,' General Stock Summary View  '!$S$2,'PowerApp_Physical count'!C:C,' General Stock Summary View  '!C132,'PowerApp_Physical count'!A:A,' General Stock Summary View  '!B132)</f>
        <v>0</v>
      </c>
      <c r="U132" s="4">
        <f t="shared" si="4"/>
        <v>0</v>
      </c>
      <c r="V132" s="2">
        <f>SUMIFS('XBS '!T:T,'XBS '!H:H,' General Stock Summary View  '!$V$2,'XBS '!B:B,' General Stock Summary View  '!C132,'XBS '!L:L,' General Stock Summary View  '!B132)</f>
        <v>0</v>
      </c>
      <c r="W132" s="3">
        <f>SUMIFS('PowerApp_Physical count'!H:H,'PowerApp_Physical count'!B:B,' General Stock Summary View  '!$V$2,'PowerApp_Physical count'!C:C,' General Stock Summary View  '!C132,'PowerApp_Physical count'!A:A,' General Stock Summary View  '!B132)</f>
        <v>0</v>
      </c>
      <c r="X132" s="4">
        <f t="shared" si="12"/>
        <v>0</v>
      </c>
      <c r="Y132" s="5">
        <f>SUMIFS('XBS '!T:T,'XBS '!H:H,' General Stock Summary View  '!$Y$2,'XBS '!B:B,' General Stock Summary View  '!C132,'XBS '!L:L,' General Stock Summary View  '!B132)</f>
        <v>0</v>
      </c>
      <c r="Z132" s="3">
        <f>SUMIFS('PowerApp_Physical count'!H:H,'PowerApp_Physical count'!B:B,' General Stock Summary View  '!$Y$2,'PowerApp_Physical count'!C:C,' General Stock Summary View  '!C132,'PowerApp_Physical count'!A:A,' General Stock Summary View  '!B132)</f>
        <v>0</v>
      </c>
      <c r="AA132" s="4">
        <f t="shared" si="13"/>
        <v>0</v>
      </c>
      <c r="AB132" s="5">
        <f>SUMIFS('XBS '!T:T,'XBS '!H:H,' General Stock Summary View  '!$AB$2,'XBS '!B:B,' General Stock Summary View  '!C132,'XBS '!L:L,' General Stock Summary View  '!B132)</f>
        <v>0</v>
      </c>
      <c r="AC132" s="3">
        <f>SUMIFS('PowerApp_Physical count'!H:H,'PowerApp_Physical count'!B:B,' General Stock Summary View  '!$AB$2,'PowerApp_Physical count'!C:C,' General Stock Summary View  '!C132,'PowerApp_Physical count'!A:A,' General Stock Summary View  '!B132)</f>
        <v>0</v>
      </c>
      <c r="AD132" s="6">
        <f t="shared" si="14"/>
        <v>0</v>
      </c>
      <c r="AE132" s="7">
        <f t="shared" si="8"/>
        <v>10.5</v>
      </c>
      <c r="AF132" s="8">
        <f t="shared" si="9"/>
        <v>-0.61666666666666714</v>
      </c>
      <c r="AG132" s="112"/>
    </row>
    <row r="133" spans="2:33" s="113" customFormat="1" ht="61.15">
      <c r="B133" s="117" t="s">
        <v>161</v>
      </c>
      <c r="C133" s="111" t="s">
        <v>162</v>
      </c>
      <c r="D133" s="11">
        <f>SUMIFS('XBS '!T:T,'XBS '!C:C,' General Stock Summary View  '!C133,'XBS '!L:L,' General Stock Summary View  '!B133)</f>
        <v>29.8</v>
      </c>
      <c r="E133" s="2">
        <f>SUMIFS('Blocked for Processing'!P:P,'Blocked for Processing'!I:I,' General Stock Summary View  '!B133,'Blocked for Processing'!C:C,' General Stock Summary View  '!C133)</f>
        <v>0</v>
      </c>
      <c r="F133" s="122">
        <f t="shared" si="0"/>
        <v>29.8</v>
      </c>
      <c r="G133" s="148">
        <f>SUMIFS('XBS '!T:T,'XBS '!H:H,' General Stock Summary View  '!$G$2,'XBS '!L:L,' General Stock Summary View  '!B133,'XBS '!C:C,' General Stock Summary View  '!C133)</f>
        <v>29.8</v>
      </c>
      <c r="H133" s="3">
        <f>SUMIFS('PowerApp_Physical count'!H:H,'PowerApp_Physical count'!B:B,' General Stock Summary View  '!$G$2,'PowerApp_Physical count'!C:C,' General Stock Summary View  '!C133,'PowerApp_Physical count'!A:A,' General Stock Summary View  '!B133)</f>
        <v>29.8</v>
      </c>
      <c r="I133" s="154">
        <f t="shared" si="16"/>
        <v>0</v>
      </c>
      <c r="J133" s="11">
        <f>SUMIFS('XBS '!T:T,'XBS '!H:H,' General Stock Summary View  '!$J$2,'XBS '!L:L,' General Stock Summary View  '!B133,'XBS '!C:C,' General Stock Summary View  '!C133)</f>
        <v>0</v>
      </c>
      <c r="K133" s="157">
        <f>SUMIFS('PowerApp_Physical count'!H:H,'PowerApp_Physical count'!B:B,' General Stock Summary View  '!$J$2,'PowerApp_Physical count'!C:C,' General Stock Summary View  '!C133,'PowerApp_Physical count'!A:A,' General Stock Summary View  '!B133)</f>
        <v>0</v>
      </c>
      <c r="L133" s="127">
        <f t="shared" si="15"/>
        <v>0</v>
      </c>
      <c r="M133" s="126">
        <f t="shared" si="2"/>
        <v>29.8</v>
      </c>
      <c r="N133" s="11">
        <f t="shared" si="3"/>
        <v>29.8</v>
      </c>
      <c r="O133" s="144">
        <f t="shared" si="10"/>
        <v>0</v>
      </c>
      <c r="P133" s="2">
        <f>SUMIFS('XBS '!T:T,'XBS '!H:H,' General Stock Summary View  '!$P$2,'XBS '!L:L,' General Stock Summary View  '!B133,'XBS '!C:C,' General Stock Summary View  '!C133)</f>
        <v>0</v>
      </c>
      <c r="Q133" s="3">
        <f>SUMIFS('PowerApp_Physical count'!H:H,'PowerApp_Physical count'!B:B,' General Stock Summary View  '!$P$2,'PowerApp_Physical count'!C:C,' General Stock Summary View  '!C133,'PowerApp_Physical count'!A:A,' General Stock Summary View  '!B133)</f>
        <v>0</v>
      </c>
      <c r="R133" s="4">
        <f t="shared" si="11"/>
        <v>0</v>
      </c>
      <c r="S133" s="5">
        <f>SUMIFS('XBS '!T:T,'XBS '!L:L,' General Stock Summary View  '!B133,'XBS '!H:H,' General Stock Summary View  '!$S$2,'XBS '!C:C,' General Stock Summary View  '!C133)</f>
        <v>0</v>
      </c>
      <c r="T133" s="3">
        <f>SUMIFS('PowerApp_Physical count'!H:H,'PowerApp_Physical count'!B:B,' General Stock Summary View  '!$S$2,'PowerApp_Physical count'!C:C,' General Stock Summary View  '!C133,'PowerApp_Physical count'!A:A,' General Stock Summary View  '!B133)</f>
        <v>0</v>
      </c>
      <c r="U133" s="4">
        <f t="shared" si="4"/>
        <v>0</v>
      </c>
      <c r="V133" s="2">
        <f>SUMIFS('XBS '!T:T,'XBS '!H:H,' General Stock Summary View  '!$V$2,'XBS '!B:B,' General Stock Summary View  '!C133,'XBS '!L:L,' General Stock Summary View  '!B133)</f>
        <v>0</v>
      </c>
      <c r="W133" s="3">
        <f>SUMIFS('PowerApp_Physical count'!H:H,'PowerApp_Physical count'!B:B,' General Stock Summary View  '!$V$2,'PowerApp_Physical count'!C:C,' General Stock Summary View  '!C133,'PowerApp_Physical count'!A:A,' General Stock Summary View  '!B133)</f>
        <v>0</v>
      </c>
      <c r="X133" s="4">
        <f t="shared" si="12"/>
        <v>0</v>
      </c>
      <c r="Y133" s="5">
        <f>SUMIFS('XBS '!T:T,'XBS '!H:H,' General Stock Summary View  '!$Y$2,'XBS '!B:B,' General Stock Summary View  '!C133,'XBS '!L:L,' General Stock Summary View  '!B133)</f>
        <v>0</v>
      </c>
      <c r="Z133" s="3">
        <f>SUMIFS('PowerApp_Physical count'!H:H,'PowerApp_Physical count'!B:B,' General Stock Summary View  '!$Y$2,'PowerApp_Physical count'!C:C,' General Stock Summary View  '!C133,'PowerApp_Physical count'!A:A,' General Stock Summary View  '!B133)</f>
        <v>0</v>
      </c>
      <c r="AA133" s="4">
        <f t="shared" si="13"/>
        <v>0</v>
      </c>
      <c r="AB133" s="5">
        <f>SUMIFS('XBS '!T:T,'XBS '!H:H,' General Stock Summary View  '!$AB$2,'XBS '!B:B,' General Stock Summary View  '!C133,'XBS '!L:L,' General Stock Summary View  '!B133)</f>
        <v>0</v>
      </c>
      <c r="AC133" s="3">
        <f>SUMIFS('PowerApp_Physical count'!H:H,'PowerApp_Physical count'!B:B,' General Stock Summary View  '!$AB$2,'PowerApp_Physical count'!C:C,' General Stock Summary View  '!C133,'PowerApp_Physical count'!A:A,' General Stock Summary View  '!B133)</f>
        <v>0</v>
      </c>
      <c r="AD133" s="6">
        <f t="shared" si="14"/>
        <v>0</v>
      </c>
      <c r="AE133" s="7">
        <f t="shared" si="8"/>
        <v>29.8</v>
      </c>
      <c r="AF133" s="8">
        <f t="shared" si="9"/>
        <v>0</v>
      </c>
      <c r="AG133" s="112"/>
    </row>
    <row r="134" spans="2:33" s="113" customFormat="1" ht="61.15">
      <c r="B134" s="117" t="s">
        <v>163</v>
      </c>
      <c r="C134" s="111" t="s">
        <v>162</v>
      </c>
      <c r="D134" s="11">
        <f>SUMIFS('XBS '!T:T,'XBS '!C:C,' General Stock Summary View  '!C134,'XBS '!L:L,' General Stock Summary View  '!B134)</f>
        <v>0.18333333333333332</v>
      </c>
      <c r="E134" s="2">
        <f>SUMIFS('Blocked for Processing'!P:P,'Blocked for Processing'!I:I,' General Stock Summary View  '!B134,'Blocked for Processing'!C:C,' General Stock Summary View  '!C134)</f>
        <v>0</v>
      </c>
      <c r="F134" s="122">
        <f t="shared" si="0"/>
        <v>0.18333333333333332</v>
      </c>
      <c r="G134" s="148">
        <f>SUMIFS('XBS '!T:T,'XBS '!H:H,' General Stock Summary View  '!$G$2,'XBS '!L:L,' General Stock Summary View  '!B134,'XBS '!C:C,' General Stock Summary View  '!C134)</f>
        <v>0.18333333333333332</v>
      </c>
      <c r="H134" s="3">
        <f>SUMIFS('PowerApp_Physical count'!H:H,'PowerApp_Physical count'!B:B,' General Stock Summary View  '!$G$2,'PowerApp_Physical count'!C:C,' General Stock Summary View  '!C134,'PowerApp_Physical count'!A:A,' General Stock Summary View  '!B134)</f>
        <v>0.18333333333333332</v>
      </c>
      <c r="I134" s="154">
        <f t="shared" si="16"/>
        <v>0</v>
      </c>
      <c r="J134" s="11">
        <f>SUMIFS('XBS '!T:T,'XBS '!H:H,' General Stock Summary View  '!$J$2,'XBS '!L:L,' General Stock Summary View  '!B134,'XBS '!C:C,' General Stock Summary View  '!C134)</f>
        <v>0</v>
      </c>
      <c r="K134" s="157">
        <f>SUMIFS('PowerApp_Physical count'!H:H,'PowerApp_Physical count'!B:B,' General Stock Summary View  '!$J$2,'PowerApp_Physical count'!C:C,' General Stock Summary View  '!C134,'PowerApp_Physical count'!A:A,' General Stock Summary View  '!B134)</f>
        <v>0</v>
      </c>
      <c r="L134" s="127">
        <f t="shared" si="15"/>
        <v>0</v>
      </c>
      <c r="M134" s="126">
        <f t="shared" si="2"/>
        <v>0.18333333333333332</v>
      </c>
      <c r="N134" s="11">
        <f t="shared" si="3"/>
        <v>0.18333333333333332</v>
      </c>
      <c r="O134" s="144">
        <f t="shared" si="10"/>
        <v>0</v>
      </c>
      <c r="P134" s="2">
        <f>SUMIFS('XBS '!T:T,'XBS '!H:H,' General Stock Summary View  '!$P$2,'XBS '!L:L,' General Stock Summary View  '!B134,'XBS '!C:C,' General Stock Summary View  '!C134)</f>
        <v>0</v>
      </c>
      <c r="Q134" s="3">
        <f>SUMIFS('PowerApp_Physical count'!H:H,'PowerApp_Physical count'!B:B,' General Stock Summary View  '!$P$2,'PowerApp_Physical count'!C:C,' General Stock Summary View  '!C134,'PowerApp_Physical count'!A:A,' General Stock Summary View  '!B134)</f>
        <v>0</v>
      </c>
      <c r="R134" s="4">
        <f t="shared" si="11"/>
        <v>0</v>
      </c>
      <c r="S134" s="5">
        <f>SUMIFS('XBS '!T:T,'XBS '!L:L,' General Stock Summary View  '!B134,'XBS '!H:H,' General Stock Summary View  '!$S$2,'XBS '!C:C,' General Stock Summary View  '!C134)</f>
        <v>0</v>
      </c>
      <c r="T134" s="3">
        <f>SUMIFS('PowerApp_Physical count'!H:H,'PowerApp_Physical count'!B:B,' General Stock Summary View  '!$S$2,'PowerApp_Physical count'!C:C,' General Stock Summary View  '!C134,'PowerApp_Physical count'!A:A,' General Stock Summary View  '!B134)</f>
        <v>0</v>
      </c>
      <c r="U134" s="4">
        <f t="shared" si="4"/>
        <v>0</v>
      </c>
      <c r="V134" s="2">
        <f>SUMIFS('XBS '!T:T,'XBS '!H:H,' General Stock Summary View  '!$V$2,'XBS '!B:B,' General Stock Summary View  '!C134,'XBS '!L:L,' General Stock Summary View  '!B134)</f>
        <v>0</v>
      </c>
      <c r="W134" s="3">
        <f>SUMIFS('PowerApp_Physical count'!H:H,'PowerApp_Physical count'!B:B,' General Stock Summary View  '!$V$2,'PowerApp_Physical count'!C:C,' General Stock Summary View  '!C134,'PowerApp_Physical count'!A:A,' General Stock Summary View  '!B134)</f>
        <v>0</v>
      </c>
      <c r="X134" s="4">
        <f t="shared" si="12"/>
        <v>0</v>
      </c>
      <c r="Y134" s="5">
        <f>SUMIFS('XBS '!T:T,'XBS '!H:H,' General Stock Summary View  '!$Y$2,'XBS '!B:B,' General Stock Summary View  '!C134,'XBS '!L:L,' General Stock Summary View  '!B134)</f>
        <v>0</v>
      </c>
      <c r="Z134" s="3">
        <f>SUMIFS('PowerApp_Physical count'!H:H,'PowerApp_Physical count'!B:B,' General Stock Summary View  '!$Y$2,'PowerApp_Physical count'!C:C,' General Stock Summary View  '!C134,'PowerApp_Physical count'!A:A,' General Stock Summary View  '!B134)</f>
        <v>0</v>
      </c>
      <c r="AA134" s="4">
        <f t="shared" si="13"/>
        <v>0</v>
      </c>
      <c r="AB134" s="5">
        <f>SUMIFS('XBS '!T:T,'XBS '!H:H,' General Stock Summary View  '!$AB$2,'XBS '!B:B,' General Stock Summary View  '!C134,'XBS '!L:L,' General Stock Summary View  '!B134)</f>
        <v>0</v>
      </c>
      <c r="AC134" s="3">
        <f>SUMIFS('PowerApp_Physical count'!H:H,'PowerApp_Physical count'!B:B,' General Stock Summary View  '!$AB$2,'PowerApp_Physical count'!C:C,' General Stock Summary View  '!C134,'PowerApp_Physical count'!A:A,' General Stock Summary View  '!B134)</f>
        <v>0</v>
      </c>
      <c r="AD134" s="6">
        <f t="shared" si="14"/>
        <v>0</v>
      </c>
      <c r="AE134" s="7">
        <f t="shared" si="8"/>
        <v>0.18333333333333332</v>
      </c>
      <c r="AF134" s="8">
        <f t="shared" si="9"/>
        <v>0</v>
      </c>
      <c r="AG134" s="112"/>
    </row>
    <row r="135" spans="2:33" s="113" customFormat="1" ht="61.15">
      <c r="B135" s="117" t="s">
        <v>164</v>
      </c>
      <c r="C135" s="111" t="s">
        <v>162</v>
      </c>
      <c r="D135" s="11">
        <f>SUMIFS('XBS '!T:T,'XBS '!C:C,' General Stock Summary View  '!C135,'XBS '!L:L,' General Stock Summary View  '!B135)</f>
        <v>1.2833333333333334</v>
      </c>
      <c r="E135" s="2">
        <f>SUMIFS('Blocked for Processing'!P:P,'Blocked for Processing'!I:I,' General Stock Summary View  '!B135,'Blocked for Processing'!C:C,' General Stock Summary View  '!C135)</f>
        <v>0</v>
      </c>
      <c r="F135" s="122">
        <f t="shared" si="0"/>
        <v>1.2833333333333334</v>
      </c>
      <c r="G135" s="148">
        <f>SUMIFS('XBS '!T:T,'XBS '!H:H,' General Stock Summary View  '!$G$2,'XBS '!L:L,' General Stock Summary View  '!B135,'XBS '!C:C,' General Stock Summary View  '!C135)</f>
        <v>1.2833333333333334</v>
      </c>
      <c r="H135" s="3">
        <f>SUMIFS('PowerApp_Physical count'!H:H,'PowerApp_Physical count'!B:B,' General Stock Summary View  '!$G$2,'PowerApp_Physical count'!C:C,' General Stock Summary View  '!C135,'PowerApp_Physical count'!A:A,' General Stock Summary View  '!B135)</f>
        <v>1.2833333333333334</v>
      </c>
      <c r="I135" s="154">
        <f t="shared" si="16"/>
        <v>0</v>
      </c>
      <c r="J135" s="11">
        <f>SUMIFS('XBS '!T:T,'XBS '!H:H,' General Stock Summary View  '!$J$2,'XBS '!L:L,' General Stock Summary View  '!B135,'XBS '!C:C,' General Stock Summary View  '!C135)</f>
        <v>0</v>
      </c>
      <c r="K135" s="157">
        <f>SUMIFS('PowerApp_Physical count'!H:H,'PowerApp_Physical count'!B:B,' General Stock Summary View  '!$J$2,'PowerApp_Physical count'!C:C,' General Stock Summary View  '!C135,'PowerApp_Physical count'!A:A,' General Stock Summary View  '!B135)</f>
        <v>0</v>
      </c>
      <c r="L135" s="127">
        <f t="shared" si="15"/>
        <v>0</v>
      </c>
      <c r="M135" s="126">
        <f t="shared" si="2"/>
        <v>1.2833333333333334</v>
      </c>
      <c r="N135" s="11">
        <f t="shared" si="3"/>
        <v>1.2833333333333334</v>
      </c>
      <c r="O135" s="144">
        <f t="shared" si="10"/>
        <v>0</v>
      </c>
      <c r="P135" s="2">
        <f>SUMIFS('XBS '!T:T,'XBS '!H:H,' General Stock Summary View  '!$P$2,'XBS '!L:L,' General Stock Summary View  '!B135,'XBS '!C:C,' General Stock Summary View  '!C135)</f>
        <v>0</v>
      </c>
      <c r="Q135" s="3">
        <f>SUMIFS('PowerApp_Physical count'!H:H,'PowerApp_Physical count'!B:B,' General Stock Summary View  '!$P$2,'PowerApp_Physical count'!C:C,' General Stock Summary View  '!C135,'PowerApp_Physical count'!A:A,' General Stock Summary View  '!B135)</f>
        <v>0</v>
      </c>
      <c r="R135" s="4">
        <f t="shared" si="11"/>
        <v>0</v>
      </c>
      <c r="S135" s="5">
        <f>SUMIFS('XBS '!T:T,'XBS '!L:L,' General Stock Summary View  '!B135,'XBS '!H:H,' General Stock Summary View  '!$S$2,'XBS '!C:C,' General Stock Summary View  '!C135)</f>
        <v>0</v>
      </c>
      <c r="T135" s="3">
        <f>SUMIFS('PowerApp_Physical count'!H:H,'PowerApp_Physical count'!B:B,' General Stock Summary View  '!$S$2,'PowerApp_Physical count'!C:C,' General Stock Summary View  '!C135,'PowerApp_Physical count'!A:A,' General Stock Summary View  '!B135)</f>
        <v>0</v>
      </c>
      <c r="U135" s="4">
        <f t="shared" si="4"/>
        <v>0</v>
      </c>
      <c r="V135" s="2">
        <f>SUMIFS('XBS '!T:T,'XBS '!H:H,' General Stock Summary View  '!$V$2,'XBS '!B:B,' General Stock Summary View  '!C135,'XBS '!L:L,' General Stock Summary View  '!B135)</f>
        <v>0</v>
      </c>
      <c r="W135" s="3">
        <f>SUMIFS('PowerApp_Physical count'!H:H,'PowerApp_Physical count'!B:B,' General Stock Summary View  '!$V$2,'PowerApp_Physical count'!C:C,' General Stock Summary View  '!C135,'PowerApp_Physical count'!A:A,' General Stock Summary View  '!B135)</f>
        <v>0</v>
      </c>
      <c r="X135" s="4">
        <f t="shared" si="12"/>
        <v>0</v>
      </c>
      <c r="Y135" s="5">
        <f>SUMIFS('XBS '!T:T,'XBS '!H:H,' General Stock Summary View  '!$Y$2,'XBS '!B:B,' General Stock Summary View  '!C135,'XBS '!L:L,' General Stock Summary View  '!B135)</f>
        <v>0</v>
      </c>
      <c r="Z135" s="3">
        <f>SUMIFS('PowerApp_Physical count'!H:H,'PowerApp_Physical count'!B:B,' General Stock Summary View  '!$Y$2,'PowerApp_Physical count'!C:C,' General Stock Summary View  '!C135,'PowerApp_Physical count'!A:A,' General Stock Summary View  '!B135)</f>
        <v>0</v>
      </c>
      <c r="AA135" s="4">
        <f t="shared" si="13"/>
        <v>0</v>
      </c>
      <c r="AB135" s="5">
        <f>SUMIFS('XBS '!T:T,'XBS '!H:H,' General Stock Summary View  '!$AB$2,'XBS '!B:B,' General Stock Summary View  '!C135,'XBS '!L:L,' General Stock Summary View  '!B135)</f>
        <v>0</v>
      </c>
      <c r="AC135" s="3">
        <f>SUMIFS('PowerApp_Physical count'!H:H,'PowerApp_Physical count'!B:B,' General Stock Summary View  '!$AB$2,'PowerApp_Physical count'!C:C,' General Stock Summary View  '!C135,'PowerApp_Physical count'!A:A,' General Stock Summary View  '!B135)</f>
        <v>0</v>
      </c>
      <c r="AD135" s="6">
        <f t="shared" si="14"/>
        <v>0</v>
      </c>
      <c r="AE135" s="7">
        <f t="shared" si="8"/>
        <v>1.2833333333333334</v>
      </c>
      <c r="AF135" s="8">
        <f t="shared" si="9"/>
        <v>0</v>
      </c>
      <c r="AG135" s="112"/>
    </row>
    <row r="136" spans="2:33" s="113" customFormat="1" ht="61.15">
      <c r="B136" s="117" t="s">
        <v>165</v>
      </c>
      <c r="C136" s="111" t="s">
        <v>162</v>
      </c>
      <c r="D136" s="11">
        <f>SUMIFS('XBS '!T:T,'XBS '!C:C,' General Stock Summary View  '!C136,'XBS '!L:L,' General Stock Summary View  '!B136)</f>
        <v>194.66666666666666</v>
      </c>
      <c r="E136" s="2">
        <f>SUMIFS('Blocked for Processing'!P:P,'Blocked for Processing'!I:I,' General Stock Summary View  '!B136,'Blocked for Processing'!C:C,' General Stock Summary View  '!C136)</f>
        <v>0</v>
      </c>
      <c r="F136" s="122">
        <f t="shared" si="0"/>
        <v>194.66666666666666</v>
      </c>
      <c r="G136" s="148">
        <f>SUMIFS('XBS '!T:T,'XBS '!H:H,' General Stock Summary View  '!$G$2,'XBS '!L:L,' General Stock Summary View  '!B136,'XBS '!C:C,' General Stock Summary View  '!C136)</f>
        <v>194.66666666666666</v>
      </c>
      <c r="H136" s="3">
        <f>SUMIFS('PowerApp_Physical count'!H:H,'PowerApp_Physical count'!B:B,' General Stock Summary View  '!$G$2,'PowerApp_Physical count'!C:C,' General Stock Summary View  '!C136,'PowerApp_Physical count'!A:A,' General Stock Summary View  '!B136)</f>
        <v>194.66666666666666</v>
      </c>
      <c r="I136" s="154">
        <f t="shared" si="16"/>
        <v>0</v>
      </c>
      <c r="J136" s="11">
        <f>SUMIFS('XBS '!T:T,'XBS '!H:H,' General Stock Summary View  '!$J$2,'XBS '!L:L,' General Stock Summary View  '!B136,'XBS '!C:C,' General Stock Summary View  '!C136)</f>
        <v>0</v>
      </c>
      <c r="K136" s="157">
        <f>SUMIFS('PowerApp_Physical count'!H:H,'PowerApp_Physical count'!B:B,' General Stock Summary View  '!$J$2,'PowerApp_Physical count'!C:C,' General Stock Summary View  '!C136,'PowerApp_Physical count'!A:A,' General Stock Summary View  '!B136)</f>
        <v>0</v>
      </c>
      <c r="L136" s="127">
        <f t="shared" si="15"/>
        <v>0</v>
      </c>
      <c r="M136" s="126">
        <f t="shared" si="2"/>
        <v>194.66666666666666</v>
      </c>
      <c r="N136" s="11">
        <f t="shared" si="3"/>
        <v>194.66666666666666</v>
      </c>
      <c r="O136" s="144">
        <f t="shared" si="10"/>
        <v>0</v>
      </c>
      <c r="P136" s="2">
        <f>SUMIFS('XBS '!T:T,'XBS '!H:H,' General Stock Summary View  '!$P$2,'XBS '!L:L,' General Stock Summary View  '!B136,'XBS '!C:C,' General Stock Summary View  '!C136)</f>
        <v>0</v>
      </c>
      <c r="Q136" s="3">
        <f>SUMIFS('PowerApp_Physical count'!H:H,'PowerApp_Physical count'!B:B,' General Stock Summary View  '!$P$2,'PowerApp_Physical count'!C:C,' General Stock Summary View  '!C136,'PowerApp_Physical count'!A:A,' General Stock Summary View  '!B136)</f>
        <v>0</v>
      </c>
      <c r="R136" s="4">
        <f t="shared" si="11"/>
        <v>0</v>
      </c>
      <c r="S136" s="5">
        <f>SUMIFS('XBS '!T:T,'XBS '!L:L,' General Stock Summary View  '!B136,'XBS '!H:H,' General Stock Summary View  '!$S$2,'XBS '!C:C,' General Stock Summary View  '!C136)</f>
        <v>0</v>
      </c>
      <c r="T136" s="3">
        <f>SUMIFS('PowerApp_Physical count'!H:H,'PowerApp_Physical count'!B:B,' General Stock Summary View  '!$S$2,'PowerApp_Physical count'!C:C,' General Stock Summary View  '!C136,'PowerApp_Physical count'!A:A,' General Stock Summary View  '!B136)</f>
        <v>0</v>
      </c>
      <c r="U136" s="4">
        <f t="shared" si="4"/>
        <v>0</v>
      </c>
      <c r="V136" s="2">
        <f>SUMIFS('XBS '!T:T,'XBS '!H:H,' General Stock Summary View  '!$V$2,'XBS '!B:B,' General Stock Summary View  '!C136,'XBS '!L:L,' General Stock Summary View  '!B136)</f>
        <v>0</v>
      </c>
      <c r="W136" s="3">
        <f>SUMIFS('PowerApp_Physical count'!H:H,'PowerApp_Physical count'!B:B,' General Stock Summary View  '!$V$2,'PowerApp_Physical count'!C:C,' General Stock Summary View  '!C136,'PowerApp_Physical count'!A:A,' General Stock Summary View  '!B136)</f>
        <v>0</v>
      </c>
      <c r="X136" s="4">
        <f t="shared" si="12"/>
        <v>0</v>
      </c>
      <c r="Y136" s="5">
        <f>SUMIFS('XBS '!T:T,'XBS '!H:H,' General Stock Summary View  '!$Y$2,'XBS '!B:B,' General Stock Summary View  '!C136,'XBS '!L:L,' General Stock Summary View  '!B136)</f>
        <v>0</v>
      </c>
      <c r="Z136" s="3">
        <f>SUMIFS('PowerApp_Physical count'!H:H,'PowerApp_Physical count'!B:B,' General Stock Summary View  '!$Y$2,'PowerApp_Physical count'!C:C,' General Stock Summary View  '!C136,'PowerApp_Physical count'!A:A,' General Stock Summary View  '!B136)</f>
        <v>0</v>
      </c>
      <c r="AA136" s="4">
        <f t="shared" si="13"/>
        <v>0</v>
      </c>
      <c r="AB136" s="5">
        <f>SUMIFS('XBS '!T:T,'XBS '!H:H,' General Stock Summary View  '!$AB$2,'XBS '!B:B,' General Stock Summary View  '!C136,'XBS '!L:L,' General Stock Summary View  '!B136)</f>
        <v>0</v>
      </c>
      <c r="AC136" s="3">
        <f>SUMIFS('PowerApp_Physical count'!H:H,'PowerApp_Physical count'!B:B,' General Stock Summary View  '!$AB$2,'PowerApp_Physical count'!C:C,' General Stock Summary View  '!C136,'PowerApp_Physical count'!A:A,' General Stock Summary View  '!B136)</f>
        <v>0</v>
      </c>
      <c r="AD136" s="6">
        <f t="shared" si="14"/>
        <v>0</v>
      </c>
      <c r="AE136" s="7">
        <f t="shared" si="8"/>
        <v>194.66666666666666</v>
      </c>
      <c r="AF136" s="8">
        <f t="shared" si="9"/>
        <v>0</v>
      </c>
      <c r="AG136" s="112"/>
    </row>
    <row r="137" spans="2:33" s="113" customFormat="1" ht="61.15">
      <c r="B137" s="117" t="s">
        <v>166</v>
      </c>
      <c r="C137" s="111" t="s">
        <v>162</v>
      </c>
      <c r="D137" s="11">
        <f>SUMIFS('XBS '!T:T,'XBS '!C:C,' General Stock Summary View  '!C137,'XBS '!L:L,' General Stock Summary View  '!B137)</f>
        <v>2.9666666666666668</v>
      </c>
      <c r="E137" s="2">
        <f>SUMIFS('Blocked for Processing'!P:P,'Blocked for Processing'!I:I,' General Stock Summary View  '!B137,'Blocked for Processing'!C:C,' General Stock Summary View  '!C137)</f>
        <v>0</v>
      </c>
      <c r="F137" s="122">
        <f t="shared" si="0"/>
        <v>2.9666666666666668</v>
      </c>
      <c r="G137" s="148">
        <f>SUMIFS('XBS '!T:T,'XBS '!H:H,' General Stock Summary View  '!$G$2,'XBS '!L:L,' General Stock Summary View  '!B137,'XBS '!C:C,' General Stock Summary View  '!C137)</f>
        <v>2.9666666666666668</v>
      </c>
      <c r="H137" s="3">
        <f>SUMIFS('PowerApp_Physical count'!H:H,'PowerApp_Physical count'!B:B,' General Stock Summary View  '!$G$2,'PowerApp_Physical count'!C:C,' General Stock Summary View  '!C137,'PowerApp_Physical count'!A:A,' General Stock Summary View  '!B137)</f>
        <v>2.9666666666666668</v>
      </c>
      <c r="I137" s="154">
        <f t="shared" si="16"/>
        <v>0</v>
      </c>
      <c r="J137" s="11">
        <f>SUMIFS('XBS '!T:T,'XBS '!H:H,' General Stock Summary View  '!$J$2,'XBS '!L:L,' General Stock Summary View  '!B137,'XBS '!C:C,' General Stock Summary View  '!C137)</f>
        <v>0</v>
      </c>
      <c r="K137" s="157">
        <f>SUMIFS('PowerApp_Physical count'!H:H,'PowerApp_Physical count'!B:B,' General Stock Summary View  '!$J$2,'PowerApp_Physical count'!C:C,' General Stock Summary View  '!C137,'PowerApp_Physical count'!A:A,' General Stock Summary View  '!B137)</f>
        <v>0</v>
      </c>
      <c r="L137" s="127">
        <f t="shared" si="15"/>
        <v>0</v>
      </c>
      <c r="M137" s="126">
        <f t="shared" si="2"/>
        <v>2.9666666666666668</v>
      </c>
      <c r="N137" s="11">
        <f t="shared" si="3"/>
        <v>2.9666666666666668</v>
      </c>
      <c r="O137" s="144">
        <f t="shared" si="10"/>
        <v>0</v>
      </c>
      <c r="P137" s="2">
        <f>SUMIFS('XBS '!T:T,'XBS '!H:H,' General Stock Summary View  '!$P$2,'XBS '!L:L,' General Stock Summary View  '!B137,'XBS '!C:C,' General Stock Summary View  '!C137)</f>
        <v>0</v>
      </c>
      <c r="Q137" s="3">
        <f>SUMIFS('PowerApp_Physical count'!H:H,'PowerApp_Physical count'!B:B,' General Stock Summary View  '!$P$2,'PowerApp_Physical count'!C:C,' General Stock Summary View  '!C137,'PowerApp_Physical count'!A:A,' General Stock Summary View  '!B137)</f>
        <v>0</v>
      </c>
      <c r="R137" s="4">
        <f t="shared" si="11"/>
        <v>0</v>
      </c>
      <c r="S137" s="5">
        <f>SUMIFS('XBS '!T:T,'XBS '!L:L,' General Stock Summary View  '!B137,'XBS '!H:H,' General Stock Summary View  '!$S$2,'XBS '!C:C,' General Stock Summary View  '!C137)</f>
        <v>0</v>
      </c>
      <c r="T137" s="3">
        <f>SUMIFS('PowerApp_Physical count'!H:H,'PowerApp_Physical count'!B:B,' General Stock Summary View  '!$S$2,'PowerApp_Physical count'!C:C,' General Stock Summary View  '!C137,'PowerApp_Physical count'!A:A,' General Stock Summary View  '!B137)</f>
        <v>0</v>
      </c>
      <c r="U137" s="4">
        <f t="shared" si="4"/>
        <v>0</v>
      </c>
      <c r="V137" s="2">
        <f>SUMIFS('XBS '!T:T,'XBS '!H:H,' General Stock Summary View  '!$V$2,'XBS '!B:B,' General Stock Summary View  '!C137,'XBS '!L:L,' General Stock Summary View  '!B137)</f>
        <v>0</v>
      </c>
      <c r="W137" s="3">
        <f>SUMIFS('PowerApp_Physical count'!H:H,'PowerApp_Physical count'!B:B,' General Stock Summary View  '!$V$2,'PowerApp_Physical count'!C:C,' General Stock Summary View  '!C137,'PowerApp_Physical count'!A:A,' General Stock Summary View  '!B137)</f>
        <v>0</v>
      </c>
      <c r="X137" s="4">
        <f t="shared" si="12"/>
        <v>0</v>
      </c>
      <c r="Y137" s="5">
        <f>SUMIFS('XBS '!T:T,'XBS '!H:H,' General Stock Summary View  '!$Y$2,'XBS '!B:B,' General Stock Summary View  '!C137,'XBS '!L:L,' General Stock Summary View  '!B137)</f>
        <v>0</v>
      </c>
      <c r="Z137" s="3">
        <f>SUMIFS('PowerApp_Physical count'!H:H,'PowerApp_Physical count'!B:B,' General Stock Summary View  '!$Y$2,'PowerApp_Physical count'!C:C,' General Stock Summary View  '!C137,'PowerApp_Physical count'!A:A,' General Stock Summary View  '!B137)</f>
        <v>0</v>
      </c>
      <c r="AA137" s="4">
        <f t="shared" si="13"/>
        <v>0</v>
      </c>
      <c r="AB137" s="5">
        <f>SUMIFS('XBS '!T:T,'XBS '!H:H,' General Stock Summary View  '!$AB$2,'XBS '!B:B,' General Stock Summary View  '!C137,'XBS '!L:L,' General Stock Summary View  '!B137)</f>
        <v>0</v>
      </c>
      <c r="AC137" s="3">
        <f>SUMIFS('PowerApp_Physical count'!H:H,'PowerApp_Physical count'!B:B,' General Stock Summary View  '!$AB$2,'PowerApp_Physical count'!C:C,' General Stock Summary View  '!C137,'PowerApp_Physical count'!A:A,' General Stock Summary View  '!B137)</f>
        <v>0</v>
      </c>
      <c r="AD137" s="6">
        <f t="shared" si="14"/>
        <v>0</v>
      </c>
      <c r="AE137" s="7">
        <f t="shared" si="8"/>
        <v>2.9666666666666668</v>
      </c>
      <c r="AF137" s="8">
        <f t="shared" si="9"/>
        <v>0</v>
      </c>
      <c r="AG137" s="112"/>
    </row>
    <row r="138" spans="2:33" s="113" customFormat="1" ht="61.15">
      <c r="B138" s="117" t="s">
        <v>167</v>
      </c>
      <c r="C138" s="111" t="s">
        <v>162</v>
      </c>
      <c r="D138" s="11">
        <f>SUMIFS('XBS '!T:T,'XBS '!C:C,' General Stock Summary View  '!C138,'XBS '!L:L,' General Stock Summary View  '!B138)</f>
        <v>0.71666666666666667</v>
      </c>
      <c r="E138" s="2">
        <f>SUMIFS('Blocked for Processing'!P:P,'Blocked for Processing'!I:I,' General Stock Summary View  '!B138,'Blocked for Processing'!C:C,' General Stock Summary View  '!C138)</f>
        <v>0</v>
      </c>
      <c r="F138" s="122">
        <f t="shared" si="0"/>
        <v>0.71666666666666667</v>
      </c>
      <c r="G138" s="148">
        <f>SUMIFS('XBS '!T:T,'XBS '!H:H,' General Stock Summary View  '!$G$2,'XBS '!L:L,' General Stock Summary View  '!B138,'XBS '!C:C,' General Stock Summary View  '!C138)</f>
        <v>0.71666666666666667</v>
      </c>
      <c r="H138" s="3">
        <f>SUMIFS('PowerApp_Physical count'!H:H,'PowerApp_Physical count'!B:B,' General Stock Summary View  '!$G$2,'PowerApp_Physical count'!C:C,' General Stock Summary View  '!C138,'PowerApp_Physical count'!A:A,' General Stock Summary View  '!B138)</f>
        <v>0.71666666666666667</v>
      </c>
      <c r="I138" s="154">
        <f t="shared" si="16"/>
        <v>0</v>
      </c>
      <c r="J138" s="11">
        <f>SUMIFS('XBS '!T:T,'XBS '!H:H,' General Stock Summary View  '!$J$2,'XBS '!L:L,' General Stock Summary View  '!B138,'XBS '!C:C,' General Stock Summary View  '!C138)</f>
        <v>0</v>
      </c>
      <c r="K138" s="157">
        <f>SUMIFS('PowerApp_Physical count'!H:H,'PowerApp_Physical count'!B:B,' General Stock Summary View  '!$J$2,'PowerApp_Physical count'!C:C,' General Stock Summary View  '!C138,'PowerApp_Physical count'!A:A,' General Stock Summary View  '!B138)</f>
        <v>0</v>
      </c>
      <c r="L138" s="127">
        <f t="shared" si="15"/>
        <v>0</v>
      </c>
      <c r="M138" s="126">
        <f t="shared" si="2"/>
        <v>0.71666666666666667</v>
      </c>
      <c r="N138" s="11">
        <f t="shared" si="3"/>
        <v>0.71666666666666667</v>
      </c>
      <c r="O138" s="144">
        <f t="shared" si="10"/>
        <v>0</v>
      </c>
      <c r="P138" s="2">
        <f>SUMIFS('XBS '!T:T,'XBS '!H:H,' General Stock Summary View  '!$P$2,'XBS '!L:L,' General Stock Summary View  '!B138,'XBS '!C:C,' General Stock Summary View  '!C138)</f>
        <v>0</v>
      </c>
      <c r="Q138" s="3">
        <f>SUMIFS('PowerApp_Physical count'!H:H,'PowerApp_Physical count'!B:B,' General Stock Summary View  '!$P$2,'PowerApp_Physical count'!C:C,' General Stock Summary View  '!C138,'PowerApp_Physical count'!A:A,' General Stock Summary View  '!B138)</f>
        <v>0</v>
      </c>
      <c r="R138" s="4">
        <f t="shared" si="11"/>
        <v>0</v>
      </c>
      <c r="S138" s="5">
        <f>SUMIFS('XBS '!T:T,'XBS '!L:L,' General Stock Summary View  '!B138,'XBS '!H:H,' General Stock Summary View  '!$S$2,'XBS '!C:C,' General Stock Summary View  '!C138)</f>
        <v>0</v>
      </c>
      <c r="T138" s="3">
        <f>SUMIFS('PowerApp_Physical count'!H:H,'PowerApp_Physical count'!B:B,' General Stock Summary View  '!$S$2,'PowerApp_Physical count'!C:C,' General Stock Summary View  '!C138,'PowerApp_Physical count'!A:A,' General Stock Summary View  '!B138)</f>
        <v>0</v>
      </c>
      <c r="U138" s="4">
        <f t="shared" si="4"/>
        <v>0</v>
      </c>
      <c r="V138" s="2">
        <f>SUMIFS('XBS '!T:T,'XBS '!H:H,' General Stock Summary View  '!$V$2,'XBS '!B:B,' General Stock Summary View  '!C138,'XBS '!L:L,' General Stock Summary View  '!B138)</f>
        <v>0</v>
      </c>
      <c r="W138" s="3">
        <f>SUMIFS('PowerApp_Physical count'!H:H,'PowerApp_Physical count'!B:B,' General Stock Summary View  '!$V$2,'PowerApp_Physical count'!C:C,' General Stock Summary View  '!C138,'PowerApp_Physical count'!A:A,' General Stock Summary View  '!B138)</f>
        <v>0</v>
      </c>
      <c r="X138" s="4">
        <f t="shared" si="12"/>
        <v>0</v>
      </c>
      <c r="Y138" s="5">
        <f>SUMIFS('XBS '!T:T,'XBS '!H:H,' General Stock Summary View  '!$Y$2,'XBS '!B:B,' General Stock Summary View  '!C138,'XBS '!L:L,' General Stock Summary View  '!B138)</f>
        <v>0</v>
      </c>
      <c r="Z138" s="3">
        <f>SUMIFS('PowerApp_Physical count'!H:H,'PowerApp_Physical count'!B:B,' General Stock Summary View  '!$Y$2,'PowerApp_Physical count'!C:C,' General Stock Summary View  '!C138,'PowerApp_Physical count'!A:A,' General Stock Summary View  '!B138)</f>
        <v>0</v>
      </c>
      <c r="AA138" s="4">
        <f t="shared" si="13"/>
        <v>0</v>
      </c>
      <c r="AB138" s="5">
        <f>SUMIFS('XBS '!T:T,'XBS '!H:H,' General Stock Summary View  '!$AB$2,'XBS '!B:B,' General Stock Summary View  '!C138,'XBS '!L:L,' General Stock Summary View  '!B138)</f>
        <v>0</v>
      </c>
      <c r="AC138" s="3">
        <f>SUMIFS('PowerApp_Physical count'!H:H,'PowerApp_Physical count'!B:B,' General Stock Summary View  '!$AB$2,'PowerApp_Physical count'!C:C,' General Stock Summary View  '!C138,'PowerApp_Physical count'!A:A,' General Stock Summary View  '!B138)</f>
        <v>0</v>
      </c>
      <c r="AD138" s="6">
        <f t="shared" si="14"/>
        <v>0</v>
      </c>
      <c r="AE138" s="7">
        <f t="shared" si="8"/>
        <v>0.71666666666666667</v>
      </c>
      <c r="AF138" s="8">
        <f t="shared" si="9"/>
        <v>0</v>
      </c>
      <c r="AG138" s="112"/>
    </row>
    <row r="139" spans="2:33" s="113" customFormat="1" ht="61.15">
      <c r="B139" s="117" t="s">
        <v>168</v>
      </c>
      <c r="C139" s="111" t="s">
        <v>162</v>
      </c>
      <c r="D139" s="11">
        <f>SUMIFS('XBS '!T:T,'XBS '!C:C,' General Stock Summary View  '!C139,'XBS '!L:L,' General Stock Summary View  '!B139)</f>
        <v>0.43333333333333335</v>
      </c>
      <c r="E139" s="2">
        <f>SUMIFS('Blocked for Processing'!P:P,'Blocked for Processing'!I:I,' General Stock Summary View  '!B139,'Blocked for Processing'!C:C,' General Stock Summary View  '!C139)</f>
        <v>0</v>
      </c>
      <c r="F139" s="122">
        <f t="shared" si="0"/>
        <v>0.43333333333333335</v>
      </c>
      <c r="G139" s="148">
        <f>SUMIFS('XBS '!T:T,'XBS '!H:H,' General Stock Summary View  '!$G$2,'XBS '!L:L,' General Stock Summary View  '!B139,'XBS '!C:C,' General Stock Summary View  '!C139)</f>
        <v>0.43333333333333335</v>
      </c>
      <c r="H139" s="3">
        <f>SUMIFS('PowerApp_Physical count'!H:H,'PowerApp_Physical count'!B:B,' General Stock Summary View  '!$G$2,'PowerApp_Physical count'!C:C,' General Stock Summary View  '!C139,'PowerApp_Physical count'!A:A,' General Stock Summary View  '!B139)</f>
        <v>0.43333333333333335</v>
      </c>
      <c r="I139" s="154">
        <f t="shared" si="16"/>
        <v>0</v>
      </c>
      <c r="J139" s="11">
        <f>SUMIFS('XBS '!T:T,'XBS '!H:H,' General Stock Summary View  '!$J$2,'XBS '!L:L,' General Stock Summary View  '!B139,'XBS '!C:C,' General Stock Summary View  '!C139)</f>
        <v>0</v>
      </c>
      <c r="K139" s="157">
        <f>SUMIFS('PowerApp_Physical count'!H:H,'PowerApp_Physical count'!B:B,' General Stock Summary View  '!$J$2,'PowerApp_Physical count'!C:C,' General Stock Summary View  '!C139,'PowerApp_Physical count'!A:A,' General Stock Summary View  '!B139)</f>
        <v>0</v>
      </c>
      <c r="L139" s="127">
        <f t="shared" si="15"/>
        <v>0</v>
      </c>
      <c r="M139" s="126">
        <f t="shared" si="2"/>
        <v>0.43333333333333335</v>
      </c>
      <c r="N139" s="11">
        <f t="shared" si="3"/>
        <v>0.43333333333333335</v>
      </c>
      <c r="O139" s="144">
        <f t="shared" si="10"/>
        <v>0</v>
      </c>
      <c r="P139" s="2">
        <f>SUMIFS('XBS '!T:T,'XBS '!H:H,' General Stock Summary View  '!$P$2,'XBS '!L:L,' General Stock Summary View  '!B139,'XBS '!C:C,' General Stock Summary View  '!C139)</f>
        <v>0</v>
      </c>
      <c r="Q139" s="3">
        <f>SUMIFS('PowerApp_Physical count'!H:H,'PowerApp_Physical count'!B:B,' General Stock Summary View  '!$P$2,'PowerApp_Physical count'!C:C,' General Stock Summary View  '!C139,'PowerApp_Physical count'!A:A,' General Stock Summary View  '!B139)</f>
        <v>0</v>
      </c>
      <c r="R139" s="4">
        <f t="shared" si="11"/>
        <v>0</v>
      </c>
      <c r="S139" s="5">
        <f>SUMIFS('XBS '!T:T,'XBS '!L:L,' General Stock Summary View  '!B139,'XBS '!H:H,' General Stock Summary View  '!$S$2,'XBS '!C:C,' General Stock Summary View  '!C139)</f>
        <v>0</v>
      </c>
      <c r="T139" s="3">
        <f>SUMIFS('PowerApp_Physical count'!H:H,'PowerApp_Physical count'!B:B,' General Stock Summary View  '!$S$2,'PowerApp_Physical count'!C:C,' General Stock Summary View  '!C139,'PowerApp_Physical count'!A:A,' General Stock Summary View  '!B139)</f>
        <v>0</v>
      </c>
      <c r="U139" s="4">
        <f t="shared" si="4"/>
        <v>0</v>
      </c>
      <c r="V139" s="2">
        <f>SUMIFS('XBS '!T:T,'XBS '!H:H,' General Stock Summary View  '!$V$2,'XBS '!B:B,' General Stock Summary View  '!C139,'XBS '!L:L,' General Stock Summary View  '!B139)</f>
        <v>0</v>
      </c>
      <c r="W139" s="3">
        <f>SUMIFS('PowerApp_Physical count'!H:H,'PowerApp_Physical count'!B:B,' General Stock Summary View  '!$V$2,'PowerApp_Physical count'!C:C,' General Stock Summary View  '!C139,'PowerApp_Physical count'!A:A,' General Stock Summary View  '!B139)</f>
        <v>0</v>
      </c>
      <c r="X139" s="4">
        <f t="shared" si="12"/>
        <v>0</v>
      </c>
      <c r="Y139" s="5">
        <f>SUMIFS('XBS '!T:T,'XBS '!H:H,' General Stock Summary View  '!$Y$2,'XBS '!B:B,' General Stock Summary View  '!C139,'XBS '!L:L,' General Stock Summary View  '!B139)</f>
        <v>0</v>
      </c>
      <c r="Z139" s="3">
        <f>SUMIFS('PowerApp_Physical count'!H:H,'PowerApp_Physical count'!B:B,' General Stock Summary View  '!$Y$2,'PowerApp_Physical count'!C:C,' General Stock Summary View  '!C139,'PowerApp_Physical count'!A:A,' General Stock Summary View  '!B139)</f>
        <v>0</v>
      </c>
      <c r="AA139" s="4">
        <f t="shared" si="13"/>
        <v>0</v>
      </c>
      <c r="AB139" s="5">
        <f>SUMIFS('XBS '!T:T,'XBS '!H:H,' General Stock Summary View  '!$AB$2,'XBS '!B:B,' General Stock Summary View  '!C139,'XBS '!L:L,' General Stock Summary View  '!B139)</f>
        <v>0</v>
      </c>
      <c r="AC139" s="3">
        <f>SUMIFS('PowerApp_Physical count'!H:H,'PowerApp_Physical count'!B:B,' General Stock Summary View  '!$AB$2,'PowerApp_Physical count'!C:C,' General Stock Summary View  '!C139,'PowerApp_Physical count'!A:A,' General Stock Summary View  '!B139)</f>
        <v>0</v>
      </c>
      <c r="AD139" s="6">
        <f t="shared" si="14"/>
        <v>0</v>
      </c>
      <c r="AE139" s="7">
        <f t="shared" si="8"/>
        <v>0.43333333333333335</v>
      </c>
      <c r="AF139" s="8">
        <f t="shared" si="9"/>
        <v>0</v>
      </c>
      <c r="AG139" s="112"/>
    </row>
    <row r="140" spans="2:33" s="113" customFormat="1" ht="61.15">
      <c r="B140" s="117" t="s">
        <v>169</v>
      </c>
      <c r="C140" s="111" t="s">
        <v>162</v>
      </c>
      <c r="D140" s="11">
        <f>SUMIFS('XBS '!T:T,'XBS '!C:C,' General Stock Summary View  '!C140,'XBS '!L:L,' General Stock Summary View  '!B140)</f>
        <v>0.3</v>
      </c>
      <c r="E140" s="2">
        <f>SUMIFS('Blocked for Processing'!P:P,'Blocked for Processing'!I:I,' General Stock Summary View  '!B140,'Blocked for Processing'!C:C,' General Stock Summary View  '!C140)</f>
        <v>0</v>
      </c>
      <c r="F140" s="122">
        <f t="shared" si="0"/>
        <v>0.3</v>
      </c>
      <c r="G140" s="148">
        <f>SUMIFS('XBS '!T:T,'XBS '!H:H,' General Stock Summary View  '!$G$2,'XBS '!L:L,' General Stock Summary View  '!B140,'XBS '!C:C,' General Stock Summary View  '!C140)</f>
        <v>0.3</v>
      </c>
      <c r="H140" s="3">
        <f>SUMIFS('PowerApp_Physical count'!H:H,'PowerApp_Physical count'!B:B,' General Stock Summary View  '!$G$2,'PowerApp_Physical count'!C:C,' General Stock Summary View  '!C140,'PowerApp_Physical count'!A:A,' General Stock Summary View  '!B140)</f>
        <v>0.3</v>
      </c>
      <c r="I140" s="154">
        <f t="shared" si="16"/>
        <v>0</v>
      </c>
      <c r="J140" s="11">
        <f>SUMIFS('XBS '!T:T,'XBS '!H:H,' General Stock Summary View  '!$J$2,'XBS '!L:L,' General Stock Summary View  '!B140,'XBS '!C:C,' General Stock Summary View  '!C140)</f>
        <v>0</v>
      </c>
      <c r="K140" s="157">
        <f>SUMIFS('PowerApp_Physical count'!H:H,'PowerApp_Physical count'!B:B,' General Stock Summary View  '!$J$2,'PowerApp_Physical count'!C:C,' General Stock Summary View  '!C140,'PowerApp_Physical count'!A:A,' General Stock Summary View  '!B140)</f>
        <v>0</v>
      </c>
      <c r="L140" s="127">
        <f t="shared" si="15"/>
        <v>0</v>
      </c>
      <c r="M140" s="126">
        <f t="shared" si="2"/>
        <v>0.3</v>
      </c>
      <c r="N140" s="11">
        <f t="shared" si="3"/>
        <v>0.3</v>
      </c>
      <c r="O140" s="144">
        <f t="shared" si="10"/>
        <v>0</v>
      </c>
      <c r="P140" s="2">
        <f>SUMIFS('XBS '!T:T,'XBS '!H:H,' General Stock Summary View  '!$P$2,'XBS '!L:L,' General Stock Summary View  '!B140,'XBS '!C:C,' General Stock Summary View  '!C140)</f>
        <v>0</v>
      </c>
      <c r="Q140" s="3">
        <f>SUMIFS('PowerApp_Physical count'!H:H,'PowerApp_Physical count'!B:B,' General Stock Summary View  '!$P$2,'PowerApp_Physical count'!C:C,' General Stock Summary View  '!C140,'PowerApp_Physical count'!A:A,' General Stock Summary View  '!B140)</f>
        <v>0</v>
      </c>
      <c r="R140" s="4">
        <f t="shared" si="11"/>
        <v>0</v>
      </c>
      <c r="S140" s="5">
        <f>SUMIFS('XBS '!T:T,'XBS '!L:L,' General Stock Summary View  '!B140,'XBS '!H:H,' General Stock Summary View  '!$S$2,'XBS '!C:C,' General Stock Summary View  '!C140)</f>
        <v>0</v>
      </c>
      <c r="T140" s="3">
        <f>SUMIFS('PowerApp_Physical count'!H:H,'PowerApp_Physical count'!B:B,' General Stock Summary View  '!$S$2,'PowerApp_Physical count'!C:C,' General Stock Summary View  '!C140,'PowerApp_Physical count'!A:A,' General Stock Summary View  '!B140)</f>
        <v>0</v>
      </c>
      <c r="U140" s="4">
        <f t="shared" si="4"/>
        <v>0</v>
      </c>
      <c r="V140" s="2">
        <f>SUMIFS('XBS '!T:T,'XBS '!H:H,' General Stock Summary View  '!$V$2,'XBS '!B:B,' General Stock Summary View  '!C140,'XBS '!L:L,' General Stock Summary View  '!B140)</f>
        <v>0</v>
      </c>
      <c r="W140" s="3">
        <f>SUMIFS('PowerApp_Physical count'!H:H,'PowerApp_Physical count'!B:B,' General Stock Summary View  '!$V$2,'PowerApp_Physical count'!C:C,' General Stock Summary View  '!C140,'PowerApp_Physical count'!A:A,' General Stock Summary View  '!B140)</f>
        <v>0</v>
      </c>
      <c r="X140" s="4">
        <f t="shared" si="12"/>
        <v>0</v>
      </c>
      <c r="Y140" s="5">
        <f>SUMIFS('XBS '!T:T,'XBS '!H:H,' General Stock Summary View  '!$Y$2,'XBS '!B:B,' General Stock Summary View  '!C140,'XBS '!L:L,' General Stock Summary View  '!B140)</f>
        <v>0</v>
      </c>
      <c r="Z140" s="3">
        <f>SUMIFS('PowerApp_Physical count'!H:H,'PowerApp_Physical count'!B:B,' General Stock Summary View  '!$Y$2,'PowerApp_Physical count'!C:C,' General Stock Summary View  '!C140,'PowerApp_Physical count'!A:A,' General Stock Summary View  '!B140)</f>
        <v>0</v>
      </c>
      <c r="AA140" s="4">
        <f t="shared" si="13"/>
        <v>0</v>
      </c>
      <c r="AB140" s="5">
        <f>SUMIFS('XBS '!T:T,'XBS '!H:H,' General Stock Summary View  '!$AB$2,'XBS '!B:B,' General Stock Summary View  '!C140,'XBS '!L:L,' General Stock Summary View  '!B140)</f>
        <v>0</v>
      </c>
      <c r="AC140" s="3">
        <f>SUMIFS('PowerApp_Physical count'!H:H,'PowerApp_Physical count'!B:B,' General Stock Summary View  '!$AB$2,'PowerApp_Physical count'!C:C,' General Stock Summary View  '!C140,'PowerApp_Physical count'!A:A,' General Stock Summary View  '!B140)</f>
        <v>0</v>
      </c>
      <c r="AD140" s="6">
        <f t="shared" si="14"/>
        <v>0</v>
      </c>
      <c r="AE140" s="7">
        <f t="shared" si="8"/>
        <v>0.3</v>
      </c>
      <c r="AF140" s="8">
        <f t="shared" si="9"/>
        <v>0</v>
      </c>
      <c r="AG140" s="112"/>
    </row>
    <row r="141" spans="2:33" s="113" customFormat="1" ht="61.15">
      <c r="B141" s="117" t="s">
        <v>170</v>
      </c>
      <c r="C141" s="111" t="s">
        <v>162</v>
      </c>
      <c r="D141" s="11">
        <f>SUMIFS('XBS '!T:T,'XBS '!C:C,' General Stock Summary View  '!C141,'XBS '!L:L,' General Stock Summary View  '!B141)</f>
        <v>0.55000000000000004</v>
      </c>
      <c r="E141" s="2">
        <f>SUMIFS('Blocked for Processing'!P:P,'Blocked for Processing'!I:I,' General Stock Summary View  '!B141,'Blocked for Processing'!C:C,' General Stock Summary View  '!C141)</f>
        <v>0</v>
      </c>
      <c r="F141" s="122">
        <f t="shared" si="0"/>
        <v>0.55000000000000004</v>
      </c>
      <c r="G141" s="148">
        <f>SUMIFS('XBS '!T:T,'XBS '!H:H,' General Stock Summary View  '!$G$2,'XBS '!L:L,' General Stock Summary View  '!B141,'XBS '!C:C,' General Stock Summary View  '!C141)</f>
        <v>0.55000000000000004</v>
      </c>
      <c r="H141" s="3">
        <f>SUMIFS('PowerApp_Physical count'!H:H,'PowerApp_Physical count'!B:B,' General Stock Summary View  '!$G$2,'PowerApp_Physical count'!C:C,' General Stock Summary View  '!C141,'PowerApp_Physical count'!A:A,' General Stock Summary View  '!B141)</f>
        <v>0.55000000000000004</v>
      </c>
      <c r="I141" s="154">
        <f t="shared" si="16"/>
        <v>0</v>
      </c>
      <c r="J141" s="11">
        <f>SUMIFS('XBS '!T:T,'XBS '!H:H,' General Stock Summary View  '!$J$2,'XBS '!L:L,' General Stock Summary View  '!B141,'XBS '!C:C,' General Stock Summary View  '!C141)</f>
        <v>0</v>
      </c>
      <c r="K141" s="157">
        <f>SUMIFS('PowerApp_Physical count'!H:H,'PowerApp_Physical count'!B:B,' General Stock Summary View  '!$J$2,'PowerApp_Physical count'!C:C,' General Stock Summary View  '!C141,'PowerApp_Physical count'!A:A,' General Stock Summary View  '!B141)</f>
        <v>0</v>
      </c>
      <c r="L141" s="127">
        <f t="shared" si="15"/>
        <v>0</v>
      </c>
      <c r="M141" s="126">
        <f t="shared" si="2"/>
        <v>0.55000000000000004</v>
      </c>
      <c r="N141" s="11">
        <f t="shared" si="3"/>
        <v>0.55000000000000004</v>
      </c>
      <c r="O141" s="144">
        <f t="shared" si="10"/>
        <v>0</v>
      </c>
      <c r="P141" s="2">
        <f>SUMIFS('XBS '!T:T,'XBS '!H:H,' General Stock Summary View  '!$P$2,'XBS '!L:L,' General Stock Summary View  '!B141,'XBS '!C:C,' General Stock Summary View  '!C141)</f>
        <v>0</v>
      </c>
      <c r="Q141" s="3">
        <f>SUMIFS('PowerApp_Physical count'!H:H,'PowerApp_Physical count'!B:B,' General Stock Summary View  '!$P$2,'PowerApp_Physical count'!C:C,' General Stock Summary View  '!C141,'PowerApp_Physical count'!A:A,' General Stock Summary View  '!B141)</f>
        <v>0</v>
      </c>
      <c r="R141" s="4">
        <f t="shared" si="11"/>
        <v>0</v>
      </c>
      <c r="S141" s="5">
        <f>SUMIFS('XBS '!T:T,'XBS '!L:L,' General Stock Summary View  '!B141,'XBS '!H:H,' General Stock Summary View  '!$S$2,'XBS '!C:C,' General Stock Summary View  '!C141)</f>
        <v>0</v>
      </c>
      <c r="T141" s="3">
        <f>SUMIFS('PowerApp_Physical count'!H:H,'PowerApp_Physical count'!B:B,' General Stock Summary View  '!$S$2,'PowerApp_Physical count'!C:C,' General Stock Summary View  '!C141,'PowerApp_Physical count'!A:A,' General Stock Summary View  '!B141)</f>
        <v>0</v>
      </c>
      <c r="U141" s="4">
        <f t="shared" si="4"/>
        <v>0</v>
      </c>
      <c r="V141" s="2">
        <f>SUMIFS('XBS '!T:T,'XBS '!H:H,' General Stock Summary View  '!$V$2,'XBS '!B:B,' General Stock Summary View  '!C141,'XBS '!L:L,' General Stock Summary View  '!B141)</f>
        <v>0</v>
      </c>
      <c r="W141" s="3">
        <f>SUMIFS('PowerApp_Physical count'!H:H,'PowerApp_Physical count'!B:B,' General Stock Summary View  '!$V$2,'PowerApp_Physical count'!C:C,' General Stock Summary View  '!C141,'PowerApp_Physical count'!A:A,' General Stock Summary View  '!B141)</f>
        <v>0</v>
      </c>
      <c r="X141" s="4">
        <f t="shared" si="12"/>
        <v>0</v>
      </c>
      <c r="Y141" s="5">
        <f>SUMIFS('XBS '!T:T,'XBS '!H:H,' General Stock Summary View  '!$Y$2,'XBS '!B:B,' General Stock Summary View  '!C141,'XBS '!L:L,' General Stock Summary View  '!B141)</f>
        <v>0</v>
      </c>
      <c r="Z141" s="3">
        <f>SUMIFS('PowerApp_Physical count'!H:H,'PowerApp_Physical count'!B:B,' General Stock Summary View  '!$Y$2,'PowerApp_Physical count'!C:C,' General Stock Summary View  '!C141,'PowerApp_Physical count'!A:A,' General Stock Summary View  '!B141)</f>
        <v>0</v>
      </c>
      <c r="AA141" s="4">
        <f t="shared" si="13"/>
        <v>0</v>
      </c>
      <c r="AB141" s="5">
        <f>SUMIFS('XBS '!T:T,'XBS '!H:H,' General Stock Summary View  '!$AB$2,'XBS '!B:B,' General Stock Summary View  '!C141,'XBS '!L:L,' General Stock Summary View  '!B141)</f>
        <v>0</v>
      </c>
      <c r="AC141" s="3">
        <f>SUMIFS('PowerApp_Physical count'!H:H,'PowerApp_Physical count'!B:B,' General Stock Summary View  '!$AB$2,'PowerApp_Physical count'!C:C,' General Stock Summary View  '!C141,'PowerApp_Physical count'!A:A,' General Stock Summary View  '!B141)</f>
        <v>0</v>
      </c>
      <c r="AD141" s="6">
        <f t="shared" si="14"/>
        <v>0</v>
      </c>
      <c r="AE141" s="7">
        <f t="shared" si="8"/>
        <v>0.55000000000000004</v>
      </c>
      <c r="AF141" s="8">
        <f t="shared" si="9"/>
        <v>0</v>
      </c>
      <c r="AG141" s="112"/>
    </row>
    <row r="142" spans="2:33" s="113" customFormat="1" ht="61.15">
      <c r="B142" s="117" t="s">
        <v>171</v>
      </c>
      <c r="C142" s="111" t="s">
        <v>162</v>
      </c>
      <c r="D142" s="11">
        <f>SUMIFS('XBS '!T:T,'XBS '!C:C,' General Stock Summary View  '!C142,'XBS '!L:L,' General Stock Summary View  '!B142)</f>
        <v>0.55000000000000004</v>
      </c>
      <c r="E142" s="2">
        <f>SUMIFS('Blocked for Processing'!P:P,'Blocked for Processing'!I:I,' General Stock Summary View  '!B142,'Blocked for Processing'!C:C,' General Stock Summary View  '!C142)</f>
        <v>0</v>
      </c>
      <c r="F142" s="122">
        <f t="shared" si="0"/>
        <v>0.55000000000000004</v>
      </c>
      <c r="G142" s="148">
        <f>SUMIFS('XBS '!T:T,'XBS '!H:H,' General Stock Summary View  '!$G$2,'XBS '!L:L,' General Stock Summary View  '!B142,'XBS '!C:C,' General Stock Summary View  '!C142)</f>
        <v>0.55000000000000004</v>
      </c>
      <c r="H142" s="3">
        <f>SUMIFS('PowerApp_Physical count'!H:H,'PowerApp_Physical count'!B:B,' General Stock Summary View  '!$G$2,'PowerApp_Physical count'!C:C,' General Stock Summary View  '!C142,'PowerApp_Physical count'!A:A,' General Stock Summary View  '!B142)</f>
        <v>0.55000000000000004</v>
      </c>
      <c r="I142" s="154">
        <f t="shared" si="16"/>
        <v>0</v>
      </c>
      <c r="J142" s="11">
        <f>SUMIFS('XBS '!T:T,'XBS '!H:H,' General Stock Summary View  '!$J$2,'XBS '!L:L,' General Stock Summary View  '!B142,'XBS '!C:C,' General Stock Summary View  '!C142)</f>
        <v>0</v>
      </c>
      <c r="K142" s="157">
        <f>SUMIFS('PowerApp_Physical count'!H:H,'PowerApp_Physical count'!B:B,' General Stock Summary View  '!$J$2,'PowerApp_Physical count'!C:C,' General Stock Summary View  '!C142,'PowerApp_Physical count'!A:A,' General Stock Summary View  '!B142)</f>
        <v>0</v>
      </c>
      <c r="L142" s="127">
        <f t="shared" si="15"/>
        <v>0</v>
      </c>
      <c r="M142" s="126">
        <f t="shared" si="2"/>
        <v>0.55000000000000004</v>
      </c>
      <c r="N142" s="11">
        <f t="shared" si="3"/>
        <v>0.55000000000000004</v>
      </c>
      <c r="O142" s="144">
        <f t="shared" si="10"/>
        <v>0</v>
      </c>
      <c r="P142" s="2">
        <f>SUMIFS('XBS '!T:T,'XBS '!H:H,' General Stock Summary View  '!$P$2,'XBS '!L:L,' General Stock Summary View  '!B142,'XBS '!C:C,' General Stock Summary View  '!C142)</f>
        <v>0</v>
      </c>
      <c r="Q142" s="3">
        <f>SUMIFS('PowerApp_Physical count'!H:H,'PowerApp_Physical count'!B:B,' General Stock Summary View  '!$P$2,'PowerApp_Physical count'!C:C,' General Stock Summary View  '!C142,'PowerApp_Physical count'!A:A,' General Stock Summary View  '!B142)</f>
        <v>0</v>
      </c>
      <c r="R142" s="4">
        <f t="shared" si="11"/>
        <v>0</v>
      </c>
      <c r="S142" s="5">
        <f>SUMIFS('XBS '!T:T,'XBS '!L:L,' General Stock Summary View  '!B142,'XBS '!H:H,' General Stock Summary View  '!$S$2,'XBS '!C:C,' General Stock Summary View  '!C142)</f>
        <v>0</v>
      </c>
      <c r="T142" s="3">
        <f>SUMIFS('PowerApp_Physical count'!H:H,'PowerApp_Physical count'!B:B,' General Stock Summary View  '!$S$2,'PowerApp_Physical count'!C:C,' General Stock Summary View  '!C142,'PowerApp_Physical count'!A:A,' General Stock Summary View  '!B142)</f>
        <v>0</v>
      </c>
      <c r="U142" s="4">
        <f t="shared" si="4"/>
        <v>0</v>
      </c>
      <c r="V142" s="2">
        <f>SUMIFS('XBS '!T:T,'XBS '!H:H,' General Stock Summary View  '!$V$2,'XBS '!B:B,' General Stock Summary View  '!C142,'XBS '!L:L,' General Stock Summary View  '!B142)</f>
        <v>0</v>
      </c>
      <c r="W142" s="3">
        <f>SUMIFS('PowerApp_Physical count'!H:H,'PowerApp_Physical count'!B:B,' General Stock Summary View  '!$V$2,'PowerApp_Physical count'!C:C,' General Stock Summary View  '!C142,'PowerApp_Physical count'!A:A,' General Stock Summary View  '!B142)</f>
        <v>0</v>
      </c>
      <c r="X142" s="4">
        <f t="shared" si="12"/>
        <v>0</v>
      </c>
      <c r="Y142" s="5">
        <f>SUMIFS('XBS '!T:T,'XBS '!H:H,' General Stock Summary View  '!$Y$2,'XBS '!B:B,' General Stock Summary View  '!C142,'XBS '!L:L,' General Stock Summary View  '!B142)</f>
        <v>0</v>
      </c>
      <c r="Z142" s="3">
        <f>SUMIFS('PowerApp_Physical count'!H:H,'PowerApp_Physical count'!B:B,' General Stock Summary View  '!$Y$2,'PowerApp_Physical count'!C:C,' General Stock Summary View  '!C142,'PowerApp_Physical count'!A:A,' General Stock Summary View  '!B142)</f>
        <v>0</v>
      </c>
      <c r="AA142" s="4">
        <f t="shared" si="13"/>
        <v>0</v>
      </c>
      <c r="AB142" s="5">
        <f>SUMIFS('XBS '!T:T,'XBS '!H:H,' General Stock Summary View  '!$AB$2,'XBS '!B:B,' General Stock Summary View  '!C142,'XBS '!L:L,' General Stock Summary View  '!B142)</f>
        <v>0</v>
      </c>
      <c r="AC142" s="3">
        <f>SUMIFS('PowerApp_Physical count'!H:H,'PowerApp_Physical count'!B:B,' General Stock Summary View  '!$AB$2,'PowerApp_Physical count'!C:C,' General Stock Summary View  '!C142,'PowerApp_Physical count'!A:A,' General Stock Summary View  '!B142)</f>
        <v>0</v>
      </c>
      <c r="AD142" s="6">
        <f t="shared" si="14"/>
        <v>0</v>
      </c>
      <c r="AE142" s="7">
        <f t="shared" si="8"/>
        <v>0.55000000000000004</v>
      </c>
      <c r="AF142" s="8">
        <f t="shared" si="9"/>
        <v>0</v>
      </c>
      <c r="AG142" s="112"/>
    </row>
    <row r="143" spans="2:33" s="113" customFormat="1" ht="61.15">
      <c r="B143" s="117" t="s">
        <v>172</v>
      </c>
      <c r="C143" s="111" t="s">
        <v>162</v>
      </c>
      <c r="D143" s="11">
        <f>SUMIFS('XBS '!T:T,'XBS '!C:C,' General Stock Summary View  '!C143,'XBS '!L:L,' General Stock Summary View  '!B143)</f>
        <v>0.46666666666666667</v>
      </c>
      <c r="E143" s="2">
        <f>SUMIFS('Blocked for Processing'!P:P,'Blocked for Processing'!I:I,' General Stock Summary View  '!B143,'Blocked for Processing'!C:C,' General Stock Summary View  '!C143)</f>
        <v>0</v>
      </c>
      <c r="F143" s="122">
        <f t="shared" si="0"/>
        <v>0.46666666666666667</v>
      </c>
      <c r="G143" s="148">
        <f>SUMIFS('XBS '!T:T,'XBS '!H:H,' General Stock Summary View  '!$G$2,'XBS '!L:L,' General Stock Summary View  '!B143,'XBS '!C:C,' General Stock Summary View  '!C143)</f>
        <v>0.46666666666666667</v>
      </c>
      <c r="H143" s="3">
        <f>SUMIFS('PowerApp_Physical count'!H:H,'PowerApp_Physical count'!B:B,' General Stock Summary View  '!$G$2,'PowerApp_Physical count'!C:C,' General Stock Summary View  '!C143,'PowerApp_Physical count'!A:A,' General Stock Summary View  '!B143)</f>
        <v>0.46666666666666667</v>
      </c>
      <c r="I143" s="154">
        <f t="shared" si="16"/>
        <v>0</v>
      </c>
      <c r="J143" s="11">
        <f>SUMIFS('XBS '!T:T,'XBS '!H:H,' General Stock Summary View  '!$J$2,'XBS '!L:L,' General Stock Summary View  '!B143,'XBS '!C:C,' General Stock Summary View  '!C143)</f>
        <v>0</v>
      </c>
      <c r="K143" s="157">
        <f>SUMIFS('PowerApp_Physical count'!H:H,'PowerApp_Physical count'!B:B,' General Stock Summary View  '!$J$2,'PowerApp_Physical count'!C:C,' General Stock Summary View  '!C143,'PowerApp_Physical count'!A:A,' General Stock Summary View  '!B143)</f>
        <v>0</v>
      </c>
      <c r="L143" s="127">
        <f t="shared" si="15"/>
        <v>0</v>
      </c>
      <c r="M143" s="126">
        <f t="shared" si="2"/>
        <v>0.46666666666666667</v>
      </c>
      <c r="N143" s="11">
        <f t="shared" si="3"/>
        <v>0.46666666666666667</v>
      </c>
      <c r="O143" s="144">
        <f t="shared" si="10"/>
        <v>0</v>
      </c>
      <c r="P143" s="2">
        <f>SUMIFS('XBS '!T:T,'XBS '!H:H,' General Stock Summary View  '!$P$2,'XBS '!L:L,' General Stock Summary View  '!B143,'XBS '!C:C,' General Stock Summary View  '!C143)</f>
        <v>0</v>
      </c>
      <c r="Q143" s="3">
        <f>SUMIFS('PowerApp_Physical count'!H:H,'PowerApp_Physical count'!B:B,' General Stock Summary View  '!$P$2,'PowerApp_Physical count'!C:C,' General Stock Summary View  '!C143,'PowerApp_Physical count'!A:A,' General Stock Summary View  '!B143)</f>
        <v>0</v>
      </c>
      <c r="R143" s="4">
        <f t="shared" si="11"/>
        <v>0</v>
      </c>
      <c r="S143" s="5">
        <f>SUMIFS('XBS '!T:T,'XBS '!L:L,' General Stock Summary View  '!B143,'XBS '!H:H,' General Stock Summary View  '!$S$2,'XBS '!C:C,' General Stock Summary View  '!C143)</f>
        <v>0</v>
      </c>
      <c r="T143" s="3">
        <f>SUMIFS('PowerApp_Physical count'!H:H,'PowerApp_Physical count'!B:B,' General Stock Summary View  '!$S$2,'PowerApp_Physical count'!C:C,' General Stock Summary View  '!C143,'PowerApp_Physical count'!A:A,' General Stock Summary View  '!B143)</f>
        <v>0</v>
      </c>
      <c r="U143" s="4">
        <f t="shared" si="4"/>
        <v>0</v>
      </c>
      <c r="V143" s="2">
        <f>SUMIFS('XBS '!T:T,'XBS '!H:H,' General Stock Summary View  '!$V$2,'XBS '!B:B,' General Stock Summary View  '!C143,'XBS '!L:L,' General Stock Summary View  '!B143)</f>
        <v>0</v>
      </c>
      <c r="W143" s="3">
        <f>SUMIFS('PowerApp_Physical count'!H:H,'PowerApp_Physical count'!B:B,' General Stock Summary View  '!$V$2,'PowerApp_Physical count'!C:C,' General Stock Summary View  '!C143,'PowerApp_Physical count'!A:A,' General Stock Summary View  '!B143)</f>
        <v>0</v>
      </c>
      <c r="X143" s="4">
        <f t="shared" si="12"/>
        <v>0</v>
      </c>
      <c r="Y143" s="5">
        <f>SUMIFS('XBS '!T:T,'XBS '!H:H,' General Stock Summary View  '!$Y$2,'XBS '!B:B,' General Stock Summary View  '!C143,'XBS '!L:L,' General Stock Summary View  '!B143)</f>
        <v>0</v>
      </c>
      <c r="Z143" s="3">
        <f>SUMIFS('PowerApp_Physical count'!H:H,'PowerApp_Physical count'!B:B,' General Stock Summary View  '!$Y$2,'PowerApp_Physical count'!C:C,' General Stock Summary View  '!C143,'PowerApp_Physical count'!A:A,' General Stock Summary View  '!B143)</f>
        <v>0</v>
      </c>
      <c r="AA143" s="4">
        <f t="shared" si="13"/>
        <v>0</v>
      </c>
      <c r="AB143" s="5">
        <f>SUMIFS('XBS '!T:T,'XBS '!H:H,' General Stock Summary View  '!$AB$2,'XBS '!B:B,' General Stock Summary View  '!C143,'XBS '!L:L,' General Stock Summary View  '!B143)</f>
        <v>0</v>
      </c>
      <c r="AC143" s="3">
        <f>SUMIFS('PowerApp_Physical count'!H:H,'PowerApp_Physical count'!B:B,' General Stock Summary View  '!$AB$2,'PowerApp_Physical count'!C:C,' General Stock Summary View  '!C143,'PowerApp_Physical count'!A:A,' General Stock Summary View  '!B143)</f>
        <v>0</v>
      </c>
      <c r="AD143" s="6">
        <f t="shared" si="14"/>
        <v>0</v>
      </c>
      <c r="AE143" s="7">
        <f t="shared" si="8"/>
        <v>0.46666666666666667</v>
      </c>
      <c r="AF143" s="8">
        <f t="shared" si="9"/>
        <v>0</v>
      </c>
      <c r="AG143" s="112"/>
    </row>
    <row r="144" spans="2:33" s="113" customFormat="1" ht="61.15">
      <c r="B144" s="117" t="s">
        <v>173</v>
      </c>
      <c r="C144" s="111" t="s">
        <v>162</v>
      </c>
      <c r="D144" s="11">
        <f>SUMIFS('XBS '!T:T,'XBS '!C:C,' General Stock Summary View  '!C144,'XBS '!L:L,' General Stock Summary View  '!B144)</f>
        <v>0.33333333333333331</v>
      </c>
      <c r="E144" s="2">
        <f>SUMIFS('Blocked for Processing'!P:P,'Blocked for Processing'!I:I,' General Stock Summary View  '!B144,'Blocked for Processing'!C:C,' General Stock Summary View  '!C144)</f>
        <v>0</v>
      </c>
      <c r="F144" s="122">
        <f t="shared" si="0"/>
        <v>0.33333333333333331</v>
      </c>
      <c r="G144" s="148">
        <f>SUMIFS('XBS '!T:T,'XBS '!H:H,' General Stock Summary View  '!$G$2,'XBS '!L:L,' General Stock Summary View  '!B144,'XBS '!C:C,' General Stock Summary View  '!C144)</f>
        <v>0.33333333333333331</v>
      </c>
      <c r="H144" s="3">
        <f>SUMIFS('PowerApp_Physical count'!H:H,'PowerApp_Physical count'!B:B,' General Stock Summary View  '!$G$2,'PowerApp_Physical count'!C:C,' General Stock Summary View  '!C144,'PowerApp_Physical count'!A:A,' General Stock Summary View  '!B144)</f>
        <v>0.33333333333333331</v>
      </c>
      <c r="I144" s="154">
        <f t="shared" si="16"/>
        <v>0</v>
      </c>
      <c r="J144" s="11">
        <f>SUMIFS('XBS '!T:T,'XBS '!H:H,' General Stock Summary View  '!$J$2,'XBS '!L:L,' General Stock Summary View  '!B144,'XBS '!C:C,' General Stock Summary View  '!C144)</f>
        <v>0</v>
      </c>
      <c r="K144" s="157">
        <f>SUMIFS('PowerApp_Physical count'!H:H,'PowerApp_Physical count'!B:B,' General Stock Summary View  '!$J$2,'PowerApp_Physical count'!C:C,' General Stock Summary View  '!C144,'PowerApp_Physical count'!A:A,' General Stock Summary View  '!B144)</f>
        <v>0</v>
      </c>
      <c r="L144" s="127">
        <f t="shared" si="15"/>
        <v>0</v>
      </c>
      <c r="M144" s="126">
        <f t="shared" si="2"/>
        <v>0.33333333333333331</v>
      </c>
      <c r="N144" s="11">
        <f t="shared" si="3"/>
        <v>0.33333333333333331</v>
      </c>
      <c r="O144" s="144">
        <f t="shared" si="10"/>
        <v>0</v>
      </c>
      <c r="P144" s="2">
        <f>SUMIFS('XBS '!T:T,'XBS '!H:H,' General Stock Summary View  '!$P$2,'XBS '!L:L,' General Stock Summary View  '!B144,'XBS '!C:C,' General Stock Summary View  '!C144)</f>
        <v>0</v>
      </c>
      <c r="Q144" s="3">
        <f>SUMIFS('PowerApp_Physical count'!H:H,'PowerApp_Physical count'!B:B,' General Stock Summary View  '!$P$2,'PowerApp_Physical count'!C:C,' General Stock Summary View  '!C144,'PowerApp_Physical count'!A:A,' General Stock Summary View  '!B144)</f>
        <v>0</v>
      </c>
      <c r="R144" s="4">
        <f t="shared" si="11"/>
        <v>0</v>
      </c>
      <c r="S144" s="5">
        <f>SUMIFS('XBS '!T:T,'XBS '!L:L,' General Stock Summary View  '!B144,'XBS '!H:H,' General Stock Summary View  '!$S$2,'XBS '!C:C,' General Stock Summary View  '!C144)</f>
        <v>0</v>
      </c>
      <c r="T144" s="3">
        <f>SUMIFS('PowerApp_Physical count'!H:H,'PowerApp_Physical count'!B:B,' General Stock Summary View  '!$S$2,'PowerApp_Physical count'!C:C,' General Stock Summary View  '!C144,'PowerApp_Physical count'!A:A,' General Stock Summary View  '!B144)</f>
        <v>0</v>
      </c>
      <c r="U144" s="4">
        <f t="shared" si="4"/>
        <v>0</v>
      </c>
      <c r="V144" s="2">
        <f>SUMIFS('XBS '!T:T,'XBS '!H:H,' General Stock Summary View  '!$V$2,'XBS '!B:B,' General Stock Summary View  '!C144,'XBS '!L:L,' General Stock Summary View  '!B144)</f>
        <v>0</v>
      </c>
      <c r="W144" s="3">
        <f>SUMIFS('PowerApp_Physical count'!H:H,'PowerApp_Physical count'!B:B,' General Stock Summary View  '!$V$2,'PowerApp_Physical count'!C:C,' General Stock Summary View  '!C144,'PowerApp_Physical count'!A:A,' General Stock Summary View  '!B144)</f>
        <v>0</v>
      </c>
      <c r="X144" s="4">
        <f t="shared" si="12"/>
        <v>0</v>
      </c>
      <c r="Y144" s="5">
        <f>SUMIFS('XBS '!T:T,'XBS '!H:H,' General Stock Summary View  '!$Y$2,'XBS '!B:B,' General Stock Summary View  '!C144,'XBS '!L:L,' General Stock Summary View  '!B144)</f>
        <v>0</v>
      </c>
      <c r="Z144" s="3">
        <f>SUMIFS('PowerApp_Physical count'!H:H,'PowerApp_Physical count'!B:B,' General Stock Summary View  '!$Y$2,'PowerApp_Physical count'!C:C,' General Stock Summary View  '!C144,'PowerApp_Physical count'!A:A,' General Stock Summary View  '!B144)</f>
        <v>0</v>
      </c>
      <c r="AA144" s="4">
        <f t="shared" si="13"/>
        <v>0</v>
      </c>
      <c r="AB144" s="5">
        <f>SUMIFS('XBS '!T:T,'XBS '!H:H,' General Stock Summary View  '!$AB$2,'XBS '!B:B,' General Stock Summary View  '!C144,'XBS '!L:L,' General Stock Summary View  '!B144)</f>
        <v>0</v>
      </c>
      <c r="AC144" s="3">
        <f>SUMIFS('PowerApp_Physical count'!H:H,'PowerApp_Physical count'!B:B,' General Stock Summary View  '!$AB$2,'PowerApp_Physical count'!C:C,' General Stock Summary View  '!C144,'PowerApp_Physical count'!A:A,' General Stock Summary View  '!B144)</f>
        <v>0</v>
      </c>
      <c r="AD144" s="6">
        <f t="shared" si="14"/>
        <v>0</v>
      </c>
      <c r="AE144" s="7">
        <f t="shared" si="8"/>
        <v>0.33333333333333331</v>
      </c>
      <c r="AF144" s="8">
        <f t="shared" si="9"/>
        <v>0</v>
      </c>
      <c r="AG144" s="112"/>
    </row>
    <row r="145" spans="2:33" s="113" customFormat="1" ht="61.15">
      <c r="B145" s="117" t="s">
        <v>174</v>
      </c>
      <c r="C145" s="111" t="s">
        <v>162</v>
      </c>
      <c r="D145" s="11">
        <f>SUMIFS('XBS '!T:T,'XBS '!C:C,' General Stock Summary View  '!C145,'XBS '!L:L,' General Stock Summary View  '!B145)</f>
        <v>4</v>
      </c>
      <c r="E145" s="2">
        <f>SUMIFS('Blocked for Processing'!P:P,'Blocked for Processing'!I:I,' General Stock Summary View  '!B145,'Blocked for Processing'!C:C,' General Stock Summary View  '!C145)</f>
        <v>0</v>
      </c>
      <c r="F145" s="122">
        <f t="shared" si="0"/>
        <v>4</v>
      </c>
      <c r="G145" s="148">
        <f>SUMIFS('XBS '!T:T,'XBS '!H:H,' General Stock Summary View  '!$G$2,'XBS '!L:L,' General Stock Summary View  '!B145,'XBS '!C:C,' General Stock Summary View  '!C145)</f>
        <v>4</v>
      </c>
      <c r="H145" s="3">
        <f>SUMIFS('PowerApp_Physical count'!H:H,'PowerApp_Physical count'!B:B,' General Stock Summary View  '!$G$2,'PowerApp_Physical count'!C:C,' General Stock Summary View  '!C145,'PowerApp_Physical count'!A:A,' General Stock Summary View  '!B145)</f>
        <v>4</v>
      </c>
      <c r="I145" s="154">
        <f t="shared" si="16"/>
        <v>0</v>
      </c>
      <c r="J145" s="11">
        <f>SUMIFS('XBS '!T:T,'XBS '!H:H,' General Stock Summary View  '!$J$2,'XBS '!L:L,' General Stock Summary View  '!B145,'XBS '!C:C,' General Stock Summary View  '!C145)</f>
        <v>0</v>
      </c>
      <c r="K145" s="157">
        <f>SUMIFS('PowerApp_Physical count'!H:H,'PowerApp_Physical count'!B:B,' General Stock Summary View  '!$J$2,'PowerApp_Physical count'!C:C,' General Stock Summary View  '!C145,'PowerApp_Physical count'!A:A,' General Stock Summary View  '!B145)</f>
        <v>0</v>
      </c>
      <c r="L145" s="127">
        <f t="shared" si="15"/>
        <v>0</v>
      </c>
      <c r="M145" s="126">
        <f t="shared" si="2"/>
        <v>4</v>
      </c>
      <c r="N145" s="11">
        <f t="shared" si="3"/>
        <v>4</v>
      </c>
      <c r="O145" s="144">
        <f t="shared" si="10"/>
        <v>0</v>
      </c>
      <c r="P145" s="2">
        <f>SUMIFS('XBS '!T:T,'XBS '!H:H,' General Stock Summary View  '!$P$2,'XBS '!L:L,' General Stock Summary View  '!B145,'XBS '!C:C,' General Stock Summary View  '!C145)</f>
        <v>0</v>
      </c>
      <c r="Q145" s="3">
        <f>SUMIFS('PowerApp_Physical count'!H:H,'PowerApp_Physical count'!B:B,' General Stock Summary View  '!$P$2,'PowerApp_Physical count'!C:C,' General Stock Summary View  '!C145,'PowerApp_Physical count'!A:A,' General Stock Summary View  '!B145)</f>
        <v>0</v>
      </c>
      <c r="R145" s="4">
        <f t="shared" si="11"/>
        <v>0</v>
      </c>
      <c r="S145" s="5">
        <f>SUMIFS('XBS '!T:T,'XBS '!L:L,' General Stock Summary View  '!B145,'XBS '!H:H,' General Stock Summary View  '!$S$2,'XBS '!C:C,' General Stock Summary View  '!C145)</f>
        <v>0</v>
      </c>
      <c r="T145" s="3">
        <f>SUMIFS('PowerApp_Physical count'!H:H,'PowerApp_Physical count'!B:B,' General Stock Summary View  '!$S$2,'PowerApp_Physical count'!C:C,' General Stock Summary View  '!C145,'PowerApp_Physical count'!A:A,' General Stock Summary View  '!B145)</f>
        <v>0</v>
      </c>
      <c r="U145" s="4">
        <f t="shared" si="4"/>
        <v>0</v>
      </c>
      <c r="V145" s="2">
        <f>SUMIFS('XBS '!T:T,'XBS '!H:H,' General Stock Summary View  '!$V$2,'XBS '!B:B,' General Stock Summary View  '!C145,'XBS '!L:L,' General Stock Summary View  '!B145)</f>
        <v>0</v>
      </c>
      <c r="W145" s="3">
        <f>SUMIFS('PowerApp_Physical count'!H:H,'PowerApp_Physical count'!B:B,' General Stock Summary View  '!$V$2,'PowerApp_Physical count'!C:C,' General Stock Summary View  '!C145,'PowerApp_Physical count'!A:A,' General Stock Summary View  '!B145)</f>
        <v>0</v>
      </c>
      <c r="X145" s="4">
        <f t="shared" si="12"/>
        <v>0</v>
      </c>
      <c r="Y145" s="5">
        <f>SUMIFS('XBS '!T:T,'XBS '!H:H,' General Stock Summary View  '!$Y$2,'XBS '!B:B,' General Stock Summary View  '!C145,'XBS '!L:L,' General Stock Summary View  '!B145)</f>
        <v>0</v>
      </c>
      <c r="Z145" s="3">
        <f>SUMIFS('PowerApp_Physical count'!H:H,'PowerApp_Physical count'!B:B,' General Stock Summary View  '!$Y$2,'PowerApp_Physical count'!C:C,' General Stock Summary View  '!C145,'PowerApp_Physical count'!A:A,' General Stock Summary View  '!B145)</f>
        <v>0</v>
      </c>
      <c r="AA145" s="4">
        <f t="shared" si="13"/>
        <v>0</v>
      </c>
      <c r="AB145" s="5">
        <f>SUMIFS('XBS '!T:T,'XBS '!H:H,' General Stock Summary View  '!$AB$2,'XBS '!B:B,' General Stock Summary View  '!C145,'XBS '!L:L,' General Stock Summary View  '!B145)</f>
        <v>0</v>
      </c>
      <c r="AC145" s="3">
        <f>SUMIFS('PowerApp_Physical count'!H:H,'PowerApp_Physical count'!B:B,' General Stock Summary View  '!$AB$2,'PowerApp_Physical count'!C:C,' General Stock Summary View  '!C145,'PowerApp_Physical count'!A:A,' General Stock Summary View  '!B145)</f>
        <v>0</v>
      </c>
      <c r="AD145" s="6">
        <f t="shared" si="14"/>
        <v>0</v>
      </c>
      <c r="AE145" s="7">
        <f t="shared" si="8"/>
        <v>4</v>
      </c>
      <c r="AF145" s="8">
        <f t="shared" si="9"/>
        <v>0</v>
      </c>
      <c r="AG145" s="112"/>
    </row>
    <row r="146" spans="2:33" s="113" customFormat="1" ht="61.15">
      <c r="B146" s="117" t="s">
        <v>175</v>
      </c>
      <c r="C146" s="111" t="s">
        <v>162</v>
      </c>
      <c r="D146" s="11">
        <f>SUMIFS('XBS '!T:T,'XBS '!C:C,' General Stock Summary View  '!C146,'XBS '!L:L,' General Stock Summary View  '!B146)</f>
        <v>11.45</v>
      </c>
      <c r="E146" s="2">
        <f>SUMIFS('Blocked for Processing'!P:P,'Blocked for Processing'!I:I,' General Stock Summary View  '!B146,'Blocked for Processing'!C:C,' General Stock Summary View  '!C146)</f>
        <v>0</v>
      </c>
      <c r="F146" s="122">
        <f t="shared" si="0"/>
        <v>11.45</v>
      </c>
      <c r="G146" s="148">
        <f>SUMIFS('XBS '!T:T,'XBS '!H:H,' General Stock Summary View  '!$G$2,'XBS '!L:L,' General Stock Summary View  '!B146,'XBS '!C:C,' General Stock Summary View  '!C146)</f>
        <v>11.45</v>
      </c>
      <c r="H146" s="3">
        <f>SUMIFS('PowerApp_Physical count'!H:H,'PowerApp_Physical count'!B:B,' General Stock Summary View  '!$G$2,'PowerApp_Physical count'!C:C,' General Stock Summary View  '!C146,'PowerApp_Physical count'!A:A,' General Stock Summary View  '!B146)</f>
        <v>11.45</v>
      </c>
      <c r="I146" s="154">
        <f t="shared" si="16"/>
        <v>0</v>
      </c>
      <c r="J146" s="11">
        <f>SUMIFS('XBS '!T:T,'XBS '!H:H,' General Stock Summary View  '!$J$2,'XBS '!L:L,' General Stock Summary View  '!B146,'XBS '!C:C,' General Stock Summary View  '!C146)</f>
        <v>0</v>
      </c>
      <c r="K146" s="157">
        <f>SUMIFS('PowerApp_Physical count'!H:H,'PowerApp_Physical count'!B:B,' General Stock Summary View  '!$J$2,'PowerApp_Physical count'!C:C,' General Stock Summary View  '!C146,'PowerApp_Physical count'!A:A,' General Stock Summary View  '!B146)</f>
        <v>0</v>
      </c>
      <c r="L146" s="127">
        <f t="shared" si="15"/>
        <v>0</v>
      </c>
      <c r="M146" s="126">
        <f t="shared" si="2"/>
        <v>11.45</v>
      </c>
      <c r="N146" s="11">
        <f t="shared" si="3"/>
        <v>11.45</v>
      </c>
      <c r="O146" s="144">
        <f t="shared" si="10"/>
        <v>0</v>
      </c>
      <c r="P146" s="2">
        <f>SUMIFS('XBS '!T:T,'XBS '!H:H,' General Stock Summary View  '!$P$2,'XBS '!L:L,' General Stock Summary View  '!B146,'XBS '!C:C,' General Stock Summary View  '!C146)</f>
        <v>0</v>
      </c>
      <c r="Q146" s="3">
        <f>SUMIFS('PowerApp_Physical count'!H:H,'PowerApp_Physical count'!B:B,' General Stock Summary View  '!$P$2,'PowerApp_Physical count'!C:C,' General Stock Summary View  '!C146,'PowerApp_Physical count'!A:A,' General Stock Summary View  '!B146)</f>
        <v>0</v>
      </c>
      <c r="R146" s="4">
        <f t="shared" si="11"/>
        <v>0</v>
      </c>
      <c r="S146" s="5">
        <f>SUMIFS('XBS '!T:T,'XBS '!L:L,' General Stock Summary View  '!B146,'XBS '!H:H,' General Stock Summary View  '!$S$2,'XBS '!C:C,' General Stock Summary View  '!C146)</f>
        <v>0</v>
      </c>
      <c r="T146" s="3">
        <f>SUMIFS('PowerApp_Physical count'!H:H,'PowerApp_Physical count'!B:B,' General Stock Summary View  '!$S$2,'PowerApp_Physical count'!C:C,' General Stock Summary View  '!C146,'PowerApp_Physical count'!A:A,' General Stock Summary View  '!B146)</f>
        <v>0</v>
      </c>
      <c r="U146" s="4">
        <f t="shared" si="4"/>
        <v>0</v>
      </c>
      <c r="V146" s="2">
        <f>SUMIFS('XBS '!T:T,'XBS '!H:H,' General Stock Summary View  '!$V$2,'XBS '!B:B,' General Stock Summary View  '!C146,'XBS '!L:L,' General Stock Summary View  '!B146)</f>
        <v>0</v>
      </c>
      <c r="W146" s="3">
        <f>SUMIFS('PowerApp_Physical count'!H:H,'PowerApp_Physical count'!B:B,' General Stock Summary View  '!$V$2,'PowerApp_Physical count'!C:C,' General Stock Summary View  '!C146,'PowerApp_Physical count'!A:A,' General Stock Summary View  '!B146)</f>
        <v>0</v>
      </c>
      <c r="X146" s="4">
        <f t="shared" si="12"/>
        <v>0</v>
      </c>
      <c r="Y146" s="5">
        <f>SUMIFS('XBS '!T:T,'XBS '!H:H,' General Stock Summary View  '!$Y$2,'XBS '!B:B,' General Stock Summary View  '!C146,'XBS '!L:L,' General Stock Summary View  '!B146)</f>
        <v>0</v>
      </c>
      <c r="Z146" s="3">
        <f>SUMIFS('PowerApp_Physical count'!H:H,'PowerApp_Physical count'!B:B,' General Stock Summary View  '!$Y$2,'PowerApp_Physical count'!C:C,' General Stock Summary View  '!C146,'PowerApp_Physical count'!A:A,' General Stock Summary View  '!B146)</f>
        <v>0</v>
      </c>
      <c r="AA146" s="4">
        <f t="shared" si="13"/>
        <v>0</v>
      </c>
      <c r="AB146" s="5">
        <f>SUMIFS('XBS '!T:T,'XBS '!H:H,' General Stock Summary View  '!$AB$2,'XBS '!B:B,' General Stock Summary View  '!C146,'XBS '!L:L,' General Stock Summary View  '!B146)</f>
        <v>0</v>
      </c>
      <c r="AC146" s="3">
        <f>SUMIFS('PowerApp_Physical count'!H:H,'PowerApp_Physical count'!B:B,' General Stock Summary View  '!$AB$2,'PowerApp_Physical count'!C:C,' General Stock Summary View  '!C146,'PowerApp_Physical count'!A:A,' General Stock Summary View  '!B146)</f>
        <v>0</v>
      </c>
      <c r="AD146" s="6">
        <f t="shared" si="14"/>
        <v>0</v>
      </c>
      <c r="AE146" s="7">
        <f t="shared" si="8"/>
        <v>11.45</v>
      </c>
      <c r="AF146" s="8">
        <f t="shared" si="9"/>
        <v>0</v>
      </c>
      <c r="AG146" s="112"/>
    </row>
    <row r="147" spans="2:33" s="113" customFormat="1" ht="61.15">
      <c r="B147" s="117" t="s">
        <v>176</v>
      </c>
      <c r="C147" s="111" t="s">
        <v>162</v>
      </c>
      <c r="D147" s="11">
        <f>SUMIFS('XBS '!T:T,'XBS '!C:C,' General Stock Summary View  '!C147,'XBS '!L:L,' General Stock Summary View  '!B147)</f>
        <v>80</v>
      </c>
      <c r="E147" s="2">
        <f>SUMIFS('Blocked for Processing'!P:P,'Blocked for Processing'!I:I,' General Stock Summary View  '!B147,'Blocked for Processing'!C:C,' General Stock Summary View  '!C147)</f>
        <v>0</v>
      </c>
      <c r="F147" s="122">
        <f t="shared" si="0"/>
        <v>80</v>
      </c>
      <c r="G147" s="148">
        <f>SUMIFS('XBS '!T:T,'XBS '!H:H,' General Stock Summary View  '!$G$2,'XBS '!L:L,' General Stock Summary View  '!B147,'XBS '!C:C,' General Stock Summary View  '!C147)</f>
        <v>80</v>
      </c>
      <c r="H147" s="3">
        <f>SUMIFS('PowerApp_Physical count'!H:H,'PowerApp_Physical count'!B:B,' General Stock Summary View  '!$G$2,'PowerApp_Physical count'!C:C,' General Stock Summary View  '!C147,'PowerApp_Physical count'!A:A,' General Stock Summary View  '!B147)</f>
        <v>80</v>
      </c>
      <c r="I147" s="154">
        <f t="shared" si="16"/>
        <v>0</v>
      </c>
      <c r="J147" s="11">
        <f>SUMIFS('XBS '!T:T,'XBS '!H:H,' General Stock Summary View  '!$J$2,'XBS '!L:L,' General Stock Summary View  '!B147,'XBS '!C:C,' General Stock Summary View  '!C147)</f>
        <v>0</v>
      </c>
      <c r="K147" s="157">
        <f>SUMIFS('PowerApp_Physical count'!H:H,'PowerApp_Physical count'!B:B,' General Stock Summary View  '!$J$2,'PowerApp_Physical count'!C:C,' General Stock Summary View  '!C147,'PowerApp_Physical count'!A:A,' General Stock Summary View  '!B147)</f>
        <v>0</v>
      </c>
      <c r="L147" s="127">
        <f t="shared" si="15"/>
        <v>0</v>
      </c>
      <c r="M147" s="126">
        <f t="shared" si="2"/>
        <v>80</v>
      </c>
      <c r="N147" s="11">
        <f t="shared" si="3"/>
        <v>80</v>
      </c>
      <c r="O147" s="144">
        <f t="shared" si="10"/>
        <v>0</v>
      </c>
      <c r="P147" s="2">
        <f>SUMIFS('XBS '!T:T,'XBS '!H:H,' General Stock Summary View  '!$P$2,'XBS '!L:L,' General Stock Summary View  '!B147,'XBS '!C:C,' General Stock Summary View  '!C147)</f>
        <v>0</v>
      </c>
      <c r="Q147" s="3">
        <f>SUMIFS('PowerApp_Physical count'!H:H,'PowerApp_Physical count'!B:B,' General Stock Summary View  '!$P$2,'PowerApp_Physical count'!C:C,' General Stock Summary View  '!C147,'PowerApp_Physical count'!A:A,' General Stock Summary View  '!B147)</f>
        <v>0</v>
      </c>
      <c r="R147" s="4">
        <f t="shared" si="11"/>
        <v>0</v>
      </c>
      <c r="S147" s="5">
        <f>SUMIFS('XBS '!T:T,'XBS '!L:L,' General Stock Summary View  '!B147,'XBS '!H:H,' General Stock Summary View  '!$S$2,'XBS '!C:C,' General Stock Summary View  '!C147)</f>
        <v>0</v>
      </c>
      <c r="T147" s="3">
        <f>SUMIFS('PowerApp_Physical count'!H:H,'PowerApp_Physical count'!B:B,' General Stock Summary View  '!$S$2,'PowerApp_Physical count'!C:C,' General Stock Summary View  '!C147,'PowerApp_Physical count'!A:A,' General Stock Summary View  '!B147)</f>
        <v>0</v>
      </c>
      <c r="U147" s="4">
        <f t="shared" si="4"/>
        <v>0</v>
      </c>
      <c r="V147" s="2">
        <f>SUMIFS('XBS '!T:T,'XBS '!H:H,' General Stock Summary View  '!$V$2,'XBS '!B:B,' General Stock Summary View  '!C147,'XBS '!L:L,' General Stock Summary View  '!B147)</f>
        <v>0</v>
      </c>
      <c r="W147" s="3">
        <f>SUMIFS('PowerApp_Physical count'!H:H,'PowerApp_Physical count'!B:B,' General Stock Summary View  '!$V$2,'PowerApp_Physical count'!C:C,' General Stock Summary View  '!C147,'PowerApp_Physical count'!A:A,' General Stock Summary View  '!B147)</f>
        <v>0</v>
      </c>
      <c r="X147" s="4">
        <f t="shared" si="12"/>
        <v>0</v>
      </c>
      <c r="Y147" s="5">
        <f>SUMIFS('XBS '!T:T,'XBS '!H:H,' General Stock Summary View  '!$Y$2,'XBS '!B:B,' General Stock Summary View  '!C147,'XBS '!L:L,' General Stock Summary View  '!B147)</f>
        <v>0</v>
      </c>
      <c r="Z147" s="3">
        <f>SUMIFS('PowerApp_Physical count'!H:H,'PowerApp_Physical count'!B:B,' General Stock Summary View  '!$Y$2,'PowerApp_Physical count'!C:C,' General Stock Summary View  '!C147,'PowerApp_Physical count'!A:A,' General Stock Summary View  '!B147)</f>
        <v>0</v>
      </c>
      <c r="AA147" s="4">
        <f t="shared" si="13"/>
        <v>0</v>
      </c>
      <c r="AB147" s="5">
        <f>SUMIFS('XBS '!T:T,'XBS '!H:H,' General Stock Summary View  '!$AB$2,'XBS '!B:B,' General Stock Summary View  '!C147,'XBS '!L:L,' General Stock Summary View  '!B147)</f>
        <v>0</v>
      </c>
      <c r="AC147" s="3">
        <f>SUMIFS('PowerApp_Physical count'!H:H,'PowerApp_Physical count'!B:B,' General Stock Summary View  '!$AB$2,'PowerApp_Physical count'!C:C,' General Stock Summary View  '!C147,'PowerApp_Physical count'!A:A,' General Stock Summary View  '!B147)</f>
        <v>0</v>
      </c>
      <c r="AD147" s="6">
        <f t="shared" si="14"/>
        <v>0</v>
      </c>
      <c r="AE147" s="7">
        <f t="shared" si="8"/>
        <v>80</v>
      </c>
      <c r="AF147" s="8">
        <f t="shared" si="9"/>
        <v>0</v>
      </c>
      <c r="AG147" s="112"/>
    </row>
    <row r="148" spans="2:33" s="113" customFormat="1" ht="61.15">
      <c r="B148" s="117" t="s">
        <v>177</v>
      </c>
      <c r="C148" s="111" t="s">
        <v>162</v>
      </c>
      <c r="D148" s="11">
        <f>SUMIFS('XBS '!T:T,'XBS '!C:C,' General Stock Summary View  '!C148,'XBS '!L:L,' General Stock Summary View  '!B148)</f>
        <v>7.8833333333333337</v>
      </c>
      <c r="E148" s="2">
        <f>SUMIFS('Blocked for Processing'!P:P,'Blocked for Processing'!I:I,' General Stock Summary View  '!B148,'Blocked for Processing'!C:C,' General Stock Summary View  '!C148)</f>
        <v>0</v>
      </c>
      <c r="F148" s="122">
        <f t="shared" si="0"/>
        <v>7.8833333333333337</v>
      </c>
      <c r="G148" s="148">
        <f>SUMIFS('XBS '!T:T,'XBS '!H:H,' General Stock Summary View  '!$G$2,'XBS '!L:L,' General Stock Summary View  '!B148,'XBS '!C:C,' General Stock Summary View  '!C148)</f>
        <v>7.8833333333333337</v>
      </c>
      <c r="H148" s="3">
        <f>SUMIFS('PowerApp_Physical count'!H:H,'PowerApp_Physical count'!B:B,' General Stock Summary View  '!$G$2,'PowerApp_Physical count'!C:C,' General Stock Summary View  '!C148,'PowerApp_Physical count'!A:A,' General Stock Summary View  '!B148)</f>
        <v>7.8833333333333337</v>
      </c>
      <c r="I148" s="154">
        <f t="shared" si="16"/>
        <v>0</v>
      </c>
      <c r="J148" s="11">
        <f>SUMIFS('XBS '!T:T,'XBS '!H:H,' General Stock Summary View  '!$J$2,'XBS '!L:L,' General Stock Summary View  '!B148,'XBS '!C:C,' General Stock Summary View  '!C148)</f>
        <v>0</v>
      </c>
      <c r="K148" s="157">
        <f>SUMIFS('PowerApp_Physical count'!H:H,'PowerApp_Physical count'!B:B,' General Stock Summary View  '!$J$2,'PowerApp_Physical count'!C:C,' General Stock Summary View  '!C148,'PowerApp_Physical count'!A:A,' General Stock Summary View  '!B148)</f>
        <v>0</v>
      </c>
      <c r="L148" s="127">
        <f t="shared" si="15"/>
        <v>0</v>
      </c>
      <c r="M148" s="126">
        <f t="shared" si="2"/>
        <v>7.8833333333333337</v>
      </c>
      <c r="N148" s="11">
        <f t="shared" si="3"/>
        <v>7.8833333333333337</v>
      </c>
      <c r="O148" s="144">
        <f t="shared" si="10"/>
        <v>0</v>
      </c>
      <c r="P148" s="2">
        <f>SUMIFS('XBS '!T:T,'XBS '!H:H,' General Stock Summary View  '!$P$2,'XBS '!L:L,' General Stock Summary View  '!B148,'XBS '!C:C,' General Stock Summary View  '!C148)</f>
        <v>0</v>
      </c>
      <c r="Q148" s="3">
        <f>SUMIFS('PowerApp_Physical count'!H:H,'PowerApp_Physical count'!B:B,' General Stock Summary View  '!$P$2,'PowerApp_Physical count'!C:C,' General Stock Summary View  '!C148,'PowerApp_Physical count'!A:A,' General Stock Summary View  '!B148)</f>
        <v>0</v>
      </c>
      <c r="R148" s="4">
        <f t="shared" si="11"/>
        <v>0</v>
      </c>
      <c r="S148" s="5">
        <f>SUMIFS('XBS '!T:T,'XBS '!L:L,' General Stock Summary View  '!B148,'XBS '!H:H,' General Stock Summary View  '!$S$2,'XBS '!C:C,' General Stock Summary View  '!C148)</f>
        <v>0</v>
      </c>
      <c r="T148" s="3">
        <f>SUMIFS('PowerApp_Physical count'!H:H,'PowerApp_Physical count'!B:B,' General Stock Summary View  '!$S$2,'PowerApp_Physical count'!C:C,' General Stock Summary View  '!C148,'PowerApp_Physical count'!A:A,' General Stock Summary View  '!B148)</f>
        <v>0</v>
      </c>
      <c r="U148" s="4">
        <f t="shared" si="4"/>
        <v>0</v>
      </c>
      <c r="V148" s="2">
        <f>SUMIFS('XBS '!T:T,'XBS '!H:H,' General Stock Summary View  '!$V$2,'XBS '!B:B,' General Stock Summary View  '!C148,'XBS '!L:L,' General Stock Summary View  '!B148)</f>
        <v>0</v>
      </c>
      <c r="W148" s="3">
        <f>SUMIFS('PowerApp_Physical count'!H:H,'PowerApp_Physical count'!B:B,' General Stock Summary View  '!$V$2,'PowerApp_Physical count'!C:C,' General Stock Summary View  '!C148,'PowerApp_Physical count'!A:A,' General Stock Summary View  '!B148)</f>
        <v>0</v>
      </c>
      <c r="X148" s="4">
        <f t="shared" si="12"/>
        <v>0</v>
      </c>
      <c r="Y148" s="5">
        <f>SUMIFS('XBS '!T:T,'XBS '!H:H,' General Stock Summary View  '!$Y$2,'XBS '!B:B,' General Stock Summary View  '!C148,'XBS '!L:L,' General Stock Summary View  '!B148)</f>
        <v>0</v>
      </c>
      <c r="Z148" s="3">
        <f>SUMIFS('PowerApp_Physical count'!H:H,'PowerApp_Physical count'!B:B,' General Stock Summary View  '!$Y$2,'PowerApp_Physical count'!C:C,' General Stock Summary View  '!C148,'PowerApp_Physical count'!A:A,' General Stock Summary View  '!B148)</f>
        <v>0</v>
      </c>
      <c r="AA148" s="4">
        <f t="shared" si="13"/>
        <v>0</v>
      </c>
      <c r="AB148" s="5">
        <f>SUMIFS('XBS '!T:T,'XBS '!H:H,' General Stock Summary View  '!$AB$2,'XBS '!B:B,' General Stock Summary View  '!C148,'XBS '!L:L,' General Stock Summary View  '!B148)</f>
        <v>0</v>
      </c>
      <c r="AC148" s="3">
        <f>SUMIFS('PowerApp_Physical count'!H:H,'PowerApp_Physical count'!B:B,' General Stock Summary View  '!$AB$2,'PowerApp_Physical count'!C:C,' General Stock Summary View  '!C148,'PowerApp_Physical count'!A:A,' General Stock Summary View  '!B148)</f>
        <v>0</v>
      </c>
      <c r="AD148" s="6">
        <f t="shared" si="14"/>
        <v>0</v>
      </c>
      <c r="AE148" s="7">
        <f t="shared" si="8"/>
        <v>7.8833333333333337</v>
      </c>
      <c r="AF148" s="8">
        <f t="shared" si="9"/>
        <v>0</v>
      </c>
      <c r="AG148" s="112"/>
    </row>
    <row r="149" spans="2:33" s="113" customFormat="1" ht="61.15">
      <c r="B149" s="117" t="s">
        <v>178</v>
      </c>
      <c r="C149" s="111" t="s">
        <v>162</v>
      </c>
      <c r="D149" s="11">
        <f>SUMIFS('XBS '!T:T,'XBS '!C:C,' General Stock Summary View  '!C149,'XBS '!L:L,' General Stock Summary View  '!B149)</f>
        <v>8.1333333333333329</v>
      </c>
      <c r="E149" s="2">
        <f>SUMIFS('Blocked for Processing'!P:P,'Blocked for Processing'!I:I,' General Stock Summary View  '!B149,'Blocked for Processing'!C:C,' General Stock Summary View  '!C149)</f>
        <v>0</v>
      </c>
      <c r="F149" s="122">
        <f t="shared" si="0"/>
        <v>8.1333333333333329</v>
      </c>
      <c r="G149" s="148">
        <f>SUMIFS('XBS '!T:T,'XBS '!H:H,' General Stock Summary View  '!$G$2,'XBS '!L:L,' General Stock Summary View  '!B149,'XBS '!C:C,' General Stock Summary View  '!C149)</f>
        <v>8.1333333333333329</v>
      </c>
      <c r="H149" s="3">
        <f>SUMIFS('PowerApp_Physical count'!H:H,'PowerApp_Physical count'!B:B,' General Stock Summary View  '!$G$2,'PowerApp_Physical count'!C:C,' General Stock Summary View  '!C149,'PowerApp_Physical count'!A:A,' General Stock Summary View  '!B149)</f>
        <v>8.1333333333333329</v>
      </c>
      <c r="I149" s="154">
        <f t="shared" si="16"/>
        <v>0</v>
      </c>
      <c r="J149" s="11">
        <f>SUMIFS('XBS '!T:T,'XBS '!H:H,' General Stock Summary View  '!$J$2,'XBS '!L:L,' General Stock Summary View  '!B149,'XBS '!C:C,' General Stock Summary View  '!C149)</f>
        <v>0</v>
      </c>
      <c r="K149" s="157">
        <f>SUMIFS('PowerApp_Physical count'!H:H,'PowerApp_Physical count'!B:B,' General Stock Summary View  '!$J$2,'PowerApp_Physical count'!C:C,' General Stock Summary View  '!C149,'PowerApp_Physical count'!A:A,' General Stock Summary View  '!B149)</f>
        <v>0</v>
      </c>
      <c r="L149" s="127">
        <f t="shared" si="15"/>
        <v>0</v>
      </c>
      <c r="M149" s="126">
        <f t="shared" si="2"/>
        <v>8.1333333333333329</v>
      </c>
      <c r="N149" s="11">
        <f t="shared" si="3"/>
        <v>8.1333333333333329</v>
      </c>
      <c r="O149" s="144">
        <f t="shared" si="10"/>
        <v>0</v>
      </c>
      <c r="P149" s="2">
        <f>SUMIFS('XBS '!T:T,'XBS '!H:H,' General Stock Summary View  '!$P$2,'XBS '!L:L,' General Stock Summary View  '!B149,'XBS '!C:C,' General Stock Summary View  '!C149)</f>
        <v>0</v>
      </c>
      <c r="Q149" s="3">
        <f>SUMIFS('PowerApp_Physical count'!H:H,'PowerApp_Physical count'!B:B,' General Stock Summary View  '!$P$2,'PowerApp_Physical count'!C:C,' General Stock Summary View  '!C149,'PowerApp_Physical count'!A:A,' General Stock Summary View  '!B149)</f>
        <v>0</v>
      </c>
      <c r="R149" s="4">
        <f t="shared" si="11"/>
        <v>0</v>
      </c>
      <c r="S149" s="5">
        <f>SUMIFS('XBS '!T:T,'XBS '!L:L,' General Stock Summary View  '!B149,'XBS '!H:H,' General Stock Summary View  '!$S$2,'XBS '!C:C,' General Stock Summary View  '!C149)</f>
        <v>0</v>
      </c>
      <c r="T149" s="3">
        <f>SUMIFS('PowerApp_Physical count'!H:H,'PowerApp_Physical count'!B:B,' General Stock Summary View  '!$S$2,'PowerApp_Physical count'!C:C,' General Stock Summary View  '!C149,'PowerApp_Physical count'!A:A,' General Stock Summary View  '!B149)</f>
        <v>0</v>
      </c>
      <c r="U149" s="4">
        <f t="shared" si="4"/>
        <v>0</v>
      </c>
      <c r="V149" s="2">
        <f>SUMIFS('XBS '!T:T,'XBS '!H:H,' General Stock Summary View  '!$V$2,'XBS '!B:B,' General Stock Summary View  '!C149,'XBS '!L:L,' General Stock Summary View  '!B149)</f>
        <v>0</v>
      </c>
      <c r="W149" s="3">
        <f>SUMIFS('PowerApp_Physical count'!H:H,'PowerApp_Physical count'!B:B,' General Stock Summary View  '!$V$2,'PowerApp_Physical count'!C:C,' General Stock Summary View  '!C149,'PowerApp_Physical count'!A:A,' General Stock Summary View  '!B149)</f>
        <v>0</v>
      </c>
      <c r="X149" s="4">
        <f t="shared" si="12"/>
        <v>0</v>
      </c>
      <c r="Y149" s="5">
        <f>SUMIFS('XBS '!T:T,'XBS '!H:H,' General Stock Summary View  '!$Y$2,'XBS '!B:B,' General Stock Summary View  '!C149,'XBS '!L:L,' General Stock Summary View  '!B149)</f>
        <v>0</v>
      </c>
      <c r="Z149" s="3">
        <f>SUMIFS('PowerApp_Physical count'!H:H,'PowerApp_Physical count'!B:B,' General Stock Summary View  '!$Y$2,'PowerApp_Physical count'!C:C,' General Stock Summary View  '!C149,'PowerApp_Physical count'!A:A,' General Stock Summary View  '!B149)</f>
        <v>0</v>
      </c>
      <c r="AA149" s="4">
        <f t="shared" si="13"/>
        <v>0</v>
      </c>
      <c r="AB149" s="5">
        <f>SUMIFS('XBS '!T:T,'XBS '!H:H,' General Stock Summary View  '!$AB$2,'XBS '!B:B,' General Stock Summary View  '!C149,'XBS '!L:L,' General Stock Summary View  '!B149)</f>
        <v>0</v>
      </c>
      <c r="AC149" s="3">
        <f>SUMIFS('PowerApp_Physical count'!H:H,'PowerApp_Physical count'!B:B,' General Stock Summary View  '!$AB$2,'PowerApp_Physical count'!C:C,' General Stock Summary View  '!C149,'PowerApp_Physical count'!A:A,' General Stock Summary View  '!B149)</f>
        <v>0</v>
      </c>
      <c r="AD149" s="6">
        <f t="shared" si="14"/>
        <v>0</v>
      </c>
      <c r="AE149" s="7">
        <f t="shared" si="8"/>
        <v>8.1333333333333329</v>
      </c>
      <c r="AF149" s="8">
        <f t="shared" si="9"/>
        <v>0</v>
      </c>
      <c r="AG149" s="112"/>
    </row>
    <row r="150" spans="2:33" s="113" customFormat="1" ht="61.15">
      <c r="B150" s="117" t="s">
        <v>179</v>
      </c>
      <c r="C150" s="111" t="s">
        <v>162</v>
      </c>
      <c r="D150" s="11">
        <f>SUMIFS('XBS '!T:T,'XBS '!C:C,' General Stock Summary View  '!C150,'XBS '!L:L,' General Stock Summary View  '!B150)</f>
        <v>5.8333333333333339</v>
      </c>
      <c r="E150" s="2">
        <f>SUMIFS('Blocked for Processing'!P:P,'Blocked for Processing'!I:I,' General Stock Summary View  '!B150,'Blocked for Processing'!C:C,' General Stock Summary View  '!C150)</f>
        <v>0</v>
      </c>
      <c r="F150" s="122">
        <f t="shared" si="0"/>
        <v>5.8333333333333339</v>
      </c>
      <c r="G150" s="148">
        <f>SUMIFS('XBS '!T:T,'XBS '!H:H,' General Stock Summary View  '!$G$2,'XBS '!L:L,' General Stock Summary View  '!B150,'XBS '!C:C,' General Stock Summary View  '!C150)</f>
        <v>5.8333333333333339</v>
      </c>
      <c r="H150" s="3">
        <f>SUMIFS('PowerApp_Physical count'!H:H,'PowerApp_Physical count'!B:B,' General Stock Summary View  '!$G$2,'PowerApp_Physical count'!C:C,' General Stock Summary View  '!C150,'PowerApp_Physical count'!A:A,' General Stock Summary View  '!B150)</f>
        <v>1.1666666666666667</v>
      </c>
      <c r="I150" s="154">
        <f t="shared" si="16"/>
        <v>-4.666666666666667</v>
      </c>
      <c r="J150" s="11">
        <f>SUMIFS('XBS '!T:T,'XBS '!H:H,' General Stock Summary View  '!$J$2,'XBS '!L:L,' General Stock Summary View  '!B150,'XBS '!C:C,' General Stock Summary View  '!C150)</f>
        <v>0</v>
      </c>
      <c r="K150" s="157">
        <f>SUMIFS('PowerApp_Physical count'!H:H,'PowerApp_Physical count'!B:B,' General Stock Summary View  '!$J$2,'PowerApp_Physical count'!C:C,' General Stock Summary View  '!C150,'PowerApp_Physical count'!A:A,' General Stock Summary View  '!B150)</f>
        <v>0</v>
      </c>
      <c r="L150" s="127">
        <f t="shared" si="15"/>
        <v>0</v>
      </c>
      <c r="M150" s="126">
        <f t="shared" si="2"/>
        <v>5.8333333333333339</v>
      </c>
      <c r="N150" s="11">
        <f t="shared" si="3"/>
        <v>1.1666666666666667</v>
      </c>
      <c r="O150" s="144">
        <f t="shared" si="10"/>
        <v>-4.666666666666667</v>
      </c>
      <c r="P150" s="2">
        <f>SUMIFS('XBS '!T:T,'XBS '!H:H,' General Stock Summary View  '!$P$2,'XBS '!L:L,' General Stock Summary View  '!B150,'XBS '!C:C,' General Stock Summary View  '!C150)</f>
        <v>0</v>
      </c>
      <c r="Q150" s="3">
        <f>SUMIFS('PowerApp_Physical count'!H:H,'PowerApp_Physical count'!B:B,' General Stock Summary View  '!$P$2,'PowerApp_Physical count'!C:C,' General Stock Summary View  '!C150,'PowerApp_Physical count'!A:A,' General Stock Summary View  '!B150)</f>
        <v>0</v>
      </c>
      <c r="R150" s="4">
        <f t="shared" si="11"/>
        <v>0</v>
      </c>
      <c r="S150" s="5">
        <f>SUMIFS('XBS '!T:T,'XBS '!L:L,' General Stock Summary View  '!B150,'XBS '!H:H,' General Stock Summary View  '!$S$2,'XBS '!C:C,' General Stock Summary View  '!C150)</f>
        <v>0</v>
      </c>
      <c r="T150" s="3">
        <f>SUMIFS('PowerApp_Physical count'!H:H,'PowerApp_Physical count'!B:B,' General Stock Summary View  '!$S$2,'PowerApp_Physical count'!C:C,' General Stock Summary View  '!C150,'PowerApp_Physical count'!A:A,' General Stock Summary View  '!B150)</f>
        <v>0</v>
      </c>
      <c r="U150" s="4">
        <f t="shared" si="4"/>
        <v>0</v>
      </c>
      <c r="V150" s="2">
        <f>SUMIFS('XBS '!T:T,'XBS '!H:H,' General Stock Summary View  '!$V$2,'XBS '!B:B,' General Stock Summary View  '!C150,'XBS '!L:L,' General Stock Summary View  '!B150)</f>
        <v>0</v>
      </c>
      <c r="W150" s="3">
        <f>SUMIFS('PowerApp_Physical count'!H:H,'PowerApp_Physical count'!B:B,' General Stock Summary View  '!$V$2,'PowerApp_Physical count'!C:C,' General Stock Summary View  '!C150,'PowerApp_Physical count'!A:A,' General Stock Summary View  '!B150)</f>
        <v>0</v>
      </c>
      <c r="X150" s="4">
        <f t="shared" si="12"/>
        <v>0</v>
      </c>
      <c r="Y150" s="5">
        <f>SUMIFS('XBS '!T:T,'XBS '!H:H,' General Stock Summary View  '!$Y$2,'XBS '!B:B,' General Stock Summary View  '!C150,'XBS '!L:L,' General Stock Summary View  '!B150)</f>
        <v>0</v>
      </c>
      <c r="Z150" s="3">
        <f>SUMIFS('PowerApp_Physical count'!H:H,'PowerApp_Physical count'!B:B,' General Stock Summary View  '!$Y$2,'PowerApp_Physical count'!C:C,' General Stock Summary View  '!C150,'PowerApp_Physical count'!A:A,' General Stock Summary View  '!B150)</f>
        <v>0</v>
      </c>
      <c r="AA150" s="4">
        <f t="shared" si="13"/>
        <v>0</v>
      </c>
      <c r="AB150" s="5">
        <f>SUMIFS('XBS '!T:T,'XBS '!H:H,' General Stock Summary View  '!$AB$2,'XBS '!B:B,' General Stock Summary View  '!C150,'XBS '!L:L,' General Stock Summary View  '!B150)</f>
        <v>0</v>
      </c>
      <c r="AC150" s="3">
        <f>SUMIFS('PowerApp_Physical count'!H:H,'PowerApp_Physical count'!B:B,' General Stock Summary View  '!$AB$2,'PowerApp_Physical count'!C:C,' General Stock Summary View  '!C150,'PowerApp_Physical count'!A:A,' General Stock Summary View  '!B150)</f>
        <v>0</v>
      </c>
      <c r="AD150" s="6">
        <f t="shared" si="14"/>
        <v>0</v>
      </c>
      <c r="AE150" s="7">
        <f t="shared" si="8"/>
        <v>1.1666666666666667</v>
      </c>
      <c r="AF150" s="8">
        <f t="shared" si="9"/>
        <v>-4.666666666666667</v>
      </c>
      <c r="AG150" s="112"/>
    </row>
    <row r="151" spans="2:33" s="113" customFormat="1" ht="61.15">
      <c r="B151" s="117" t="s">
        <v>180</v>
      </c>
      <c r="C151" s="111" t="s">
        <v>162</v>
      </c>
      <c r="D151" s="11">
        <f>SUMIFS('XBS '!T:T,'XBS '!C:C,' General Stock Summary View  '!C151,'XBS '!L:L,' General Stock Summary View  '!B151)</f>
        <v>4.0999999999999996</v>
      </c>
      <c r="E151" s="2">
        <f>SUMIFS('Blocked for Processing'!P:P,'Blocked for Processing'!I:I,' General Stock Summary View  '!B151,'Blocked for Processing'!C:C,' General Stock Summary View  '!C151)</f>
        <v>0</v>
      </c>
      <c r="F151" s="122">
        <f t="shared" si="0"/>
        <v>4.0999999999999996</v>
      </c>
      <c r="G151" s="148">
        <f>SUMIFS('XBS '!T:T,'XBS '!H:H,' General Stock Summary View  '!$G$2,'XBS '!L:L,' General Stock Summary View  '!B151,'XBS '!C:C,' General Stock Summary View  '!C151)</f>
        <v>4.0999999999999996</v>
      </c>
      <c r="H151" s="3">
        <f>SUMIFS('PowerApp_Physical count'!H:H,'PowerApp_Physical count'!B:B,' General Stock Summary View  '!$G$2,'PowerApp_Physical count'!C:C,' General Stock Summary View  '!C151,'PowerApp_Physical count'!A:A,' General Stock Summary View  '!B151)</f>
        <v>4.0999999999999996</v>
      </c>
      <c r="I151" s="154">
        <f t="shared" si="16"/>
        <v>0</v>
      </c>
      <c r="J151" s="11">
        <f>SUMIFS('XBS '!T:T,'XBS '!H:H,' General Stock Summary View  '!$J$2,'XBS '!L:L,' General Stock Summary View  '!B151,'XBS '!C:C,' General Stock Summary View  '!C151)</f>
        <v>0</v>
      </c>
      <c r="K151" s="157">
        <f>SUMIFS('PowerApp_Physical count'!H:H,'PowerApp_Physical count'!B:B,' General Stock Summary View  '!$J$2,'PowerApp_Physical count'!C:C,' General Stock Summary View  '!C151,'PowerApp_Physical count'!A:A,' General Stock Summary View  '!B151)</f>
        <v>0</v>
      </c>
      <c r="L151" s="127">
        <f t="shared" si="15"/>
        <v>0</v>
      </c>
      <c r="M151" s="126">
        <f t="shared" si="2"/>
        <v>4.0999999999999996</v>
      </c>
      <c r="N151" s="11">
        <f t="shared" si="3"/>
        <v>4.0999999999999996</v>
      </c>
      <c r="O151" s="144">
        <f t="shared" si="10"/>
        <v>0</v>
      </c>
      <c r="P151" s="2">
        <f>SUMIFS('XBS '!T:T,'XBS '!H:H,' General Stock Summary View  '!$P$2,'XBS '!L:L,' General Stock Summary View  '!B151,'XBS '!C:C,' General Stock Summary View  '!C151)</f>
        <v>0</v>
      </c>
      <c r="Q151" s="3">
        <f>SUMIFS('PowerApp_Physical count'!H:H,'PowerApp_Physical count'!B:B,' General Stock Summary View  '!$P$2,'PowerApp_Physical count'!C:C,' General Stock Summary View  '!C151,'PowerApp_Physical count'!A:A,' General Stock Summary View  '!B151)</f>
        <v>0</v>
      </c>
      <c r="R151" s="4">
        <f t="shared" si="11"/>
        <v>0</v>
      </c>
      <c r="S151" s="5">
        <f>SUMIFS('XBS '!T:T,'XBS '!L:L,' General Stock Summary View  '!B151,'XBS '!H:H,' General Stock Summary View  '!$S$2,'XBS '!C:C,' General Stock Summary View  '!C151)</f>
        <v>0</v>
      </c>
      <c r="T151" s="3">
        <f>SUMIFS('PowerApp_Physical count'!H:H,'PowerApp_Physical count'!B:B,' General Stock Summary View  '!$S$2,'PowerApp_Physical count'!C:C,' General Stock Summary View  '!C151,'PowerApp_Physical count'!A:A,' General Stock Summary View  '!B151)</f>
        <v>0</v>
      </c>
      <c r="U151" s="4">
        <f t="shared" si="4"/>
        <v>0</v>
      </c>
      <c r="V151" s="2">
        <f>SUMIFS('XBS '!T:T,'XBS '!H:H,' General Stock Summary View  '!$V$2,'XBS '!B:B,' General Stock Summary View  '!C151,'XBS '!L:L,' General Stock Summary View  '!B151)</f>
        <v>0</v>
      </c>
      <c r="W151" s="3">
        <f>SUMIFS('PowerApp_Physical count'!H:H,'PowerApp_Physical count'!B:B,' General Stock Summary View  '!$V$2,'PowerApp_Physical count'!C:C,' General Stock Summary View  '!C151,'PowerApp_Physical count'!A:A,' General Stock Summary View  '!B151)</f>
        <v>0</v>
      </c>
      <c r="X151" s="4">
        <f t="shared" si="12"/>
        <v>0</v>
      </c>
      <c r="Y151" s="5">
        <f>SUMIFS('XBS '!T:T,'XBS '!H:H,' General Stock Summary View  '!$Y$2,'XBS '!B:B,' General Stock Summary View  '!C151,'XBS '!L:L,' General Stock Summary View  '!B151)</f>
        <v>0</v>
      </c>
      <c r="Z151" s="3">
        <f>SUMIFS('PowerApp_Physical count'!H:H,'PowerApp_Physical count'!B:B,' General Stock Summary View  '!$Y$2,'PowerApp_Physical count'!C:C,' General Stock Summary View  '!C151,'PowerApp_Physical count'!A:A,' General Stock Summary View  '!B151)</f>
        <v>0</v>
      </c>
      <c r="AA151" s="4">
        <f t="shared" si="13"/>
        <v>0</v>
      </c>
      <c r="AB151" s="5">
        <f>SUMIFS('XBS '!T:T,'XBS '!H:H,' General Stock Summary View  '!$AB$2,'XBS '!B:B,' General Stock Summary View  '!C151,'XBS '!L:L,' General Stock Summary View  '!B151)</f>
        <v>0</v>
      </c>
      <c r="AC151" s="3">
        <f>SUMIFS('PowerApp_Physical count'!H:H,'PowerApp_Physical count'!B:B,' General Stock Summary View  '!$AB$2,'PowerApp_Physical count'!C:C,' General Stock Summary View  '!C151,'PowerApp_Physical count'!A:A,' General Stock Summary View  '!B151)</f>
        <v>0</v>
      </c>
      <c r="AD151" s="6">
        <f t="shared" si="14"/>
        <v>0</v>
      </c>
      <c r="AE151" s="7">
        <f t="shared" si="8"/>
        <v>4.0999999999999996</v>
      </c>
      <c r="AF151" s="8">
        <f t="shared" si="9"/>
        <v>0</v>
      </c>
      <c r="AG151" s="112"/>
    </row>
    <row r="152" spans="2:33" s="113" customFormat="1" ht="61.15">
      <c r="B152" s="117" t="s">
        <v>181</v>
      </c>
      <c r="C152" s="111" t="s">
        <v>162</v>
      </c>
      <c r="D152" s="11">
        <f>SUMIFS('XBS '!T:T,'XBS '!C:C,' General Stock Summary View  '!C152,'XBS '!L:L,' General Stock Summary View  '!B152)</f>
        <v>248</v>
      </c>
      <c r="E152" s="2">
        <f>SUMIFS('Blocked for Processing'!P:P,'Blocked for Processing'!I:I,' General Stock Summary View  '!B152,'Blocked for Processing'!C:C,' General Stock Summary View  '!C152)</f>
        <v>0</v>
      </c>
      <c r="F152" s="122">
        <f t="shared" si="0"/>
        <v>248</v>
      </c>
      <c r="G152" s="148">
        <f>SUMIFS('XBS '!T:T,'XBS '!H:H,' General Stock Summary View  '!$G$2,'XBS '!L:L,' General Stock Summary View  '!B152,'XBS '!C:C,' General Stock Summary View  '!C152)</f>
        <v>248</v>
      </c>
      <c r="H152" s="3">
        <f>SUMIFS('PowerApp_Physical count'!H:H,'PowerApp_Physical count'!B:B,' General Stock Summary View  '!$G$2,'PowerApp_Physical count'!C:C,' General Stock Summary View  '!C152,'PowerApp_Physical count'!A:A,' General Stock Summary View  '!B152)</f>
        <v>248</v>
      </c>
      <c r="I152" s="154">
        <f t="shared" si="16"/>
        <v>0</v>
      </c>
      <c r="J152" s="11">
        <f>SUMIFS('XBS '!T:T,'XBS '!H:H,' General Stock Summary View  '!$J$2,'XBS '!L:L,' General Stock Summary View  '!B152,'XBS '!C:C,' General Stock Summary View  '!C152)</f>
        <v>0</v>
      </c>
      <c r="K152" s="157">
        <f>SUMIFS('PowerApp_Physical count'!H:H,'PowerApp_Physical count'!B:B,' General Stock Summary View  '!$J$2,'PowerApp_Physical count'!C:C,' General Stock Summary View  '!C152,'PowerApp_Physical count'!A:A,' General Stock Summary View  '!B152)</f>
        <v>0</v>
      </c>
      <c r="L152" s="127">
        <f t="shared" si="15"/>
        <v>0</v>
      </c>
      <c r="M152" s="126">
        <f t="shared" si="2"/>
        <v>248</v>
      </c>
      <c r="N152" s="11">
        <f t="shared" si="3"/>
        <v>248</v>
      </c>
      <c r="O152" s="144">
        <f t="shared" si="10"/>
        <v>0</v>
      </c>
      <c r="P152" s="2">
        <f>SUMIFS('XBS '!T:T,'XBS '!H:H,' General Stock Summary View  '!$P$2,'XBS '!L:L,' General Stock Summary View  '!B152,'XBS '!C:C,' General Stock Summary View  '!C152)</f>
        <v>0</v>
      </c>
      <c r="Q152" s="3">
        <f>SUMIFS('PowerApp_Physical count'!H:H,'PowerApp_Physical count'!B:B,' General Stock Summary View  '!$P$2,'PowerApp_Physical count'!C:C,' General Stock Summary View  '!C152,'PowerApp_Physical count'!A:A,' General Stock Summary View  '!B152)</f>
        <v>0</v>
      </c>
      <c r="R152" s="4">
        <f t="shared" si="11"/>
        <v>0</v>
      </c>
      <c r="S152" s="5">
        <f>SUMIFS('XBS '!T:T,'XBS '!L:L,' General Stock Summary View  '!B152,'XBS '!H:H,' General Stock Summary View  '!$S$2,'XBS '!C:C,' General Stock Summary View  '!C152)</f>
        <v>0</v>
      </c>
      <c r="T152" s="3">
        <f>SUMIFS('PowerApp_Physical count'!H:H,'PowerApp_Physical count'!B:B,' General Stock Summary View  '!$S$2,'PowerApp_Physical count'!C:C,' General Stock Summary View  '!C152,'PowerApp_Physical count'!A:A,' General Stock Summary View  '!B152)</f>
        <v>0</v>
      </c>
      <c r="U152" s="4">
        <f t="shared" si="4"/>
        <v>0</v>
      </c>
      <c r="V152" s="2">
        <f>SUMIFS('XBS '!T:T,'XBS '!H:H,' General Stock Summary View  '!$V$2,'XBS '!B:B,' General Stock Summary View  '!C152,'XBS '!L:L,' General Stock Summary View  '!B152)</f>
        <v>0</v>
      </c>
      <c r="W152" s="3">
        <f>SUMIFS('PowerApp_Physical count'!H:H,'PowerApp_Physical count'!B:B,' General Stock Summary View  '!$V$2,'PowerApp_Physical count'!C:C,' General Stock Summary View  '!C152,'PowerApp_Physical count'!A:A,' General Stock Summary View  '!B152)</f>
        <v>0</v>
      </c>
      <c r="X152" s="4">
        <f t="shared" si="12"/>
        <v>0</v>
      </c>
      <c r="Y152" s="5">
        <f>SUMIFS('XBS '!T:T,'XBS '!H:H,' General Stock Summary View  '!$Y$2,'XBS '!B:B,' General Stock Summary View  '!C152,'XBS '!L:L,' General Stock Summary View  '!B152)</f>
        <v>0</v>
      </c>
      <c r="Z152" s="3">
        <f>SUMIFS('PowerApp_Physical count'!H:H,'PowerApp_Physical count'!B:B,' General Stock Summary View  '!$Y$2,'PowerApp_Physical count'!C:C,' General Stock Summary View  '!C152,'PowerApp_Physical count'!A:A,' General Stock Summary View  '!B152)</f>
        <v>0</v>
      </c>
      <c r="AA152" s="4">
        <f t="shared" si="13"/>
        <v>0</v>
      </c>
      <c r="AB152" s="5">
        <f>SUMIFS('XBS '!T:T,'XBS '!H:H,' General Stock Summary View  '!$AB$2,'XBS '!B:B,' General Stock Summary View  '!C152,'XBS '!L:L,' General Stock Summary View  '!B152)</f>
        <v>0</v>
      </c>
      <c r="AC152" s="3">
        <f>SUMIFS('PowerApp_Physical count'!H:H,'PowerApp_Physical count'!B:B,' General Stock Summary View  '!$AB$2,'PowerApp_Physical count'!C:C,' General Stock Summary View  '!C152,'PowerApp_Physical count'!A:A,' General Stock Summary View  '!B152)</f>
        <v>0</v>
      </c>
      <c r="AD152" s="6">
        <f t="shared" si="14"/>
        <v>0</v>
      </c>
      <c r="AE152" s="7">
        <f t="shared" si="8"/>
        <v>248</v>
      </c>
      <c r="AF152" s="8">
        <f t="shared" si="9"/>
        <v>0</v>
      </c>
      <c r="AG152" s="112"/>
    </row>
    <row r="153" spans="2:33" s="113" customFormat="1" ht="61.15">
      <c r="B153" s="117" t="s">
        <v>182</v>
      </c>
      <c r="C153" s="111" t="s">
        <v>162</v>
      </c>
      <c r="D153" s="11">
        <f>SUMIFS('XBS '!T:T,'XBS '!C:C,' General Stock Summary View  '!C153,'XBS '!L:L,' General Stock Summary View  '!B153)</f>
        <v>259.03333333333336</v>
      </c>
      <c r="E153" s="2">
        <f>SUMIFS('Blocked for Processing'!P:P,'Blocked for Processing'!I:I,' General Stock Summary View  '!B153,'Blocked for Processing'!C:C,' General Stock Summary View  '!C153)</f>
        <v>0</v>
      </c>
      <c r="F153" s="122">
        <f t="shared" si="0"/>
        <v>259.03333333333336</v>
      </c>
      <c r="G153" s="148">
        <f>SUMIFS('XBS '!T:T,'XBS '!H:H,' General Stock Summary View  '!$G$2,'XBS '!L:L,' General Stock Summary View  '!B153,'XBS '!C:C,' General Stock Summary View  '!C153)</f>
        <v>259.03333333333336</v>
      </c>
      <c r="H153" s="3">
        <f>SUMIFS('PowerApp_Physical count'!H:H,'PowerApp_Physical count'!B:B,' General Stock Summary View  '!$G$2,'PowerApp_Physical count'!C:C,' General Stock Summary View  '!C153,'PowerApp_Physical count'!A:A,' General Stock Summary View  '!B153)</f>
        <v>259.03333333333336</v>
      </c>
      <c r="I153" s="154">
        <f t="shared" si="16"/>
        <v>0</v>
      </c>
      <c r="J153" s="11">
        <f>SUMIFS('XBS '!T:T,'XBS '!H:H,' General Stock Summary View  '!$J$2,'XBS '!L:L,' General Stock Summary View  '!B153,'XBS '!C:C,' General Stock Summary View  '!C153)</f>
        <v>0</v>
      </c>
      <c r="K153" s="157">
        <f>SUMIFS('PowerApp_Physical count'!H:H,'PowerApp_Physical count'!B:B,' General Stock Summary View  '!$J$2,'PowerApp_Physical count'!C:C,' General Stock Summary View  '!C153,'PowerApp_Physical count'!A:A,' General Stock Summary View  '!B153)</f>
        <v>0</v>
      </c>
      <c r="L153" s="127">
        <f t="shared" si="15"/>
        <v>0</v>
      </c>
      <c r="M153" s="126">
        <f t="shared" si="2"/>
        <v>259.03333333333336</v>
      </c>
      <c r="N153" s="11">
        <f t="shared" si="3"/>
        <v>259.03333333333336</v>
      </c>
      <c r="O153" s="144">
        <f t="shared" si="10"/>
        <v>0</v>
      </c>
      <c r="P153" s="2">
        <f>SUMIFS('XBS '!T:T,'XBS '!H:H,' General Stock Summary View  '!$P$2,'XBS '!L:L,' General Stock Summary View  '!B153,'XBS '!C:C,' General Stock Summary View  '!C153)</f>
        <v>0</v>
      </c>
      <c r="Q153" s="3">
        <f>SUMIFS('PowerApp_Physical count'!H:H,'PowerApp_Physical count'!B:B,' General Stock Summary View  '!$P$2,'PowerApp_Physical count'!C:C,' General Stock Summary View  '!C153,'PowerApp_Physical count'!A:A,' General Stock Summary View  '!B153)</f>
        <v>0</v>
      </c>
      <c r="R153" s="4">
        <f t="shared" si="11"/>
        <v>0</v>
      </c>
      <c r="S153" s="5">
        <f>SUMIFS('XBS '!T:T,'XBS '!L:L,' General Stock Summary View  '!B153,'XBS '!H:H,' General Stock Summary View  '!$S$2,'XBS '!C:C,' General Stock Summary View  '!C153)</f>
        <v>0</v>
      </c>
      <c r="T153" s="3">
        <f>SUMIFS('PowerApp_Physical count'!H:H,'PowerApp_Physical count'!B:B,' General Stock Summary View  '!$S$2,'PowerApp_Physical count'!C:C,' General Stock Summary View  '!C153,'PowerApp_Physical count'!A:A,' General Stock Summary View  '!B153)</f>
        <v>0</v>
      </c>
      <c r="U153" s="4">
        <f t="shared" si="4"/>
        <v>0</v>
      </c>
      <c r="V153" s="2">
        <f>SUMIFS('XBS '!T:T,'XBS '!H:H,' General Stock Summary View  '!$V$2,'XBS '!B:B,' General Stock Summary View  '!C153,'XBS '!L:L,' General Stock Summary View  '!B153)</f>
        <v>0</v>
      </c>
      <c r="W153" s="3">
        <f>SUMIFS('PowerApp_Physical count'!H:H,'PowerApp_Physical count'!B:B,' General Stock Summary View  '!$V$2,'PowerApp_Physical count'!C:C,' General Stock Summary View  '!C153,'PowerApp_Physical count'!A:A,' General Stock Summary View  '!B153)</f>
        <v>0</v>
      </c>
      <c r="X153" s="4">
        <f t="shared" si="12"/>
        <v>0</v>
      </c>
      <c r="Y153" s="5">
        <f>SUMIFS('XBS '!T:T,'XBS '!H:H,' General Stock Summary View  '!$Y$2,'XBS '!B:B,' General Stock Summary View  '!C153,'XBS '!L:L,' General Stock Summary View  '!B153)</f>
        <v>0</v>
      </c>
      <c r="Z153" s="3">
        <f>SUMIFS('PowerApp_Physical count'!H:H,'PowerApp_Physical count'!B:B,' General Stock Summary View  '!$Y$2,'PowerApp_Physical count'!C:C,' General Stock Summary View  '!C153,'PowerApp_Physical count'!A:A,' General Stock Summary View  '!B153)</f>
        <v>0</v>
      </c>
      <c r="AA153" s="4">
        <f t="shared" si="13"/>
        <v>0</v>
      </c>
      <c r="AB153" s="5">
        <f>SUMIFS('XBS '!T:T,'XBS '!H:H,' General Stock Summary View  '!$AB$2,'XBS '!B:B,' General Stock Summary View  '!C153,'XBS '!L:L,' General Stock Summary View  '!B153)</f>
        <v>0</v>
      </c>
      <c r="AC153" s="3">
        <f>SUMIFS('PowerApp_Physical count'!H:H,'PowerApp_Physical count'!B:B,' General Stock Summary View  '!$AB$2,'PowerApp_Physical count'!C:C,' General Stock Summary View  '!C153,'PowerApp_Physical count'!A:A,' General Stock Summary View  '!B153)</f>
        <v>0</v>
      </c>
      <c r="AD153" s="6">
        <f t="shared" si="14"/>
        <v>0</v>
      </c>
      <c r="AE153" s="7">
        <f t="shared" si="8"/>
        <v>259.03333333333336</v>
      </c>
      <c r="AF153" s="8">
        <f t="shared" si="9"/>
        <v>0</v>
      </c>
      <c r="AG153" s="112"/>
    </row>
    <row r="154" spans="2:33" s="113" customFormat="1" ht="61.15">
      <c r="B154" s="117" t="s">
        <v>183</v>
      </c>
      <c r="C154" s="111" t="s">
        <v>162</v>
      </c>
      <c r="D154" s="11">
        <f>SUMIFS('XBS '!T:T,'XBS '!C:C,' General Stock Summary View  '!C154,'XBS '!L:L,' General Stock Summary View  '!B154)</f>
        <v>19.850000000000001</v>
      </c>
      <c r="E154" s="2">
        <f>SUMIFS('Blocked for Processing'!P:P,'Blocked for Processing'!I:I,' General Stock Summary View  '!B154,'Blocked for Processing'!C:C,' General Stock Summary View  '!C154)</f>
        <v>0</v>
      </c>
      <c r="F154" s="122">
        <f t="shared" si="0"/>
        <v>19.850000000000001</v>
      </c>
      <c r="G154" s="148">
        <f>SUMIFS('XBS '!T:T,'XBS '!H:H,' General Stock Summary View  '!$G$2,'XBS '!L:L,' General Stock Summary View  '!B154,'XBS '!C:C,' General Stock Summary View  '!C154)</f>
        <v>19.850000000000001</v>
      </c>
      <c r="H154" s="3">
        <f>SUMIFS('PowerApp_Physical count'!H:H,'PowerApp_Physical count'!B:B,' General Stock Summary View  '!$G$2,'PowerApp_Physical count'!C:C,' General Stock Summary View  '!C154,'PowerApp_Physical count'!A:A,' General Stock Summary View  '!B154)</f>
        <v>19.850000000000001</v>
      </c>
      <c r="I154" s="154">
        <f t="shared" si="16"/>
        <v>0</v>
      </c>
      <c r="J154" s="11">
        <f>SUMIFS('XBS '!T:T,'XBS '!H:H,' General Stock Summary View  '!$J$2,'XBS '!L:L,' General Stock Summary View  '!B154,'XBS '!C:C,' General Stock Summary View  '!C154)</f>
        <v>0</v>
      </c>
      <c r="K154" s="157">
        <f>SUMIFS('PowerApp_Physical count'!H:H,'PowerApp_Physical count'!B:B,' General Stock Summary View  '!$J$2,'PowerApp_Physical count'!C:C,' General Stock Summary View  '!C154,'PowerApp_Physical count'!A:A,' General Stock Summary View  '!B154)</f>
        <v>0</v>
      </c>
      <c r="L154" s="127">
        <f t="shared" si="15"/>
        <v>0</v>
      </c>
      <c r="M154" s="126">
        <f t="shared" si="2"/>
        <v>19.850000000000001</v>
      </c>
      <c r="N154" s="11">
        <f t="shared" si="3"/>
        <v>19.850000000000001</v>
      </c>
      <c r="O154" s="144">
        <f t="shared" si="10"/>
        <v>0</v>
      </c>
      <c r="P154" s="2">
        <f>SUMIFS('XBS '!T:T,'XBS '!H:H,' General Stock Summary View  '!$P$2,'XBS '!L:L,' General Stock Summary View  '!B154,'XBS '!C:C,' General Stock Summary View  '!C154)</f>
        <v>0</v>
      </c>
      <c r="Q154" s="3">
        <f>SUMIFS('PowerApp_Physical count'!H:H,'PowerApp_Physical count'!B:B,' General Stock Summary View  '!$P$2,'PowerApp_Physical count'!C:C,' General Stock Summary View  '!C154,'PowerApp_Physical count'!A:A,' General Stock Summary View  '!B154)</f>
        <v>0</v>
      </c>
      <c r="R154" s="4">
        <f t="shared" si="11"/>
        <v>0</v>
      </c>
      <c r="S154" s="5">
        <f>SUMIFS('XBS '!T:T,'XBS '!L:L,' General Stock Summary View  '!B154,'XBS '!H:H,' General Stock Summary View  '!$S$2,'XBS '!C:C,' General Stock Summary View  '!C154)</f>
        <v>0</v>
      </c>
      <c r="T154" s="3">
        <f>SUMIFS('PowerApp_Physical count'!H:H,'PowerApp_Physical count'!B:B,' General Stock Summary View  '!$S$2,'PowerApp_Physical count'!C:C,' General Stock Summary View  '!C154,'PowerApp_Physical count'!A:A,' General Stock Summary View  '!B154)</f>
        <v>0</v>
      </c>
      <c r="U154" s="4">
        <f t="shared" si="4"/>
        <v>0</v>
      </c>
      <c r="V154" s="2">
        <f>SUMIFS('XBS '!T:T,'XBS '!H:H,' General Stock Summary View  '!$V$2,'XBS '!B:B,' General Stock Summary View  '!C154,'XBS '!L:L,' General Stock Summary View  '!B154)</f>
        <v>0</v>
      </c>
      <c r="W154" s="3">
        <f>SUMIFS('PowerApp_Physical count'!H:H,'PowerApp_Physical count'!B:B,' General Stock Summary View  '!$V$2,'PowerApp_Physical count'!C:C,' General Stock Summary View  '!C154,'PowerApp_Physical count'!A:A,' General Stock Summary View  '!B154)</f>
        <v>0</v>
      </c>
      <c r="X154" s="4">
        <f t="shared" si="12"/>
        <v>0</v>
      </c>
      <c r="Y154" s="5">
        <f>SUMIFS('XBS '!T:T,'XBS '!H:H,' General Stock Summary View  '!$Y$2,'XBS '!B:B,' General Stock Summary View  '!C154,'XBS '!L:L,' General Stock Summary View  '!B154)</f>
        <v>0</v>
      </c>
      <c r="Z154" s="3">
        <f>SUMIFS('PowerApp_Physical count'!H:H,'PowerApp_Physical count'!B:B,' General Stock Summary View  '!$Y$2,'PowerApp_Physical count'!C:C,' General Stock Summary View  '!C154,'PowerApp_Physical count'!A:A,' General Stock Summary View  '!B154)</f>
        <v>0</v>
      </c>
      <c r="AA154" s="4">
        <f t="shared" si="13"/>
        <v>0</v>
      </c>
      <c r="AB154" s="5">
        <f>SUMIFS('XBS '!T:T,'XBS '!H:H,' General Stock Summary View  '!$AB$2,'XBS '!B:B,' General Stock Summary View  '!C154,'XBS '!L:L,' General Stock Summary View  '!B154)</f>
        <v>0</v>
      </c>
      <c r="AC154" s="3">
        <f>SUMIFS('PowerApp_Physical count'!H:H,'PowerApp_Physical count'!B:B,' General Stock Summary View  '!$AB$2,'PowerApp_Physical count'!C:C,' General Stock Summary View  '!C154,'PowerApp_Physical count'!A:A,' General Stock Summary View  '!B154)</f>
        <v>0</v>
      </c>
      <c r="AD154" s="6">
        <f t="shared" si="14"/>
        <v>0</v>
      </c>
      <c r="AE154" s="7">
        <f t="shared" si="8"/>
        <v>19.850000000000001</v>
      </c>
      <c r="AF154" s="8">
        <f t="shared" si="9"/>
        <v>0</v>
      </c>
      <c r="AG154" s="112"/>
    </row>
    <row r="155" spans="2:33" s="113" customFormat="1" ht="61.15">
      <c r="B155" s="117" t="s">
        <v>184</v>
      </c>
      <c r="C155" s="111" t="s">
        <v>162</v>
      </c>
      <c r="D155" s="11">
        <f>SUMIFS('XBS '!T:T,'XBS '!C:C,' General Stock Summary View  '!C155,'XBS '!L:L,' General Stock Summary View  '!B155)</f>
        <v>0.28333333333333333</v>
      </c>
      <c r="E155" s="2">
        <f>SUMIFS('Blocked for Processing'!P:P,'Blocked for Processing'!I:I,' General Stock Summary View  '!B155,'Blocked for Processing'!C:C,' General Stock Summary View  '!C155)</f>
        <v>0</v>
      </c>
      <c r="F155" s="122">
        <f t="shared" si="0"/>
        <v>0.28333333333333333</v>
      </c>
      <c r="G155" s="148">
        <f>SUMIFS('XBS '!T:T,'XBS '!H:H,' General Stock Summary View  '!$G$2,'XBS '!L:L,' General Stock Summary View  '!B155,'XBS '!C:C,' General Stock Summary View  '!C155)</f>
        <v>0.28333333333333333</v>
      </c>
      <c r="H155" s="3">
        <f>SUMIFS('PowerApp_Physical count'!H:H,'PowerApp_Physical count'!B:B,' General Stock Summary View  '!$G$2,'PowerApp_Physical count'!C:C,' General Stock Summary View  '!C155,'PowerApp_Physical count'!A:A,' General Stock Summary View  '!B155)</f>
        <v>0.28333333333333333</v>
      </c>
      <c r="I155" s="154">
        <f t="shared" si="16"/>
        <v>0</v>
      </c>
      <c r="J155" s="11">
        <f>SUMIFS('XBS '!T:T,'XBS '!H:H,' General Stock Summary View  '!$J$2,'XBS '!L:L,' General Stock Summary View  '!B155,'XBS '!C:C,' General Stock Summary View  '!C155)</f>
        <v>0</v>
      </c>
      <c r="K155" s="157">
        <f>SUMIFS('PowerApp_Physical count'!H:H,'PowerApp_Physical count'!B:B,' General Stock Summary View  '!$J$2,'PowerApp_Physical count'!C:C,' General Stock Summary View  '!C155,'PowerApp_Physical count'!A:A,' General Stock Summary View  '!B155)</f>
        <v>0</v>
      </c>
      <c r="L155" s="127">
        <f t="shared" si="15"/>
        <v>0</v>
      </c>
      <c r="M155" s="126">
        <f t="shared" si="2"/>
        <v>0.28333333333333333</v>
      </c>
      <c r="N155" s="11">
        <f t="shared" si="3"/>
        <v>0.28333333333333333</v>
      </c>
      <c r="O155" s="144">
        <f t="shared" si="10"/>
        <v>0</v>
      </c>
      <c r="P155" s="2">
        <f>SUMIFS('XBS '!T:T,'XBS '!H:H,' General Stock Summary View  '!$P$2,'XBS '!L:L,' General Stock Summary View  '!B155,'XBS '!C:C,' General Stock Summary View  '!C155)</f>
        <v>0</v>
      </c>
      <c r="Q155" s="3">
        <f>SUMIFS('PowerApp_Physical count'!H:H,'PowerApp_Physical count'!B:B,' General Stock Summary View  '!$P$2,'PowerApp_Physical count'!C:C,' General Stock Summary View  '!C155,'PowerApp_Physical count'!A:A,' General Stock Summary View  '!B155)</f>
        <v>0</v>
      </c>
      <c r="R155" s="4">
        <f t="shared" si="11"/>
        <v>0</v>
      </c>
      <c r="S155" s="5">
        <f>SUMIFS('XBS '!T:T,'XBS '!L:L,' General Stock Summary View  '!B155,'XBS '!H:H,' General Stock Summary View  '!$S$2,'XBS '!C:C,' General Stock Summary View  '!C155)</f>
        <v>0</v>
      </c>
      <c r="T155" s="3">
        <f>SUMIFS('PowerApp_Physical count'!H:H,'PowerApp_Physical count'!B:B,' General Stock Summary View  '!$S$2,'PowerApp_Physical count'!C:C,' General Stock Summary View  '!C155,'PowerApp_Physical count'!A:A,' General Stock Summary View  '!B155)</f>
        <v>0</v>
      </c>
      <c r="U155" s="4">
        <f t="shared" si="4"/>
        <v>0</v>
      </c>
      <c r="V155" s="2">
        <f>SUMIFS('XBS '!T:T,'XBS '!H:H,' General Stock Summary View  '!$V$2,'XBS '!B:B,' General Stock Summary View  '!C155,'XBS '!L:L,' General Stock Summary View  '!B155)</f>
        <v>0</v>
      </c>
      <c r="W155" s="3">
        <f>SUMIFS('PowerApp_Physical count'!H:H,'PowerApp_Physical count'!B:B,' General Stock Summary View  '!$V$2,'PowerApp_Physical count'!C:C,' General Stock Summary View  '!C155,'PowerApp_Physical count'!A:A,' General Stock Summary View  '!B155)</f>
        <v>0</v>
      </c>
      <c r="X155" s="4">
        <f t="shared" si="12"/>
        <v>0</v>
      </c>
      <c r="Y155" s="5">
        <f>SUMIFS('XBS '!T:T,'XBS '!H:H,' General Stock Summary View  '!$Y$2,'XBS '!B:B,' General Stock Summary View  '!C155,'XBS '!L:L,' General Stock Summary View  '!B155)</f>
        <v>0</v>
      </c>
      <c r="Z155" s="3">
        <f>SUMIFS('PowerApp_Physical count'!H:H,'PowerApp_Physical count'!B:B,' General Stock Summary View  '!$Y$2,'PowerApp_Physical count'!C:C,' General Stock Summary View  '!C155,'PowerApp_Physical count'!A:A,' General Stock Summary View  '!B155)</f>
        <v>0</v>
      </c>
      <c r="AA155" s="4">
        <f t="shared" si="13"/>
        <v>0</v>
      </c>
      <c r="AB155" s="5">
        <f>SUMIFS('XBS '!T:T,'XBS '!H:H,' General Stock Summary View  '!$AB$2,'XBS '!B:B,' General Stock Summary View  '!C155,'XBS '!L:L,' General Stock Summary View  '!B155)</f>
        <v>0</v>
      </c>
      <c r="AC155" s="3">
        <f>SUMIFS('PowerApp_Physical count'!H:H,'PowerApp_Physical count'!B:B,' General Stock Summary View  '!$AB$2,'PowerApp_Physical count'!C:C,' General Stock Summary View  '!C155,'PowerApp_Physical count'!A:A,' General Stock Summary View  '!B155)</f>
        <v>0</v>
      </c>
      <c r="AD155" s="6">
        <f t="shared" si="14"/>
        <v>0</v>
      </c>
      <c r="AE155" s="7">
        <f t="shared" si="8"/>
        <v>0.28333333333333333</v>
      </c>
      <c r="AF155" s="8">
        <f t="shared" si="9"/>
        <v>0</v>
      </c>
      <c r="AG155" s="112"/>
    </row>
    <row r="156" spans="2:33" s="113" customFormat="1" ht="61.15">
      <c r="B156" s="117" t="s">
        <v>185</v>
      </c>
      <c r="C156" s="111" t="s">
        <v>162</v>
      </c>
      <c r="D156" s="11">
        <f>SUMIFS('XBS '!T:T,'XBS '!C:C,' General Stock Summary View  '!C156,'XBS '!L:L,' General Stock Summary View  '!B156)</f>
        <v>47.5</v>
      </c>
      <c r="E156" s="2">
        <f>SUMIFS('Blocked for Processing'!P:P,'Blocked for Processing'!I:I,' General Stock Summary View  '!B156,'Blocked for Processing'!C:C,' General Stock Summary View  '!C156)</f>
        <v>0</v>
      </c>
      <c r="F156" s="122">
        <f t="shared" si="0"/>
        <v>47.5</v>
      </c>
      <c r="G156" s="148">
        <f>SUMIFS('XBS '!T:T,'XBS '!H:H,' General Stock Summary View  '!$G$2,'XBS '!L:L,' General Stock Summary View  '!B156,'XBS '!C:C,' General Stock Summary View  '!C156)</f>
        <v>47.5</v>
      </c>
      <c r="H156" s="3">
        <f>SUMIFS('PowerApp_Physical count'!H:H,'PowerApp_Physical count'!B:B,' General Stock Summary View  '!$G$2,'PowerApp_Physical count'!C:C,' General Stock Summary View  '!C156,'PowerApp_Physical count'!A:A,' General Stock Summary View  '!B156)</f>
        <v>47.5</v>
      </c>
      <c r="I156" s="154">
        <f t="shared" si="16"/>
        <v>0</v>
      </c>
      <c r="J156" s="11">
        <f>SUMIFS('XBS '!T:T,'XBS '!H:H,' General Stock Summary View  '!$J$2,'XBS '!L:L,' General Stock Summary View  '!B156,'XBS '!C:C,' General Stock Summary View  '!C156)</f>
        <v>0</v>
      </c>
      <c r="K156" s="157">
        <f>SUMIFS('PowerApp_Physical count'!H:H,'PowerApp_Physical count'!B:B,' General Stock Summary View  '!$J$2,'PowerApp_Physical count'!C:C,' General Stock Summary View  '!C156,'PowerApp_Physical count'!A:A,' General Stock Summary View  '!B156)</f>
        <v>0</v>
      </c>
      <c r="L156" s="127">
        <f t="shared" si="15"/>
        <v>0</v>
      </c>
      <c r="M156" s="126">
        <f t="shared" si="2"/>
        <v>47.5</v>
      </c>
      <c r="N156" s="11">
        <f t="shared" si="3"/>
        <v>47.5</v>
      </c>
      <c r="O156" s="144">
        <f t="shared" si="10"/>
        <v>0</v>
      </c>
      <c r="P156" s="2">
        <f>SUMIFS('XBS '!T:T,'XBS '!H:H,' General Stock Summary View  '!$P$2,'XBS '!L:L,' General Stock Summary View  '!B156,'XBS '!C:C,' General Stock Summary View  '!C156)</f>
        <v>0</v>
      </c>
      <c r="Q156" s="3">
        <f>SUMIFS('PowerApp_Physical count'!H:H,'PowerApp_Physical count'!B:B,' General Stock Summary View  '!$P$2,'PowerApp_Physical count'!C:C,' General Stock Summary View  '!C156,'PowerApp_Physical count'!A:A,' General Stock Summary View  '!B156)</f>
        <v>0</v>
      </c>
      <c r="R156" s="4">
        <f t="shared" si="11"/>
        <v>0</v>
      </c>
      <c r="S156" s="5">
        <f>SUMIFS('XBS '!T:T,'XBS '!L:L,' General Stock Summary View  '!B156,'XBS '!H:H,' General Stock Summary View  '!$S$2,'XBS '!C:C,' General Stock Summary View  '!C156)</f>
        <v>0</v>
      </c>
      <c r="T156" s="3">
        <f>SUMIFS('PowerApp_Physical count'!H:H,'PowerApp_Physical count'!B:B,' General Stock Summary View  '!$S$2,'PowerApp_Physical count'!C:C,' General Stock Summary View  '!C156,'PowerApp_Physical count'!A:A,' General Stock Summary View  '!B156)</f>
        <v>0</v>
      </c>
      <c r="U156" s="4">
        <f t="shared" si="4"/>
        <v>0</v>
      </c>
      <c r="V156" s="2">
        <f>SUMIFS('XBS '!T:T,'XBS '!H:H,' General Stock Summary View  '!$V$2,'XBS '!B:B,' General Stock Summary View  '!C156,'XBS '!L:L,' General Stock Summary View  '!B156)</f>
        <v>0</v>
      </c>
      <c r="W156" s="3">
        <f>SUMIFS('PowerApp_Physical count'!H:H,'PowerApp_Physical count'!B:B,' General Stock Summary View  '!$V$2,'PowerApp_Physical count'!C:C,' General Stock Summary View  '!C156,'PowerApp_Physical count'!A:A,' General Stock Summary View  '!B156)</f>
        <v>0</v>
      </c>
      <c r="X156" s="4">
        <f t="shared" si="12"/>
        <v>0</v>
      </c>
      <c r="Y156" s="5">
        <f>SUMIFS('XBS '!T:T,'XBS '!H:H,' General Stock Summary View  '!$Y$2,'XBS '!B:B,' General Stock Summary View  '!C156,'XBS '!L:L,' General Stock Summary View  '!B156)</f>
        <v>0</v>
      </c>
      <c r="Z156" s="3">
        <f>SUMIFS('PowerApp_Physical count'!H:H,'PowerApp_Physical count'!B:B,' General Stock Summary View  '!$Y$2,'PowerApp_Physical count'!C:C,' General Stock Summary View  '!C156,'PowerApp_Physical count'!A:A,' General Stock Summary View  '!B156)</f>
        <v>0</v>
      </c>
      <c r="AA156" s="4">
        <f t="shared" si="13"/>
        <v>0</v>
      </c>
      <c r="AB156" s="5">
        <f>SUMIFS('XBS '!T:T,'XBS '!H:H,' General Stock Summary View  '!$AB$2,'XBS '!B:B,' General Stock Summary View  '!C156,'XBS '!L:L,' General Stock Summary View  '!B156)</f>
        <v>0</v>
      </c>
      <c r="AC156" s="3">
        <f>SUMIFS('PowerApp_Physical count'!H:H,'PowerApp_Physical count'!B:B,' General Stock Summary View  '!$AB$2,'PowerApp_Physical count'!C:C,' General Stock Summary View  '!C156,'PowerApp_Physical count'!A:A,' General Stock Summary View  '!B156)</f>
        <v>0</v>
      </c>
      <c r="AD156" s="6">
        <f t="shared" si="14"/>
        <v>0</v>
      </c>
      <c r="AE156" s="7">
        <f t="shared" si="8"/>
        <v>47.5</v>
      </c>
      <c r="AF156" s="8">
        <f t="shared" si="9"/>
        <v>0</v>
      </c>
      <c r="AG156" s="112"/>
    </row>
    <row r="157" spans="2:33" s="113" customFormat="1" ht="61.15">
      <c r="B157" s="117" t="s">
        <v>186</v>
      </c>
      <c r="C157" s="111" t="s">
        <v>162</v>
      </c>
      <c r="D157" s="11">
        <f>SUMIFS('XBS '!T:T,'XBS '!C:C,' General Stock Summary View  '!C157,'XBS '!L:L,' General Stock Summary View  '!B157)</f>
        <v>175.31666666666666</v>
      </c>
      <c r="E157" s="2">
        <f>SUMIFS('Blocked for Processing'!P:P,'Blocked for Processing'!I:I,' General Stock Summary View  '!B157,'Blocked for Processing'!C:C,' General Stock Summary View  '!C157)</f>
        <v>0</v>
      </c>
      <c r="F157" s="122">
        <f t="shared" si="0"/>
        <v>175.31666666666666</v>
      </c>
      <c r="G157" s="148">
        <f>SUMIFS('XBS '!T:T,'XBS '!H:H,' General Stock Summary View  '!$G$2,'XBS '!L:L,' General Stock Summary View  '!B157,'XBS '!C:C,' General Stock Summary View  '!C157)</f>
        <v>175.31666666666666</v>
      </c>
      <c r="H157" s="3">
        <f>SUMIFS('PowerApp_Physical count'!H:H,'PowerApp_Physical count'!B:B,' General Stock Summary View  '!$G$2,'PowerApp_Physical count'!C:C,' General Stock Summary View  '!C157,'PowerApp_Physical count'!A:A,' General Stock Summary View  '!B157)</f>
        <v>175.31666666666666</v>
      </c>
      <c r="I157" s="154">
        <f t="shared" si="16"/>
        <v>0</v>
      </c>
      <c r="J157" s="11">
        <f>SUMIFS('XBS '!T:T,'XBS '!H:H,' General Stock Summary View  '!$J$2,'XBS '!L:L,' General Stock Summary View  '!B157,'XBS '!C:C,' General Stock Summary View  '!C157)</f>
        <v>0</v>
      </c>
      <c r="K157" s="157">
        <f>SUMIFS('PowerApp_Physical count'!H:H,'PowerApp_Physical count'!B:B,' General Stock Summary View  '!$J$2,'PowerApp_Physical count'!C:C,' General Stock Summary View  '!C157,'PowerApp_Physical count'!A:A,' General Stock Summary View  '!B157)</f>
        <v>0</v>
      </c>
      <c r="L157" s="127">
        <f t="shared" si="15"/>
        <v>0</v>
      </c>
      <c r="M157" s="126">
        <f t="shared" si="2"/>
        <v>175.31666666666666</v>
      </c>
      <c r="N157" s="11">
        <f t="shared" si="3"/>
        <v>175.31666666666666</v>
      </c>
      <c r="O157" s="144">
        <f t="shared" si="10"/>
        <v>0</v>
      </c>
      <c r="P157" s="2">
        <f>SUMIFS('XBS '!T:T,'XBS '!H:H,' General Stock Summary View  '!$P$2,'XBS '!L:L,' General Stock Summary View  '!B157,'XBS '!C:C,' General Stock Summary View  '!C157)</f>
        <v>0</v>
      </c>
      <c r="Q157" s="3">
        <f>SUMIFS('PowerApp_Physical count'!H:H,'PowerApp_Physical count'!B:B,' General Stock Summary View  '!$P$2,'PowerApp_Physical count'!C:C,' General Stock Summary View  '!C157,'PowerApp_Physical count'!A:A,' General Stock Summary View  '!B157)</f>
        <v>0</v>
      </c>
      <c r="R157" s="4">
        <f t="shared" si="11"/>
        <v>0</v>
      </c>
      <c r="S157" s="5">
        <f>SUMIFS('XBS '!T:T,'XBS '!L:L,' General Stock Summary View  '!B157,'XBS '!H:H,' General Stock Summary View  '!$S$2,'XBS '!C:C,' General Stock Summary View  '!C157)</f>
        <v>0</v>
      </c>
      <c r="T157" s="3">
        <f>SUMIFS('PowerApp_Physical count'!H:H,'PowerApp_Physical count'!B:B,' General Stock Summary View  '!$S$2,'PowerApp_Physical count'!C:C,' General Stock Summary View  '!C157,'PowerApp_Physical count'!A:A,' General Stock Summary View  '!B157)</f>
        <v>0</v>
      </c>
      <c r="U157" s="4">
        <f t="shared" si="4"/>
        <v>0</v>
      </c>
      <c r="V157" s="2">
        <f>SUMIFS('XBS '!T:T,'XBS '!H:H,' General Stock Summary View  '!$V$2,'XBS '!B:B,' General Stock Summary View  '!C157,'XBS '!L:L,' General Stock Summary View  '!B157)</f>
        <v>0</v>
      </c>
      <c r="W157" s="3">
        <f>SUMIFS('PowerApp_Physical count'!H:H,'PowerApp_Physical count'!B:B,' General Stock Summary View  '!$V$2,'PowerApp_Physical count'!C:C,' General Stock Summary View  '!C157,'PowerApp_Physical count'!A:A,' General Stock Summary View  '!B157)</f>
        <v>0</v>
      </c>
      <c r="X157" s="4">
        <f t="shared" si="12"/>
        <v>0</v>
      </c>
      <c r="Y157" s="5">
        <f>SUMIFS('XBS '!T:T,'XBS '!H:H,' General Stock Summary View  '!$Y$2,'XBS '!B:B,' General Stock Summary View  '!C157,'XBS '!L:L,' General Stock Summary View  '!B157)</f>
        <v>0</v>
      </c>
      <c r="Z157" s="3">
        <f>SUMIFS('PowerApp_Physical count'!H:H,'PowerApp_Physical count'!B:B,' General Stock Summary View  '!$Y$2,'PowerApp_Physical count'!C:C,' General Stock Summary View  '!C157,'PowerApp_Physical count'!A:A,' General Stock Summary View  '!B157)</f>
        <v>0</v>
      </c>
      <c r="AA157" s="4">
        <f t="shared" si="13"/>
        <v>0</v>
      </c>
      <c r="AB157" s="5">
        <f>SUMIFS('XBS '!T:T,'XBS '!H:H,' General Stock Summary View  '!$AB$2,'XBS '!B:B,' General Stock Summary View  '!C157,'XBS '!L:L,' General Stock Summary View  '!B157)</f>
        <v>0</v>
      </c>
      <c r="AC157" s="3">
        <f>SUMIFS('PowerApp_Physical count'!H:H,'PowerApp_Physical count'!B:B,' General Stock Summary View  '!$AB$2,'PowerApp_Physical count'!C:C,' General Stock Summary View  '!C157,'PowerApp_Physical count'!A:A,' General Stock Summary View  '!B157)</f>
        <v>0</v>
      </c>
      <c r="AD157" s="6">
        <f t="shared" si="14"/>
        <v>0</v>
      </c>
      <c r="AE157" s="7">
        <f t="shared" si="8"/>
        <v>175.31666666666666</v>
      </c>
      <c r="AF157" s="8">
        <f t="shared" si="9"/>
        <v>0</v>
      </c>
      <c r="AG157" s="112"/>
    </row>
    <row r="158" spans="2:33" s="113" customFormat="1" ht="61.15">
      <c r="B158" s="117" t="s">
        <v>187</v>
      </c>
      <c r="C158" s="111" t="s">
        <v>162</v>
      </c>
      <c r="D158" s="11">
        <f>SUMIFS('XBS '!T:T,'XBS '!C:C,' General Stock Summary View  '!C158,'XBS '!L:L,' General Stock Summary View  '!B158)</f>
        <v>8.9833333333333325</v>
      </c>
      <c r="E158" s="2">
        <f>SUMIFS('Blocked for Processing'!P:P,'Blocked for Processing'!I:I,' General Stock Summary View  '!B158,'Blocked for Processing'!C:C,' General Stock Summary View  '!C158)</f>
        <v>0</v>
      </c>
      <c r="F158" s="122">
        <f t="shared" si="0"/>
        <v>8.9833333333333325</v>
      </c>
      <c r="G158" s="148">
        <f>SUMIFS('XBS '!T:T,'XBS '!H:H,' General Stock Summary View  '!$G$2,'XBS '!L:L,' General Stock Summary View  '!B158,'XBS '!C:C,' General Stock Summary View  '!C158)</f>
        <v>8.9833333333333325</v>
      </c>
      <c r="H158" s="3">
        <f>SUMIFS('PowerApp_Physical count'!H:H,'PowerApp_Physical count'!B:B,' General Stock Summary View  '!$G$2,'PowerApp_Physical count'!C:C,' General Stock Summary View  '!C158,'PowerApp_Physical count'!A:A,' General Stock Summary View  '!B158)</f>
        <v>8.9833333333333325</v>
      </c>
      <c r="I158" s="154">
        <f t="shared" si="16"/>
        <v>0</v>
      </c>
      <c r="J158" s="11">
        <f>SUMIFS('XBS '!T:T,'XBS '!H:H,' General Stock Summary View  '!$J$2,'XBS '!L:L,' General Stock Summary View  '!B158,'XBS '!C:C,' General Stock Summary View  '!C158)</f>
        <v>0</v>
      </c>
      <c r="K158" s="157">
        <f>SUMIFS('PowerApp_Physical count'!H:H,'PowerApp_Physical count'!B:B,' General Stock Summary View  '!$J$2,'PowerApp_Physical count'!C:C,' General Stock Summary View  '!C158,'PowerApp_Physical count'!A:A,' General Stock Summary View  '!B158)</f>
        <v>0</v>
      </c>
      <c r="L158" s="127">
        <f t="shared" si="15"/>
        <v>0</v>
      </c>
      <c r="M158" s="126">
        <f t="shared" si="2"/>
        <v>8.9833333333333325</v>
      </c>
      <c r="N158" s="11">
        <f t="shared" si="3"/>
        <v>8.9833333333333325</v>
      </c>
      <c r="O158" s="144">
        <f t="shared" si="10"/>
        <v>0</v>
      </c>
      <c r="P158" s="2">
        <f>SUMIFS('XBS '!T:T,'XBS '!H:H,' General Stock Summary View  '!$P$2,'XBS '!L:L,' General Stock Summary View  '!B158,'XBS '!C:C,' General Stock Summary View  '!C158)</f>
        <v>0</v>
      </c>
      <c r="Q158" s="3">
        <f>SUMIFS('PowerApp_Physical count'!H:H,'PowerApp_Physical count'!B:B,' General Stock Summary View  '!$P$2,'PowerApp_Physical count'!C:C,' General Stock Summary View  '!C158,'PowerApp_Physical count'!A:A,' General Stock Summary View  '!B158)</f>
        <v>0</v>
      </c>
      <c r="R158" s="4">
        <f t="shared" si="11"/>
        <v>0</v>
      </c>
      <c r="S158" s="5">
        <f>SUMIFS('XBS '!T:T,'XBS '!L:L,' General Stock Summary View  '!B158,'XBS '!H:H,' General Stock Summary View  '!$S$2,'XBS '!C:C,' General Stock Summary View  '!C158)</f>
        <v>0</v>
      </c>
      <c r="T158" s="3">
        <f>SUMIFS('PowerApp_Physical count'!H:H,'PowerApp_Physical count'!B:B,' General Stock Summary View  '!$S$2,'PowerApp_Physical count'!C:C,' General Stock Summary View  '!C158,'PowerApp_Physical count'!A:A,' General Stock Summary View  '!B158)</f>
        <v>0</v>
      </c>
      <c r="U158" s="4">
        <f t="shared" si="4"/>
        <v>0</v>
      </c>
      <c r="V158" s="2">
        <f>SUMIFS('XBS '!T:T,'XBS '!H:H,' General Stock Summary View  '!$V$2,'XBS '!B:B,' General Stock Summary View  '!C158,'XBS '!L:L,' General Stock Summary View  '!B158)</f>
        <v>0</v>
      </c>
      <c r="W158" s="3">
        <f>SUMIFS('PowerApp_Physical count'!H:H,'PowerApp_Physical count'!B:B,' General Stock Summary View  '!$V$2,'PowerApp_Physical count'!C:C,' General Stock Summary View  '!C158,'PowerApp_Physical count'!A:A,' General Stock Summary View  '!B158)</f>
        <v>0</v>
      </c>
      <c r="X158" s="4">
        <f t="shared" si="12"/>
        <v>0</v>
      </c>
      <c r="Y158" s="5">
        <f>SUMIFS('XBS '!T:T,'XBS '!H:H,' General Stock Summary View  '!$Y$2,'XBS '!B:B,' General Stock Summary View  '!C158,'XBS '!L:L,' General Stock Summary View  '!B158)</f>
        <v>0</v>
      </c>
      <c r="Z158" s="3">
        <f>SUMIFS('PowerApp_Physical count'!H:H,'PowerApp_Physical count'!B:B,' General Stock Summary View  '!$Y$2,'PowerApp_Physical count'!C:C,' General Stock Summary View  '!C158,'PowerApp_Physical count'!A:A,' General Stock Summary View  '!B158)</f>
        <v>0</v>
      </c>
      <c r="AA158" s="4">
        <f t="shared" si="13"/>
        <v>0</v>
      </c>
      <c r="AB158" s="5">
        <f>SUMIFS('XBS '!T:T,'XBS '!H:H,' General Stock Summary View  '!$AB$2,'XBS '!B:B,' General Stock Summary View  '!C158,'XBS '!L:L,' General Stock Summary View  '!B158)</f>
        <v>0</v>
      </c>
      <c r="AC158" s="3">
        <f>SUMIFS('PowerApp_Physical count'!H:H,'PowerApp_Physical count'!B:B,' General Stock Summary View  '!$AB$2,'PowerApp_Physical count'!C:C,' General Stock Summary View  '!C158,'PowerApp_Physical count'!A:A,' General Stock Summary View  '!B158)</f>
        <v>0</v>
      </c>
      <c r="AD158" s="6">
        <f t="shared" si="14"/>
        <v>0</v>
      </c>
      <c r="AE158" s="7">
        <f t="shared" si="8"/>
        <v>8.9833333333333325</v>
      </c>
      <c r="AF158" s="8">
        <f t="shared" si="9"/>
        <v>0</v>
      </c>
      <c r="AG158" s="112"/>
    </row>
    <row r="159" spans="2:33" s="113" customFormat="1" ht="61.15">
      <c r="B159" s="117" t="s">
        <v>188</v>
      </c>
      <c r="C159" s="111" t="s">
        <v>162</v>
      </c>
      <c r="D159" s="11">
        <f>SUMIFS('XBS '!T:T,'XBS '!C:C,' General Stock Summary View  '!C159,'XBS '!L:L,' General Stock Summary View  '!B159)</f>
        <v>640</v>
      </c>
      <c r="E159" s="2">
        <f>SUMIFS('Blocked for Processing'!P:P,'Blocked for Processing'!I:I,' General Stock Summary View  '!B159,'Blocked for Processing'!C:C,' General Stock Summary View  '!C159)</f>
        <v>0</v>
      </c>
      <c r="F159" s="122">
        <f t="shared" si="0"/>
        <v>640</v>
      </c>
      <c r="G159" s="148">
        <f>SUMIFS('XBS '!T:T,'XBS '!H:H,' General Stock Summary View  '!$G$2,'XBS '!L:L,' General Stock Summary View  '!B159,'XBS '!C:C,' General Stock Summary View  '!C159)</f>
        <v>640</v>
      </c>
      <c r="H159" s="3">
        <f>SUMIFS('PowerApp_Physical count'!H:H,'PowerApp_Physical count'!B:B,' General Stock Summary View  '!$G$2,'PowerApp_Physical count'!C:C,' General Stock Summary View  '!C159,'PowerApp_Physical count'!A:A,' General Stock Summary View  '!B159)</f>
        <v>640</v>
      </c>
      <c r="I159" s="154">
        <f t="shared" si="16"/>
        <v>0</v>
      </c>
      <c r="J159" s="11">
        <f>SUMIFS('XBS '!T:T,'XBS '!H:H,' General Stock Summary View  '!$J$2,'XBS '!L:L,' General Stock Summary View  '!B159,'XBS '!C:C,' General Stock Summary View  '!C159)</f>
        <v>0</v>
      </c>
      <c r="K159" s="157">
        <f>SUMIFS('PowerApp_Physical count'!H:H,'PowerApp_Physical count'!B:B,' General Stock Summary View  '!$J$2,'PowerApp_Physical count'!C:C,' General Stock Summary View  '!C159,'PowerApp_Physical count'!A:A,' General Stock Summary View  '!B159)</f>
        <v>0</v>
      </c>
      <c r="L159" s="127">
        <f t="shared" si="15"/>
        <v>0</v>
      </c>
      <c r="M159" s="126">
        <f t="shared" si="2"/>
        <v>640</v>
      </c>
      <c r="N159" s="11">
        <f t="shared" si="3"/>
        <v>640</v>
      </c>
      <c r="O159" s="144">
        <f t="shared" si="10"/>
        <v>0</v>
      </c>
      <c r="P159" s="2">
        <f>SUMIFS('XBS '!T:T,'XBS '!H:H,' General Stock Summary View  '!$P$2,'XBS '!L:L,' General Stock Summary View  '!B159,'XBS '!C:C,' General Stock Summary View  '!C159)</f>
        <v>0</v>
      </c>
      <c r="Q159" s="3">
        <f>SUMIFS('PowerApp_Physical count'!H:H,'PowerApp_Physical count'!B:B,' General Stock Summary View  '!$P$2,'PowerApp_Physical count'!C:C,' General Stock Summary View  '!C159,'PowerApp_Physical count'!A:A,' General Stock Summary View  '!B159)</f>
        <v>0</v>
      </c>
      <c r="R159" s="4">
        <f t="shared" si="11"/>
        <v>0</v>
      </c>
      <c r="S159" s="5">
        <f>SUMIFS('XBS '!T:T,'XBS '!L:L,' General Stock Summary View  '!B159,'XBS '!H:H,' General Stock Summary View  '!$S$2,'XBS '!C:C,' General Stock Summary View  '!C159)</f>
        <v>0</v>
      </c>
      <c r="T159" s="3">
        <f>SUMIFS('PowerApp_Physical count'!H:H,'PowerApp_Physical count'!B:B,' General Stock Summary View  '!$S$2,'PowerApp_Physical count'!C:C,' General Stock Summary View  '!C159,'PowerApp_Physical count'!A:A,' General Stock Summary View  '!B159)</f>
        <v>0</v>
      </c>
      <c r="U159" s="4">
        <f t="shared" si="4"/>
        <v>0</v>
      </c>
      <c r="V159" s="2">
        <f>SUMIFS('XBS '!T:T,'XBS '!H:H,' General Stock Summary View  '!$V$2,'XBS '!B:B,' General Stock Summary View  '!C159,'XBS '!L:L,' General Stock Summary View  '!B159)</f>
        <v>0</v>
      </c>
      <c r="W159" s="3">
        <f>SUMIFS('PowerApp_Physical count'!H:H,'PowerApp_Physical count'!B:B,' General Stock Summary View  '!$V$2,'PowerApp_Physical count'!C:C,' General Stock Summary View  '!C159,'PowerApp_Physical count'!A:A,' General Stock Summary View  '!B159)</f>
        <v>0</v>
      </c>
      <c r="X159" s="4">
        <f t="shared" si="12"/>
        <v>0</v>
      </c>
      <c r="Y159" s="5">
        <f>SUMIFS('XBS '!T:T,'XBS '!H:H,' General Stock Summary View  '!$Y$2,'XBS '!B:B,' General Stock Summary View  '!C159,'XBS '!L:L,' General Stock Summary View  '!B159)</f>
        <v>0</v>
      </c>
      <c r="Z159" s="3">
        <f>SUMIFS('PowerApp_Physical count'!H:H,'PowerApp_Physical count'!B:B,' General Stock Summary View  '!$Y$2,'PowerApp_Physical count'!C:C,' General Stock Summary View  '!C159,'PowerApp_Physical count'!A:A,' General Stock Summary View  '!B159)</f>
        <v>0</v>
      </c>
      <c r="AA159" s="4">
        <f t="shared" si="13"/>
        <v>0</v>
      </c>
      <c r="AB159" s="5">
        <f>SUMIFS('XBS '!T:T,'XBS '!H:H,' General Stock Summary View  '!$AB$2,'XBS '!B:B,' General Stock Summary View  '!C159,'XBS '!L:L,' General Stock Summary View  '!B159)</f>
        <v>0</v>
      </c>
      <c r="AC159" s="3">
        <f>SUMIFS('PowerApp_Physical count'!H:H,'PowerApp_Physical count'!B:B,' General Stock Summary View  '!$AB$2,'PowerApp_Physical count'!C:C,' General Stock Summary View  '!C159,'PowerApp_Physical count'!A:A,' General Stock Summary View  '!B159)</f>
        <v>0</v>
      </c>
      <c r="AD159" s="6">
        <f t="shared" si="14"/>
        <v>0</v>
      </c>
      <c r="AE159" s="7">
        <f t="shared" si="8"/>
        <v>640</v>
      </c>
      <c r="AF159" s="8">
        <f t="shared" si="9"/>
        <v>0</v>
      </c>
      <c r="AG159" s="112"/>
    </row>
    <row r="160" spans="2:33" s="113" customFormat="1" ht="61.15">
      <c r="B160" s="117" t="s">
        <v>189</v>
      </c>
      <c r="C160" s="111" t="s">
        <v>162</v>
      </c>
      <c r="D160" s="11">
        <f>SUMIFS('XBS '!T:T,'XBS '!C:C,' General Stock Summary View  '!C160,'XBS '!L:L,' General Stock Summary View  '!B160)</f>
        <v>35.366666666666667</v>
      </c>
      <c r="E160" s="2">
        <f>SUMIFS('Blocked for Processing'!P:P,'Blocked for Processing'!I:I,' General Stock Summary View  '!B160,'Blocked for Processing'!C:C,' General Stock Summary View  '!C160)</f>
        <v>0</v>
      </c>
      <c r="F160" s="122">
        <f t="shared" si="0"/>
        <v>35.366666666666667</v>
      </c>
      <c r="G160" s="148">
        <f>SUMIFS('XBS '!T:T,'XBS '!H:H,' General Stock Summary View  '!$G$2,'XBS '!L:L,' General Stock Summary View  '!B160,'XBS '!C:C,' General Stock Summary View  '!C160)</f>
        <v>35.366666666666667</v>
      </c>
      <c r="H160" s="3">
        <f>SUMIFS('PowerApp_Physical count'!H:H,'PowerApp_Physical count'!B:B,' General Stock Summary View  '!$G$2,'PowerApp_Physical count'!C:C,' General Stock Summary View  '!C160,'PowerApp_Physical count'!A:A,' General Stock Summary View  '!B160)</f>
        <v>35.366666666666667</v>
      </c>
      <c r="I160" s="154">
        <f t="shared" si="16"/>
        <v>0</v>
      </c>
      <c r="J160" s="11">
        <f>SUMIFS('XBS '!T:T,'XBS '!H:H,' General Stock Summary View  '!$J$2,'XBS '!L:L,' General Stock Summary View  '!B160,'XBS '!C:C,' General Stock Summary View  '!C160)</f>
        <v>0</v>
      </c>
      <c r="K160" s="157">
        <f>SUMIFS('PowerApp_Physical count'!H:H,'PowerApp_Physical count'!B:B,' General Stock Summary View  '!$J$2,'PowerApp_Physical count'!C:C,' General Stock Summary View  '!C160,'PowerApp_Physical count'!A:A,' General Stock Summary View  '!B160)</f>
        <v>0</v>
      </c>
      <c r="L160" s="127">
        <f t="shared" si="15"/>
        <v>0</v>
      </c>
      <c r="M160" s="126">
        <f t="shared" si="2"/>
        <v>35.366666666666667</v>
      </c>
      <c r="N160" s="11">
        <f t="shared" si="3"/>
        <v>35.366666666666667</v>
      </c>
      <c r="O160" s="144">
        <f t="shared" si="10"/>
        <v>0</v>
      </c>
      <c r="P160" s="2">
        <f>SUMIFS('XBS '!T:T,'XBS '!H:H,' General Stock Summary View  '!$P$2,'XBS '!L:L,' General Stock Summary View  '!B160,'XBS '!C:C,' General Stock Summary View  '!C160)</f>
        <v>0</v>
      </c>
      <c r="Q160" s="3">
        <f>SUMIFS('PowerApp_Physical count'!H:H,'PowerApp_Physical count'!B:B,' General Stock Summary View  '!$P$2,'PowerApp_Physical count'!C:C,' General Stock Summary View  '!C160,'PowerApp_Physical count'!A:A,' General Stock Summary View  '!B160)</f>
        <v>0</v>
      </c>
      <c r="R160" s="4">
        <f t="shared" si="11"/>
        <v>0</v>
      </c>
      <c r="S160" s="5">
        <f>SUMIFS('XBS '!T:T,'XBS '!L:L,' General Stock Summary View  '!B160,'XBS '!H:H,' General Stock Summary View  '!$S$2,'XBS '!C:C,' General Stock Summary View  '!C160)</f>
        <v>0</v>
      </c>
      <c r="T160" s="3">
        <f>SUMIFS('PowerApp_Physical count'!H:H,'PowerApp_Physical count'!B:B,' General Stock Summary View  '!$S$2,'PowerApp_Physical count'!C:C,' General Stock Summary View  '!C160,'PowerApp_Physical count'!A:A,' General Stock Summary View  '!B160)</f>
        <v>0</v>
      </c>
      <c r="U160" s="4">
        <f t="shared" si="4"/>
        <v>0</v>
      </c>
      <c r="V160" s="2">
        <f>SUMIFS('XBS '!T:T,'XBS '!H:H,' General Stock Summary View  '!$V$2,'XBS '!B:B,' General Stock Summary View  '!C160,'XBS '!L:L,' General Stock Summary View  '!B160)</f>
        <v>0</v>
      </c>
      <c r="W160" s="3">
        <f>SUMIFS('PowerApp_Physical count'!H:H,'PowerApp_Physical count'!B:B,' General Stock Summary View  '!$V$2,'PowerApp_Physical count'!C:C,' General Stock Summary View  '!C160,'PowerApp_Physical count'!A:A,' General Stock Summary View  '!B160)</f>
        <v>0</v>
      </c>
      <c r="X160" s="4">
        <f t="shared" si="12"/>
        <v>0</v>
      </c>
      <c r="Y160" s="5">
        <f>SUMIFS('XBS '!T:T,'XBS '!H:H,' General Stock Summary View  '!$Y$2,'XBS '!B:B,' General Stock Summary View  '!C160,'XBS '!L:L,' General Stock Summary View  '!B160)</f>
        <v>0</v>
      </c>
      <c r="Z160" s="3">
        <f>SUMIFS('PowerApp_Physical count'!H:H,'PowerApp_Physical count'!B:B,' General Stock Summary View  '!$Y$2,'PowerApp_Physical count'!C:C,' General Stock Summary View  '!C160,'PowerApp_Physical count'!A:A,' General Stock Summary View  '!B160)</f>
        <v>0</v>
      </c>
      <c r="AA160" s="4">
        <f t="shared" si="13"/>
        <v>0</v>
      </c>
      <c r="AB160" s="5">
        <f>SUMIFS('XBS '!T:T,'XBS '!H:H,' General Stock Summary View  '!$AB$2,'XBS '!B:B,' General Stock Summary View  '!C160,'XBS '!L:L,' General Stock Summary View  '!B160)</f>
        <v>0</v>
      </c>
      <c r="AC160" s="3">
        <f>SUMIFS('PowerApp_Physical count'!H:H,'PowerApp_Physical count'!B:B,' General Stock Summary View  '!$AB$2,'PowerApp_Physical count'!C:C,' General Stock Summary View  '!C160,'PowerApp_Physical count'!A:A,' General Stock Summary View  '!B160)</f>
        <v>0</v>
      </c>
      <c r="AD160" s="6">
        <f t="shared" si="14"/>
        <v>0</v>
      </c>
      <c r="AE160" s="7">
        <f t="shared" si="8"/>
        <v>35.366666666666667</v>
      </c>
      <c r="AF160" s="8">
        <f t="shared" si="9"/>
        <v>0</v>
      </c>
      <c r="AG160" s="112"/>
    </row>
    <row r="161" spans="2:33" s="113" customFormat="1" ht="61.15">
      <c r="B161" s="117" t="s">
        <v>190</v>
      </c>
      <c r="C161" s="111" t="s">
        <v>162</v>
      </c>
      <c r="D161" s="11">
        <f>SUMIFS('XBS '!T:T,'XBS '!C:C,' General Stock Summary View  '!C161,'XBS '!L:L,' General Stock Summary View  '!B161)</f>
        <v>146.9</v>
      </c>
      <c r="E161" s="2">
        <f>SUMIFS('Blocked for Processing'!P:P,'Blocked for Processing'!I:I,' General Stock Summary View  '!B161,'Blocked for Processing'!C:C,' General Stock Summary View  '!C161)</f>
        <v>0</v>
      </c>
      <c r="F161" s="122">
        <f t="shared" si="0"/>
        <v>146.9</v>
      </c>
      <c r="G161" s="148">
        <f>SUMIFS('XBS '!T:T,'XBS '!H:H,' General Stock Summary View  '!$G$2,'XBS '!L:L,' General Stock Summary View  '!B161,'XBS '!C:C,' General Stock Summary View  '!C161)</f>
        <v>146.9</v>
      </c>
      <c r="H161" s="3">
        <f>SUMIFS('PowerApp_Physical count'!H:H,'PowerApp_Physical count'!B:B,' General Stock Summary View  '!$G$2,'PowerApp_Physical count'!C:C,' General Stock Summary View  '!C161,'PowerApp_Physical count'!A:A,' General Stock Summary View  '!B161)</f>
        <v>146.73333333333332</v>
      </c>
      <c r="I161" s="154">
        <f t="shared" si="16"/>
        <v>-0.16666666666668561</v>
      </c>
      <c r="J161" s="11">
        <f>SUMIFS('XBS '!T:T,'XBS '!H:H,' General Stock Summary View  '!$J$2,'XBS '!L:L,' General Stock Summary View  '!B161,'XBS '!C:C,' General Stock Summary View  '!C161)</f>
        <v>0</v>
      </c>
      <c r="K161" s="157">
        <f>SUMIFS('PowerApp_Physical count'!H:H,'PowerApp_Physical count'!B:B,' General Stock Summary View  '!$J$2,'PowerApp_Physical count'!C:C,' General Stock Summary View  '!C161,'PowerApp_Physical count'!A:A,' General Stock Summary View  '!B161)</f>
        <v>0</v>
      </c>
      <c r="L161" s="127">
        <f t="shared" si="15"/>
        <v>0</v>
      </c>
      <c r="M161" s="126">
        <f t="shared" si="2"/>
        <v>146.9</v>
      </c>
      <c r="N161" s="11">
        <f t="shared" si="3"/>
        <v>146.73333333333332</v>
      </c>
      <c r="O161" s="144">
        <f t="shared" si="10"/>
        <v>-0.16666666666668561</v>
      </c>
      <c r="P161" s="2">
        <f>SUMIFS('XBS '!T:T,'XBS '!H:H,' General Stock Summary View  '!$P$2,'XBS '!L:L,' General Stock Summary View  '!B161,'XBS '!C:C,' General Stock Summary View  '!C161)</f>
        <v>0</v>
      </c>
      <c r="Q161" s="3">
        <f>SUMIFS('PowerApp_Physical count'!H:H,'PowerApp_Physical count'!B:B,' General Stock Summary View  '!$P$2,'PowerApp_Physical count'!C:C,' General Stock Summary View  '!C161,'PowerApp_Physical count'!A:A,' General Stock Summary View  '!B161)</f>
        <v>0</v>
      </c>
      <c r="R161" s="4">
        <f t="shared" si="11"/>
        <v>0</v>
      </c>
      <c r="S161" s="5">
        <f>SUMIFS('XBS '!T:T,'XBS '!L:L,' General Stock Summary View  '!B161,'XBS '!H:H,' General Stock Summary View  '!$S$2,'XBS '!C:C,' General Stock Summary View  '!C161)</f>
        <v>0</v>
      </c>
      <c r="T161" s="3">
        <f>SUMIFS('PowerApp_Physical count'!H:H,'PowerApp_Physical count'!B:B,' General Stock Summary View  '!$S$2,'PowerApp_Physical count'!C:C,' General Stock Summary View  '!C161,'PowerApp_Physical count'!A:A,' General Stock Summary View  '!B161)</f>
        <v>0</v>
      </c>
      <c r="U161" s="4">
        <f t="shared" si="4"/>
        <v>0</v>
      </c>
      <c r="V161" s="2">
        <f>SUMIFS('XBS '!T:T,'XBS '!H:H,' General Stock Summary View  '!$V$2,'XBS '!B:B,' General Stock Summary View  '!C161,'XBS '!L:L,' General Stock Summary View  '!B161)</f>
        <v>0</v>
      </c>
      <c r="W161" s="3">
        <f>SUMIFS('PowerApp_Physical count'!H:H,'PowerApp_Physical count'!B:B,' General Stock Summary View  '!$V$2,'PowerApp_Physical count'!C:C,' General Stock Summary View  '!C161,'PowerApp_Physical count'!A:A,' General Stock Summary View  '!B161)</f>
        <v>0</v>
      </c>
      <c r="X161" s="4">
        <f t="shared" si="12"/>
        <v>0</v>
      </c>
      <c r="Y161" s="5">
        <f>SUMIFS('XBS '!T:T,'XBS '!H:H,' General Stock Summary View  '!$Y$2,'XBS '!B:B,' General Stock Summary View  '!C161,'XBS '!L:L,' General Stock Summary View  '!B161)</f>
        <v>0</v>
      </c>
      <c r="Z161" s="3">
        <f>SUMIFS('PowerApp_Physical count'!H:H,'PowerApp_Physical count'!B:B,' General Stock Summary View  '!$Y$2,'PowerApp_Physical count'!C:C,' General Stock Summary View  '!C161,'PowerApp_Physical count'!A:A,' General Stock Summary View  '!B161)</f>
        <v>0</v>
      </c>
      <c r="AA161" s="4">
        <f t="shared" si="13"/>
        <v>0</v>
      </c>
      <c r="AB161" s="5">
        <f>SUMIFS('XBS '!T:T,'XBS '!H:H,' General Stock Summary View  '!$AB$2,'XBS '!B:B,' General Stock Summary View  '!C161,'XBS '!L:L,' General Stock Summary View  '!B161)</f>
        <v>0</v>
      </c>
      <c r="AC161" s="3">
        <f>SUMIFS('PowerApp_Physical count'!H:H,'PowerApp_Physical count'!B:B,' General Stock Summary View  '!$AB$2,'PowerApp_Physical count'!C:C,' General Stock Summary View  '!C161,'PowerApp_Physical count'!A:A,' General Stock Summary View  '!B161)</f>
        <v>0</v>
      </c>
      <c r="AD161" s="6">
        <f t="shared" si="14"/>
        <v>0</v>
      </c>
      <c r="AE161" s="7">
        <f t="shared" si="8"/>
        <v>146.73333333333332</v>
      </c>
      <c r="AF161" s="8">
        <f t="shared" si="9"/>
        <v>-0.16666666666668561</v>
      </c>
      <c r="AG161" s="112"/>
    </row>
    <row r="162" spans="2:33" s="113" customFormat="1" ht="61.15">
      <c r="B162" s="117" t="s">
        <v>191</v>
      </c>
      <c r="C162" s="111" t="s">
        <v>162</v>
      </c>
      <c r="D162" s="11">
        <f>SUMIFS('XBS '!T:T,'XBS '!C:C,' General Stock Summary View  '!C162,'XBS '!L:L,' General Stock Summary View  '!B162)</f>
        <v>6.8833333333333337</v>
      </c>
      <c r="E162" s="2">
        <f>SUMIFS('Blocked for Processing'!P:P,'Blocked for Processing'!I:I,' General Stock Summary View  '!B162,'Blocked for Processing'!C:C,' General Stock Summary View  '!C162)</f>
        <v>0</v>
      </c>
      <c r="F162" s="122">
        <f t="shared" si="0"/>
        <v>6.8833333333333337</v>
      </c>
      <c r="G162" s="148">
        <f>SUMIFS('XBS '!T:T,'XBS '!H:H,' General Stock Summary View  '!$G$2,'XBS '!L:L,' General Stock Summary View  '!B162,'XBS '!C:C,' General Stock Summary View  '!C162)</f>
        <v>6.8833333333333337</v>
      </c>
      <c r="H162" s="3">
        <f>SUMIFS('PowerApp_Physical count'!H:H,'PowerApp_Physical count'!B:B,' General Stock Summary View  '!$G$2,'PowerApp_Physical count'!C:C,' General Stock Summary View  '!C162,'PowerApp_Physical count'!A:A,' General Stock Summary View  '!B162)</f>
        <v>6.8833333333333337</v>
      </c>
      <c r="I162" s="154">
        <f t="shared" si="16"/>
        <v>0</v>
      </c>
      <c r="J162" s="11">
        <f>SUMIFS('XBS '!T:T,'XBS '!H:H,' General Stock Summary View  '!$J$2,'XBS '!L:L,' General Stock Summary View  '!B162,'XBS '!C:C,' General Stock Summary View  '!C162)</f>
        <v>0</v>
      </c>
      <c r="K162" s="157">
        <f>SUMIFS('PowerApp_Physical count'!H:H,'PowerApp_Physical count'!B:B,' General Stock Summary View  '!$J$2,'PowerApp_Physical count'!C:C,' General Stock Summary View  '!C162,'PowerApp_Physical count'!A:A,' General Stock Summary View  '!B162)</f>
        <v>0</v>
      </c>
      <c r="L162" s="127">
        <f t="shared" si="15"/>
        <v>0</v>
      </c>
      <c r="M162" s="126">
        <f t="shared" si="2"/>
        <v>6.8833333333333337</v>
      </c>
      <c r="N162" s="11">
        <f t="shared" si="3"/>
        <v>6.8833333333333337</v>
      </c>
      <c r="O162" s="144">
        <f t="shared" si="10"/>
        <v>0</v>
      </c>
      <c r="P162" s="2">
        <f>SUMIFS('XBS '!T:T,'XBS '!H:H,' General Stock Summary View  '!$P$2,'XBS '!L:L,' General Stock Summary View  '!B162,'XBS '!C:C,' General Stock Summary View  '!C162)</f>
        <v>0</v>
      </c>
      <c r="Q162" s="3">
        <f>SUMIFS('PowerApp_Physical count'!H:H,'PowerApp_Physical count'!B:B,' General Stock Summary View  '!$P$2,'PowerApp_Physical count'!C:C,' General Stock Summary View  '!C162,'PowerApp_Physical count'!A:A,' General Stock Summary View  '!B162)</f>
        <v>0</v>
      </c>
      <c r="R162" s="4">
        <f t="shared" si="11"/>
        <v>0</v>
      </c>
      <c r="S162" s="5">
        <f>SUMIFS('XBS '!T:T,'XBS '!L:L,' General Stock Summary View  '!B162,'XBS '!H:H,' General Stock Summary View  '!$S$2,'XBS '!C:C,' General Stock Summary View  '!C162)</f>
        <v>0</v>
      </c>
      <c r="T162" s="3">
        <f>SUMIFS('PowerApp_Physical count'!H:H,'PowerApp_Physical count'!B:B,' General Stock Summary View  '!$S$2,'PowerApp_Physical count'!C:C,' General Stock Summary View  '!C162,'PowerApp_Physical count'!A:A,' General Stock Summary View  '!B162)</f>
        <v>0</v>
      </c>
      <c r="U162" s="4">
        <f t="shared" si="4"/>
        <v>0</v>
      </c>
      <c r="V162" s="2">
        <f>SUMIFS('XBS '!T:T,'XBS '!H:H,' General Stock Summary View  '!$V$2,'XBS '!B:B,' General Stock Summary View  '!C162,'XBS '!L:L,' General Stock Summary View  '!B162)</f>
        <v>0</v>
      </c>
      <c r="W162" s="3">
        <f>SUMIFS('PowerApp_Physical count'!H:H,'PowerApp_Physical count'!B:B,' General Stock Summary View  '!$V$2,'PowerApp_Physical count'!C:C,' General Stock Summary View  '!C162,'PowerApp_Physical count'!A:A,' General Stock Summary View  '!B162)</f>
        <v>0</v>
      </c>
      <c r="X162" s="4">
        <f t="shared" si="12"/>
        <v>0</v>
      </c>
      <c r="Y162" s="5">
        <f>SUMIFS('XBS '!T:T,'XBS '!H:H,' General Stock Summary View  '!$Y$2,'XBS '!B:B,' General Stock Summary View  '!C162,'XBS '!L:L,' General Stock Summary View  '!B162)</f>
        <v>0</v>
      </c>
      <c r="Z162" s="3">
        <f>SUMIFS('PowerApp_Physical count'!H:H,'PowerApp_Physical count'!B:B,' General Stock Summary View  '!$Y$2,'PowerApp_Physical count'!C:C,' General Stock Summary View  '!C162,'PowerApp_Physical count'!A:A,' General Stock Summary View  '!B162)</f>
        <v>0</v>
      </c>
      <c r="AA162" s="4">
        <f t="shared" si="13"/>
        <v>0</v>
      </c>
      <c r="AB162" s="5">
        <f>SUMIFS('XBS '!T:T,'XBS '!H:H,' General Stock Summary View  '!$AB$2,'XBS '!B:B,' General Stock Summary View  '!C162,'XBS '!L:L,' General Stock Summary View  '!B162)</f>
        <v>0</v>
      </c>
      <c r="AC162" s="3">
        <f>SUMIFS('PowerApp_Physical count'!H:H,'PowerApp_Physical count'!B:B,' General Stock Summary View  '!$AB$2,'PowerApp_Physical count'!C:C,' General Stock Summary View  '!C162,'PowerApp_Physical count'!A:A,' General Stock Summary View  '!B162)</f>
        <v>0</v>
      </c>
      <c r="AD162" s="6">
        <f t="shared" si="14"/>
        <v>0</v>
      </c>
      <c r="AE162" s="7">
        <f t="shared" si="8"/>
        <v>6.8833333333333337</v>
      </c>
      <c r="AF162" s="8">
        <f t="shared" si="9"/>
        <v>0</v>
      </c>
      <c r="AG162" s="112"/>
    </row>
    <row r="163" spans="2:33" s="113" customFormat="1" ht="61.15">
      <c r="B163" s="117" t="s">
        <v>192</v>
      </c>
      <c r="C163" s="111" t="s">
        <v>162</v>
      </c>
      <c r="D163" s="11">
        <f>SUMIFS('XBS '!T:T,'XBS '!C:C,' General Stock Summary View  '!C163,'XBS '!L:L,' General Stock Summary View  '!B163)</f>
        <v>20.583333333333332</v>
      </c>
      <c r="E163" s="2">
        <f>SUMIFS('Blocked for Processing'!P:P,'Blocked for Processing'!I:I,' General Stock Summary View  '!B163,'Blocked for Processing'!C:C,' General Stock Summary View  '!C163)</f>
        <v>0</v>
      </c>
      <c r="F163" s="122">
        <f t="shared" si="0"/>
        <v>20.583333333333332</v>
      </c>
      <c r="G163" s="148">
        <f>SUMIFS('XBS '!T:T,'XBS '!H:H,' General Stock Summary View  '!$G$2,'XBS '!L:L,' General Stock Summary View  '!B163,'XBS '!C:C,' General Stock Summary View  '!C163)</f>
        <v>20.583333333333332</v>
      </c>
      <c r="H163" s="3">
        <f>SUMIFS('PowerApp_Physical count'!H:H,'PowerApp_Physical count'!B:B,' General Stock Summary View  '!$G$2,'PowerApp_Physical count'!C:C,' General Stock Summary View  '!C163,'PowerApp_Physical count'!A:A,' General Stock Summary View  '!B163)</f>
        <v>20.583333333333332</v>
      </c>
      <c r="I163" s="154">
        <f t="shared" si="16"/>
        <v>0</v>
      </c>
      <c r="J163" s="11">
        <f>SUMIFS('XBS '!T:T,'XBS '!H:H,' General Stock Summary View  '!$J$2,'XBS '!L:L,' General Stock Summary View  '!B163,'XBS '!C:C,' General Stock Summary View  '!C163)</f>
        <v>0</v>
      </c>
      <c r="K163" s="157">
        <f>SUMIFS('PowerApp_Physical count'!H:H,'PowerApp_Physical count'!B:B,' General Stock Summary View  '!$J$2,'PowerApp_Physical count'!C:C,' General Stock Summary View  '!C163,'PowerApp_Physical count'!A:A,' General Stock Summary View  '!B163)</f>
        <v>0</v>
      </c>
      <c r="L163" s="127">
        <f t="shared" si="15"/>
        <v>0</v>
      </c>
      <c r="M163" s="126">
        <f t="shared" si="2"/>
        <v>20.583333333333332</v>
      </c>
      <c r="N163" s="11">
        <f t="shared" si="3"/>
        <v>20.583333333333332</v>
      </c>
      <c r="O163" s="144">
        <f t="shared" si="10"/>
        <v>0</v>
      </c>
      <c r="P163" s="2">
        <f>SUMIFS('XBS '!T:T,'XBS '!H:H,' General Stock Summary View  '!$P$2,'XBS '!L:L,' General Stock Summary View  '!B163,'XBS '!C:C,' General Stock Summary View  '!C163)</f>
        <v>0</v>
      </c>
      <c r="Q163" s="3">
        <f>SUMIFS('PowerApp_Physical count'!H:H,'PowerApp_Physical count'!B:B,' General Stock Summary View  '!$P$2,'PowerApp_Physical count'!C:C,' General Stock Summary View  '!C163,'PowerApp_Physical count'!A:A,' General Stock Summary View  '!B163)</f>
        <v>0</v>
      </c>
      <c r="R163" s="4">
        <f t="shared" si="11"/>
        <v>0</v>
      </c>
      <c r="S163" s="5">
        <f>SUMIFS('XBS '!T:T,'XBS '!L:L,' General Stock Summary View  '!B163,'XBS '!H:H,' General Stock Summary View  '!$S$2,'XBS '!C:C,' General Stock Summary View  '!C163)</f>
        <v>0</v>
      </c>
      <c r="T163" s="3">
        <f>SUMIFS('PowerApp_Physical count'!H:H,'PowerApp_Physical count'!B:B,' General Stock Summary View  '!$S$2,'PowerApp_Physical count'!C:C,' General Stock Summary View  '!C163,'PowerApp_Physical count'!A:A,' General Stock Summary View  '!B163)</f>
        <v>0</v>
      </c>
      <c r="U163" s="4">
        <f t="shared" si="4"/>
        <v>0</v>
      </c>
      <c r="V163" s="2">
        <f>SUMIFS('XBS '!T:T,'XBS '!H:H,' General Stock Summary View  '!$V$2,'XBS '!B:B,' General Stock Summary View  '!C163,'XBS '!L:L,' General Stock Summary View  '!B163)</f>
        <v>0</v>
      </c>
      <c r="W163" s="3">
        <f>SUMIFS('PowerApp_Physical count'!H:H,'PowerApp_Physical count'!B:B,' General Stock Summary View  '!$V$2,'PowerApp_Physical count'!C:C,' General Stock Summary View  '!C163,'PowerApp_Physical count'!A:A,' General Stock Summary View  '!B163)</f>
        <v>0</v>
      </c>
      <c r="X163" s="4">
        <f t="shared" si="12"/>
        <v>0</v>
      </c>
      <c r="Y163" s="5">
        <f>SUMIFS('XBS '!T:T,'XBS '!H:H,' General Stock Summary View  '!$Y$2,'XBS '!B:B,' General Stock Summary View  '!C163,'XBS '!L:L,' General Stock Summary View  '!B163)</f>
        <v>0</v>
      </c>
      <c r="Z163" s="3">
        <f>SUMIFS('PowerApp_Physical count'!H:H,'PowerApp_Physical count'!B:B,' General Stock Summary View  '!$Y$2,'PowerApp_Physical count'!C:C,' General Stock Summary View  '!C163,'PowerApp_Physical count'!A:A,' General Stock Summary View  '!B163)</f>
        <v>0</v>
      </c>
      <c r="AA163" s="4">
        <f t="shared" si="13"/>
        <v>0</v>
      </c>
      <c r="AB163" s="5">
        <f>SUMIFS('XBS '!T:T,'XBS '!H:H,' General Stock Summary View  '!$AB$2,'XBS '!B:B,' General Stock Summary View  '!C163,'XBS '!L:L,' General Stock Summary View  '!B163)</f>
        <v>0</v>
      </c>
      <c r="AC163" s="3">
        <f>SUMIFS('PowerApp_Physical count'!H:H,'PowerApp_Physical count'!B:B,' General Stock Summary View  '!$AB$2,'PowerApp_Physical count'!C:C,' General Stock Summary View  '!C163,'PowerApp_Physical count'!A:A,' General Stock Summary View  '!B163)</f>
        <v>0</v>
      </c>
      <c r="AD163" s="6">
        <f t="shared" si="14"/>
        <v>0</v>
      </c>
      <c r="AE163" s="7">
        <f t="shared" si="8"/>
        <v>20.583333333333332</v>
      </c>
      <c r="AF163" s="8">
        <f t="shared" si="9"/>
        <v>0</v>
      </c>
      <c r="AG163" s="112"/>
    </row>
    <row r="164" spans="2:33" s="113" customFormat="1" ht="61.15">
      <c r="B164" s="117" t="s">
        <v>193</v>
      </c>
      <c r="C164" s="111" t="s">
        <v>162</v>
      </c>
      <c r="D164" s="11">
        <f>SUMIFS('XBS '!T:T,'XBS '!C:C,' General Stock Summary View  '!C164,'XBS '!L:L,' General Stock Summary View  '!B164)</f>
        <v>219.45</v>
      </c>
      <c r="E164" s="2">
        <f>SUMIFS('Blocked for Processing'!P:P,'Blocked for Processing'!I:I,' General Stock Summary View  '!B164,'Blocked for Processing'!C:C,' General Stock Summary View  '!C164)</f>
        <v>0</v>
      </c>
      <c r="F164" s="122">
        <f t="shared" si="0"/>
        <v>219.45</v>
      </c>
      <c r="G164" s="148">
        <f>SUMIFS('XBS '!T:T,'XBS '!H:H,' General Stock Summary View  '!$G$2,'XBS '!L:L,' General Stock Summary View  '!B164,'XBS '!C:C,' General Stock Summary View  '!C164)</f>
        <v>219.45</v>
      </c>
      <c r="H164" s="3">
        <f>SUMIFS('PowerApp_Physical count'!H:H,'PowerApp_Physical count'!B:B,' General Stock Summary View  '!$G$2,'PowerApp_Physical count'!C:C,' General Stock Summary View  '!C164,'PowerApp_Physical count'!A:A,' General Stock Summary View  '!B164)</f>
        <v>219.45</v>
      </c>
      <c r="I164" s="154">
        <f t="shared" si="16"/>
        <v>0</v>
      </c>
      <c r="J164" s="11">
        <f>SUMIFS('XBS '!T:T,'XBS '!H:H,' General Stock Summary View  '!$J$2,'XBS '!L:L,' General Stock Summary View  '!B164,'XBS '!C:C,' General Stock Summary View  '!C164)</f>
        <v>0</v>
      </c>
      <c r="K164" s="157">
        <f>SUMIFS('PowerApp_Physical count'!H:H,'PowerApp_Physical count'!B:B,' General Stock Summary View  '!$J$2,'PowerApp_Physical count'!C:C,' General Stock Summary View  '!C164,'PowerApp_Physical count'!A:A,' General Stock Summary View  '!B164)</f>
        <v>0</v>
      </c>
      <c r="L164" s="127">
        <f t="shared" si="15"/>
        <v>0</v>
      </c>
      <c r="M164" s="126">
        <f t="shared" si="2"/>
        <v>219.45</v>
      </c>
      <c r="N164" s="11">
        <f t="shared" si="3"/>
        <v>219.45</v>
      </c>
      <c r="O164" s="144">
        <f t="shared" si="10"/>
        <v>0</v>
      </c>
      <c r="P164" s="2">
        <f>SUMIFS('XBS '!T:T,'XBS '!H:H,' General Stock Summary View  '!$P$2,'XBS '!L:L,' General Stock Summary View  '!B164,'XBS '!C:C,' General Stock Summary View  '!C164)</f>
        <v>0</v>
      </c>
      <c r="Q164" s="3">
        <f>SUMIFS('PowerApp_Physical count'!H:H,'PowerApp_Physical count'!B:B,' General Stock Summary View  '!$P$2,'PowerApp_Physical count'!C:C,' General Stock Summary View  '!C164,'PowerApp_Physical count'!A:A,' General Stock Summary View  '!B164)</f>
        <v>0</v>
      </c>
      <c r="R164" s="4">
        <f t="shared" si="11"/>
        <v>0</v>
      </c>
      <c r="S164" s="5">
        <f>SUMIFS('XBS '!T:T,'XBS '!L:L,' General Stock Summary View  '!B164,'XBS '!H:H,' General Stock Summary View  '!$S$2,'XBS '!C:C,' General Stock Summary View  '!C164)</f>
        <v>0</v>
      </c>
      <c r="T164" s="3">
        <f>SUMIFS('PowerApp_Physical count'!H:H,'PowerApp_Physical count'!B:B,' General Stock Summary View  '!$S$2,'PowerApp_Physical count'!C:C,' General Stock Summary View  '!C164,'PowerApp_Physical count'!A:A,' General Stock Summary View  '!B164)</f>
        <v>0</v>
      </c>
      <c r="U164" s="4">
        <f t="shared" si="4"/>
        <v>0</v>
      </c>
      <c r="V164" s="2">
        <f>SUMIFS('XBS '!T:T,'XBS '!H:H,' General Stock Summary View  '!$V$2,'XBS '!B:B,' General Stock Summary View  '!C164,'XBS '!L:L,' General Stock Summary View  '!B164)</f>
        <v>0</v>
      </c>
      <c r="W164" s="3">
        <f>SUMIFS('PowerApp_Physical count'!H:H,'PowerApp_Physical count'!B:B,' General Stock Summary View  '!$V$2,'PowerApp_Physical count'!C:C,' General Stock Summary View  '!C164,'PowerApp_Physical count'!A:A,' General Stock Summary View  '!B164)</f>
        <v>0</v>
      </c>
      <c r="X164" s="4">
        <f t="shared" si="12"/>
        <v>0</v>
      </c>
      <c r="Y164" s="5">
        <f>SUMIFS('XBS '!T:T,'XBS '!H:H,' General Stock Summary View  '!$Y$2,'XBS '!B:B,' General Stock Summary View  '!C164,'XBS '!L:L,' General Stock Summary View  '!B164)</f>
        <v>0</v>
      </c>
      <c r="Z164" s="3">
        <f>SUMIFS('PowerApp_Physical count'!H:H,'PowerApp_Physical count'!B:B,' General Stock Summary View  '!$Y$2,'PowerApp_Physical count'!C:C,' General Stock Summary View  '!C164,'PowerApp_Physical count'!A:A,' General Stock Summary View  '!B164)</f>
        <v>0</v>
      </c>
      <c r="AA164" s="4">
        <f t="shared" si="13"/>
        <v>0</v>
      </c>
      <c r="AB164" s="5">
        <f>SUMIFS('XBS '!T:T,'XBS '!H:H,' General Stock Summary View  '!$AB$2,'XBS '!B:B,' General Stock Summary View  '!C164,'XBS '!L:L,' General Stock Summary View  '!B164)</f>
        <v>0</v>
      </c>
      <c r="AC164" s="3">
        <f>SUMIFS('PowerApp_Physical count'!H:H,'PowerApp_Physical count'!B:B,' General Stock Summary View  '!$AB$2,'PowerApp_Physical count'!C:C,' General Stock Summary View  '!C164,'PowerApp_Physical count'!A:A,' General Stock Summary View  '!B164)</f>
        <v>0</v>
      </c>
      <c r="AD164" s="6">
        <f t="shared" si="14"/>
        <v>0</v>
      </c>
      <c r="AE164" s="7">
        <f t="shared" si="8"/>
        <v>219.45</v>
      </c>
      <c r="AF164" s="8">
        <f t="shared" si="9"/>
        <v>0</v>
      </c>
      <c r="AG164" s="112"/>
    </row>
    <row r="165" spans="2:33" s="113" customFormat="1" ht="61.15">
      <c r="B165" s="117" t="s">
        <v>194</v>
      </c>
      <c r="C165" s="111" t="s">
        <v>162</v>
      </c>
      <c r="D165" s="11">
        <f>SUMIFS('XBS '!T:T,'XBS '!C:C,' General Stock Summary View  '!C165,'XBS '!L:L,' General Stock Summary View  '!B165)</f>
        <v>0</v>
      </c>
      <c r="E165" s="2">
        <f>SUMIFS('Blocked for Processing'!P:P,'Blocked for Processing'!I:I,' General Stock Summary View  '!B165,'Blocked for Processing'!C:C,' General Stock Summary View  '!C165)</f>
        <v>0</v>
      </c>
      <c r="F165" s="122">
        <f t="shared" si="0"/>
        <v>0</v>
      </c>
      <c r="G165" s="148">
        <f>SUMIFS('XBS '!T:T,'XBS '!H:H,' General Stock Summary View  '!$G$2,'XBS '!L:L,' General Stock Summary View  '!B165,'XBS '!C:C,' General Stock Summary View  '!C165)</f>
        <v>0</v>
      </c>
      <c r="H165" s="3">
        <f>SUMIFS('PowerApp_Physical count'!H:H,'PowerApp_Physical count'!B:B,' General Stock Summary View  '!$G$2,'PowerApp_Physical count'!C:C,' General Stock Summary View  '!C165,'PowerApp_Physical count'!A:A,' General Stock Summary View  '!B165)</f>
        <v>0</v>
      </c>
      <c r="I165" s="154">
        <f t="shared" si="16"/>
        <v>0</v>
      </c>
      <c r="J165" s="11">
        <f>SUMIFS('XBS '!T:T,'XBS '!H:H,' General Stock Summary View  '!$J$2,'XBS '!L:L,' General Stock Summary View  '!B165,'XBS '!C:C,' General Stock Summary View  '!C165)</f>
        <v>0</v>
      </c>
      <c r="K165" s="157">
        <f>SUMIFS('PowerApp_Physical count'!H:H,'PowerApp_Physical count'!B:B,' General Stock Summary View  '!$J$2,'PowerApp_Physical count'!C:C,' General Stock Summary View  '!C165,'PowerApp_Physical count'!A:A,' General Stock Summary View  '!B165)</f>
        <v>0</v>
      </c>
      <c r="L165" s="127">
        <f t="shared" si="15"/>
        <v>0</v>
      </c>
      <c r="M165" s="126">
        <f t="shared" si="2"/>
        <v>0</v>
      </c>
      <c r="N165" s="11">
        <f t="shared" si="3"/>
        <v>0</v>
      </c>
      <c r="O165" s="144">
        <f t="shared" si="10"/>
        <v>0</v>
      </c>
      <c r="P165" s="2">
        <f>SUMIFS('XBS '!T:T,'XBS '!H:H,' General Stock Summary View  '!$P$2,'XBS '!L:L,' General Stock Summary View  '!B165,'XBS '!C:C,' General Stock Summary View  '!C165)</f>
        <v>0</v>
      </c>
      <c r="Q165" s="3">
        <f>SUMIFS('PowerApp_Physical count'!H:H,'PowerApp_Physical count'!B:B,' General Stock Summary View  '!$P$2,'PowerApp_Physical count'!C:C,' General Stock Summary View  '!C165,'PowerApp_Physical count'!A:A,' General Stock Summary View  '!B165)</f>
        <v>0</v>
      </c>
      <c r="R165" s="4">
        <f t="shared" si="11"/>
        <v>0</v>
      </c>
      <c r="S165" s="5">
        <f>SUMIFS('XBS '!T:T,'XBS '!L:L,' General Stock Summary View  '!B165,'XBS '!H:H,' General Stock Summary View  '!$S$2,'XBS '!C:C,' General Stock Summary View  '!C165)</f>
        <v>0</v>
      </c>
      <c r="T165" s="3">
        <f>SUMIFS('PowerApp_Physical count'!H:H,'PowerApp_Physical count'!B:B,' General Stock Summary View  '!$S$2,'PowerApp_Physical count'!C:C,' General Stock Summary View  '!C165,'PowerApp_Physical count'!A:A,' General Stock Summary View  '!B165)</f>
        <v>0</v>
      </c>
      <c r="U165" s="4">
        <f t="shared" si="4"/>
        <v>0</v>
      </c>
      <c r="V165" s="2">
        <f>SUMIFS('XBS '!T:T,'XBS '!H:H,' General Stock Summary View  '!$V$2,'XBS '!B:B,' General Stock Summary View  '!C165,'XBS '!L:L,' General Stock Summary View  '!B165)</f>
        <v>0</v>
      </c>
      <c r="W165" s="3">
        <f>SUMIFS('PowerApp_Physical count'!H:H,'PowerApp_Physical count'!B:B,' General Stock Summary View  '!$V$2,'PowerApp_Physical count'!C:C,' General Stock Summary View  '!C165,'PowerApp_Physical count'!A:A,' General Stock Summary View  '!B165)</f>
        <v>0</v>
      </c>
      <c r="X165" s="4">
        <f t="shared" si="12"/>
        <v>0</v>
      </c>
      <c r="Y165" s="5">
        <f>SUMIFS('XBS '!T:T,'XBS '!H:H,' General Stock Summary View  '!$Y$2,'XBS '!B:B,' General Stock Summary View  '!C165,'XBS '!L:L,' General Stock Summary View  '!B165)</f>
        <v>0</v>
      </c>
      <c r="Z165" s="3">
        <f>SUMIFS('PowerApp_Physical count'!H:H,'PowerApp_Physical count'!B:B,' General Stock Summary View  '!$Y$2,'PowerApp_Physical count'!C:C,' General Stock Summary View  '!C165,'PowerApp_Physical count'!A:A,' General Stock Summary View  '!B165)</f>
        <v>0</v>
      </c>
      <c r="AA165" s="4">
        <f t="shared" si="13"/>
        <v>0</v>
      </c>
      <c r="AB165" s="5">
        <f>SUMIFS('XBS '!T:T,'XBS '!H:H,' General Stock Summary View  '!$AB$2,'XBS '!B:B,' General Stock Summary View  '!C165,'XBS '!L:L,' General Stock Summary View  '!B165)</f>
        <v>0</v>
      </c>
      <c r="AC165" s="3">
        <f>SUMIFS('PowerApp_Physical count'!H:H,'PowerApp_Physical count'!B:B,' General Stock Summary View  '!$AB$2,'PowerApp_Physical count'!C:C,' General Stock Summary View  '!C165,'PowerApp_Physical count'!A:A,' General Stock Summary View  '!B165)</f>
        <v>0</v>
      </c>
      <c r="AD165" s="6">
        <f t="shared" si="14"/>
        <v>0</v>
      </c>
      <c r="AE165" s="7">
        <f t="shared" si="8"/>
        <v>0</v>
      </c>
      <c r="AF165" s="8">
        <f t="shared" si="9"/>
        <v>0</v>
      </c>
      <c r="AG165" s="112"/>
    </row>
    <row r="166" spans="2:33" s="113" customFormat="1" ht="61.15">
      <c r="B166" s="117" t="s">
        <v>195</v>
      </c>
      <c r="C166" s="111" t="s">
        <v>162</v>
      </c>
      <c r="D166" s="11">
        <f>SUMIFS('XBS '!T:T,'XBS '!C:C,' General Stock Summary View  '!C166,'XBS '!L:L,' General Stock Summary View  '!B166)</f>
        <v>0</v>
      </c>
      <c r="E166" s="2">
        <f>SUMIFS('Blocked for Processing'!P:P,'Blocked for Processing'!I:I,' General Stock Summary View  '!B166,'Blocked for Processing'!C:C,' General Stock Summary View  '!C166)</f>
        <v>0</v>
      </c>
      <c r="F166" s="122">
        <f t="shared" si="0"/>
        <v>0</v>
      </c>
      <c r="G166" s="148">
        <f>SUMIFS('XBS '!T:T,'XBS '!H:H,' General Stock Summary View  '!$G$2,'XBS '!L:L,' General Stock Summary View  '!B166,'XBS '!C:C,' General Stock Summary View  '!C166)</f>
        <v>0</v>
      </c>
      <c r="H166" s="3">
        <f>SUMIFS('PowerApp_Physical count'!H:H,'PowerApp_Physical count'!B:B,' General Stock Summary View  '!$G$2,'PowerApp_Physical count'!C:C,' General Stock Summary View  '!C166,'PowerApp_Physical count'!A:A,' General Stock Summary View  '!B166)</f>
        <v>0</v>
      </c>
      <c r="I166" s="154">
        <f t="shared" si="16"/>
        <v>0</v>
      </c>
      <c r="J166" s="11">
        <f>SUMIFS('XBS '!T:T,'XBS '!H:H,' General Stock Summary View  '!$J$2,'XBS '!L:L,' General Stock Summary View  '!B166,'XBS '!C:C,' General Stock Summary View  '!C166)</f>
        <v>0</v>
      </c>
      <c r="K166" s="157">
        <f>SUMIFS('PowerApp_Physical count'!H:H,'PowerApp_Physical count'!B:B,' General Stock Summary View  '!$J$2,'PowerApp_Physical count'!C:C,' General Stock Summary View  '!C166,'PowerApp_Physical count'!A:A,' General Stock Summary View  '!B166)</f>
        <v>0</v>
      </c>
      <c r="L166" s="127">
        <f t="shared" si="15"/>
        <v>0</v>
      </c>
      <c r="M166" s="126">
        <f t="shared" si="2"/>
        <v>0</v>
      </c>
      <c r="N166" s="11">
        <f t="shared" si="3"/>
        <v>0</v>
      </c>
      <c r="O166" s="144">
        <f t="shared" si="10"/>
        <v>0</v>
      </c>
      <c r="P166" s="2">
        <f>SUMIFS('XBS '!T:T,'XBS '!H:H,' General Stock Summary View  '!$P$2,'XBS '!L:L,' General Stock Summary View  '!B166,'XBS '!C:C,' General Stock Summary View  '!C166)</f>
        <v>0</v>
      </c>
      <c r="Q166" s="3">
        <f>SUMIFS('PowerApp_Physical count'!H:H,'PowerApp_Physical count'!B:B,' General Stock Summary View  '!$P$2,'PowerApp_Physical count'!C:C,' General Stock Summary View  '!C166,'PowerApp_Physical count'!A:A,' General Stock Summary View  '!B166)</f>
        <v>0</v>
      </c>
      <c r="R166" s="4">
        <f t="shared" si="11"/>
        <v>0</v>
      </c>
      <c r="S166" s="5">
        <f>SUMIFS('XBS '!T:T,'XBS '!L:L,' General Stock Summary View  '!B166,'XBS '!H:H,' General Stock Summary View  '!$S$2,'XBS '!C:C,' General Stock Summary View  '!C166)</f>
        <v>0</v>
      </c>
      <c r="T166" s="3">
        <f>SUMIFS('PowerApp_Physical count'!H:H,'PowerApp_Physical count'!B:B,' General Stock Summary View  '!$S$2,'PowerApp_Physical count'!C:C,' General Stock Summary View  '!C166,'PowerApp_Physical count'!A:A,' General Stock Summary View  '!B166)</f>
        <v>0</v>
      </c>
      <c r="U166" s="4">
        <f t="shared" si="4"/>
        <v>0</v>
      </c>
      <c r="V166" s="2">
        <f>SUMIFS('XBS '!T:T,'XBS '!H:H,' General Stock Summary View  '!$V$2,'XBS '!B:B,' General Stock Summary View  '!C166,'XBS '!L:L,' General Stock Summary View  '!B166)</f>
        <v>0</v>
      </c>
      <c r="W166" s="3">
        <f>SUMIFS('PowerApp_Physical count'!H:H,'PowerApp_Physical count'!B:B,' General Stock Summary View  '!$V$2,'PowerApp_Physical count'!C:C,' General Stock Summary View  '!C166,'PowerApp_Physical count'!A:A,' General Stock Summary View  '!B166)</f>
        <v>0</v>
      </c>
      <c r="X166" s="4">
        <f t="shared" si="12"/>
        <v>0</v>
      </c>
      <c r="Y166" s="5">
        <f>SUMIFS('XBS '!T:T,'XBS '!H:H,' General Stock Summary View  '!$Y$2,'XBS '!B:B,' General Stock Summary View  '!C166,'XBS '!L:L,' General Stock Summary View  '!B166)</f>
        <v>0</v>
      </c>
      <c r="Z166" s="3">
        <f>SUMIFS('PowerApp_Physical count'!H:H,'PowerApp_Physical count'!B:B,' General Stock Summary View  '!$Y$2,'PowerApp_Physical count'!C:C,' General Stock Summary View  '!C166,'PowerApp_Physical count'!A:A,' General Stock Summary View  '!B166)</f>
        <v>0</v>
      </c>
      <c r="AA166" s="4">
        <f t="shared" si="13"/>
        <v>0</v>
      </c>
      <c r="AB166" s="5">
        <f>SUMIFS('XBS '!T:T,'XBS '!H:H,' General Stock Summary View  '!$AB$2,'XBS '!B:B,' General Stock Summary View  '!C166,'XBS '!L:L,' General Stock Summary View  '!B166)</f>
        <v>0</v>
      </c>
      <c r="AC166" s="3">
        <f>SUMIFS('PowerApp_Physical count'!H:H,'PowerApp_Physical count'!B:B,' General Stock Summary View  '!$AB$2,'PowerApp_Physical count'!C:C,' General Stock Summary View  '!C166,'PowerApp_Physical count'!A:A,' General Stock Summary View  '!B166)</f>
        <v>0</v>
      </c>
      <c r="AD166" s="6">
        <f t="shared" si="14"/>
        <v>0</v>
      </c>
      <c r="AE166" s="7">
        <f t="shared" si="8"/>
        <v>0</v>
      </c>
      <c r="AF166" s="8">
        <f t="shared" si="9"/>
        <v>0</v>
      </c>
      <c r="AG166" s="112"/>
    </row>
    <row r="167" spans="2:33" s="113" customFormat="1" ht="61.15">
      <c r="B167" s="117" t="s">
        <v>196</v>
      </c>
      <c r="C167" s="111" t="s">
        <v>162</v>
      </c>
      <c r="D167" s="11">
        <f>SUMIFS('XBS '!T:T,'XBS '!C:C,' General Stock Summary View  '!C167,'XBS '!L:L,' General Stock Summary View  '!B167)</f>
        <v>0</v>
      </c>
      <c r="E167" s="2">
        <f>SUMIFS('Blocked for Processing'!P:P,'Blocked for Processing'!I:I,' General Stock Summary View  '!B167,'Blocked for Processing'!C:C,' General Stock Summary View  '!C167)</f>
        <v>0</v>
      </c>
      <c r="F167" s="122">
        <f t="shared" si="0"/>
        <v>0</v>
      </c>
      <c r="G167" s="148">
        <f>SUMIFS('XBS '!T:T,'XBS '!H:H,' General Stock Summary View  '!$G$2,'XBS '!L:L,' General Stock Summary View  '!B167,'XBS '!C:C,' General Stock Summary View  '!C167)</f>
        <v>0</v>
      </c>
      <c r="H167" s="3">
        <f>SUMIFS('PowerApp_Physical count'!H:H,'PowerApp_Physical count'!B:B,' General Stock Summary View  '!$G$2,'PowerApp_Physical count'!C:C,' General Stock Summary View  '!C167,'PowerApp_Physical count'!A:A,' General Stock Summary View  '!B167)</f>
        <v>0</v>
      </c>
      <c r="I167" s="154">
        <f t="shared" si="16"/>
        <v>0</v>
      </c>
      <c r="J167" s="11">
        <f>SUMIFS('XBS '!T:T,'XBS '!H:H,' General Stock Summary View  '!$J$2,'XBS '!L:L,' General Stock Summary View  '!B167,'XBS '!C:C,' General Stock Summary View  '!C167)</f>
        <v>0</v>
      </c>
      <c r="K167" s="157">
        <f>SUMIFS('PowerApp_Physical count'!H:H,'PowerApp_Physical count'!B:B,' General Stock Summary View  '!$J$2,'PowerApp_Physical count'!C:C,' General Stock Summary View  '!C167,'PowerApp_Physical count'!A:A,' General Stock Summary View  '!B167)</f>
        <v>0</v>
      </c>
      <c r="L167" s="127">
        <f t="shared" si="15"/>
        <v>0</v>
      </c>
      <c r="M167" s="126">
        <f t="shared" si="2"/>
        <v>0</v>
      </c>
      <c r="N167" s="11">
        <f t="shared" si="3"/>
        <v>0</v>
      </c>
      <c r="O167" s="144">
        <f t="shared" si="10"/>
        <v>0</v>
      </c>
      <c r="P167" s="2">
        <f>SUMIFS('XBS '!T:T,'XBS '!H:H,' General Stock Summary View  '!$P$2,'XBS '!L:L,' General Stock Summary View  '!B167,'XBS '!C:C,' General Stock Summary View  '!C167)</f>
        <v>0</v>
      </c>
      <c r="Q167" s="3">
        <f>SUMIFS('PowerApp_Physical count'!H:H,'PowerApp_Physical count'!B:B,' General Stock Summary View  '!$P$2,'PowerApp_Physical count'!C:C,' General Stock Summary View  '!C167,'PowerApp_Physical count'!A:A,' General Stock Summary View  '!B167)</f>
        <v>0</v>
      </c>
      <c r="R167" s="4">
        <f t="shared" si="11"/>
        <v>0</v>
      </c>
      <c r="S167" s="5">
        <f>SUMIFS('XBS '!T:T,'XBS '!L:L,' General Stock Summary View  '!B167,'XBS '!H:H,' General Stock Summary View  '!$S$2,'XBS '!C:C,' General Stock Summary View  '!C167)</f>
        <v>0</v>
      </c>
      <c r="T167" s="3">
        <f>SUMIFS('PowerApp_Physical count'!H:H,'PowerApp_Physical count'!B:B,' General Stock Summary View  '!$S$2,'PowerApp_Physical count'!C:C,' General Stock Summary View  '!C167,'PowerApp_Physical count'!A:A,' General Stock Summary View  '!B167)</f>
        <v>0</v>
      </c>
      <c r="U167" s="4">
        <f t="shared" si="4"/>
        <v>0</v>
      </c>
      <c r="V167" s="2">
        <f>SUMIFS('XBS '!T:T,'XBS '!H:H,' General Stock Summary View  '!$V$2,'XBS '!B:B,' General Stock Summary View  '!C167,'XBS '!L:L,' General Stock Summary View  '!B167)</f>
        <v>0</v>
      </c>
      <c r="W167" s="3">
        <f>SUMIFS('PowerApp_Physical count'!H:H,'PowerApp_Physical count'!B:B,' General Stock Summary View  '!$V$2,'PowerApp_Physical count'!C:C,' General Stock Summary View  '!C167,'PowerApp_Physical count'!A:A,' General Stock Summary View  '!B167)</f>
        <v>0</v>
      </c>
      <c r="X167" s="4">
        <f t="shared" si="12"/>
        <v>0</v>
      </c>
      <c r="Y167" s="5">
        <f>SUMIFS('XBS '!T:T,'XBS '!H:H,' General Stock Summary View  '!$Y$2,'XBS '!B:B,' General Stock Summary View  '!C167,'XBS '!L:L,' General Stock Summary View  '!B167)</f>
        <v>0</v>
      </c>
      <c r="Z167" s="3">
        <f>SUMIFS('PowerApp_Physical count'!H:H,'PowerApp_Physical count'!B:B,' General Stock Summary View  '!$Y$2,'PowerApp_Physical count'!C:C,' General Stock Summary View  '!C167,'PowerApp_Physical count'!A:A,' General Stock Summary View  '!B167)</f>
        <v>0</v>
      </c>
      <c r="AA167" s="4">
        <f t="shared" si="13"/>
        <v>0</v>
      </c>
      <c r="AB167" s="5">
        <f>SUMIFS('XBS '!T:T,'XBS '!H:H,' General Stock Summary View  '!$AB$2,'XBS '!B:B,' General Stock Summary View  '!C167,'XBS '!L:L,' General Stock Summary View  '!B167)</f>
        <v>0</v>
      </c>
      <c r="AC167" s="3">
        <f>SUMIFS('PowerApp_Physical count'!H:H,'PowerApp_Physical count'!B:B,' General Stock Summary View  '!$AB$2,'PowerApp_Physical count'!C:C,' General Stock Summary View  '!C167,'PowerApp_Physical count'!A:A,' General Stock Summary View  '!B167)</f>
        <v>0</v>
      </c>
      <c r="AD167" s="6">
        <f t="shared" si="14"/>
        <v>0</v>
      </c>
      <c r="AE167" s="7">
        <f t="shared" si="8"/>
        <v>0</v>
      </c>
      <c r="AF167" s="8">
        <f t="shared" si="9"/>
        <v>0</v>
      </c>
      <c r="AG167" s="112"/>
    </row>
    <row r="168" spans="2:33" s="113" customFormat="1" ht="61.15">
      <c r="B168" s="117" t="s">
        <v>68</v>
      </c>
      <c r="C168" s="111" t="s">
        <v>162</v>
      </c>
      <c r="D168" s="11">
        <f>SUMIFS('XBS '!T:T,'XBS '!C:C,' General Stock Summary View  '!C168,'XBS '!L:L,' General Stock Summary View  '!B168)</f>
        <v>0</v>
      </c>
      <c r="E168" s="2">
        <f>SUMIFS('Blocked for Processing'!P:P,'Blocked for Processing'!I:I,' General Stock Summary View  '!B168,'Blocked for Processing'!C:C,' General Stock Summary View  '!C168)</f>
        <v>0</v>
      </c>
      <c r="F168" s="122">
        <f t="shared" si="0"/>
        <v>0</v>
      </c>
      <c r="G168" s="148">
        <f>SUMIFS('XBS '!T:T,'XBS '!H:H,' General Stock Summary View  '!$G$2,'XBS '!L:L,' General Stock Summary View  '!B168,'XBS '!C:C,' General Stock Summary View  '!C168)</f>
        <v>0</v>
      </c>
      <c r="H168" s="3">
        <f>SUMIFS('PowerApp_Physical count'!H:H,'PowerApp_Physical count'!B:B,' General Stock Summary View  '!$G$2,'PowerApp_Physical count'!C:C,' General Stock Summary View  '!C168,'PowerApp_Physical count'!A:A,' General Stock Summary View  '!B168)</f>
        <v>0</v>
      </c>
      <c r="I168" s="154">
        <f t="shared" si="16"/>
        <v>0</v>
      </c>
      <c r="J168" s="11">
        <f>SUMIFS('XBS '!T:T,'XBS '!H:H,' General Stock Summary View  '!$J$2,'XBS '!L:L,' General Stock Summary View  '!B168,'XBS '!C:C,' General Stock Summary View  '!C168)</f>
        <v>0</v>
      </c>
      <c r="K168" s="157">
        <f>SUMIFS('PowerApp_Physical count'!H:H,'PowerApp_Physical count'!B:B,' General Stock Summary View  '!$J$2,'PowerApp_Physical count'!C:C,' General Stock Summary View  '!C168,'PowerApp_Physical count'!A:A,' General Stock Summary View  '!B168)</f>
        <v>0</v>
      </c>
      <c r="L168" s="127">
        <f t="shared" si="15"/>
        <v>0</v>
      </c>
      <c r="M168" s="126">
        <f t="shared" si="2"/>
        <v>0</v>
      </c>
      <c r="N168" s="11">
        <f t="shared" si="3"/>
        <v>0</v>
      </c>
      <c r="O168" s="144">
        <f t="shared" si="10"/>
        <v>0</v>
      </c>
      <c r="P168" s="2">
        <f>SUMIFS('XBS '!T:T,'XBS '!H:H,' General Stock Summary View  '!$P$2,'XBS '!L:L,' General Stock Summary View  '!B168,'XBS '!C:C,' General Stock Summary View  '!C168)</f>
        <v>0</v>
      </c>
      <c r="Q168" s="3">
        <f>SUMIFS('PowerApp_Physical count'!H:H,'PowerApp_Physical count'!B:B,' General Stock Summary View  '!$P$2,'PowerApp_Physical count'!C:C,' General Stock Summary View  '!C168,'PowerApp_Physical count'!A:A,' General Stock Summary View  '!B168)</f>
        <v>0</v>
      </c>
      <c r="R168" s="4">
        <f t="shared" si="11"/>
        <v>0</v>
      </c>
      <c r="S168" s="5">
        <f>SUMIFS('XBS '!T:T,'XBS '!L:L,' General Stock Summary View  '!B168,'XBS '!H:H,' General Stock Summary View  '!$S$2,'XBS '!C:C,' General Stock Summary View  '!C168)</f>
        <v>0</v>
      </c>
      <c r="T168" s="3">
        <f>SUMIFS('PowerApp_Physical count'!H:H,'PowerApp_Physical count'!B:B,' General Stock Summary View  '!$S$2,'PowerApp_Physical count'!C:C,' General Stock Summary View  '!C168,'PowerApp_Physical count'!A:A,' General Stock Summary View  '!B168)</f>
        <v>0</v>
      </c>
      <c r="U168" s="4">
        <f t="shared" si="4"/>
        <v>0</v>
      </c>
      <c r="V168" s="2">
        <f>SUMIFS('XBS '!T:T,'XBS '!H:H,' General Stock Summary View  '!$V$2,'XBS '!B:B,' General Stock Summary View  '!C168,'XBS '!L:L,' General Stock Summary View  '!B168)</f>
        <v>0</v>
      </c>
      <c r="W168" s="3">
        <f>SUMIFS('PowerApp_Physical count'!H:H,'PowerApp_Physical count'!B:B,' General Stock Summary View  '!$V$2,'PowerApp_Physical count'!C:C,' General Stock Summary View  '!C168,'PowerApp_Physical count'!A:A,' General Stock Summary View  '!B168)</f>
        <v>0</v>
      </c>
      <c r="X168" s="4">
        <f t="shared" si="12"/>
        <v>0</v>
      </c>
      <c r="Y168" s="5">
        <f>SUMIFS('XBS '!T:T,'XBS '!H:H,' General Stock Summary View  '!$Y$2,'XBS '!B:B,' General Stock Summary View  '!C168,'XBS '!L:L,' General Stock Summary View  '!B168)</f>
        <v>0</v>
      </c>
      <c r="Z168" s="3">
        <f>SUMIFS('PowerApp_Physical count'!H:H,'PowerApp_Physical count'!B:B,' General Stock Summary View  '!$Y$2,'PowerApp_Physical count'!C:C,' General Stock Summary View  '!C168,'PowerApp_Physical count'!A:A,' General Stock Summary View  '!B168)</f>
        <v>0</v>
      </c>
      <c r="AA168" s="4">
        <f t="shared" si="13"/>
        <v>0</v>
      </c>
      <c r="AB168" s="5">
        <f>SUMIFS('XBS '!T:T,'XBS '!H:H,' General Stock Summary View  '!$AB$2,'XBS '!B:B,' General Stock Summary View  '!C168,'XBS '!L:L,' General Stock Summary View  '!B168)</f>
        <v>0</v>
      </c>
      <c r="AC168" s="3">
        <f>SUMIFS('PowerApp_Physical count'!H:H,'PowerApp_Physical count'!B:B,' General Stock Summary View  '!$AB$2,'PowerApp_Physical count'!C:C,' General Stock Summary View  '!C168,'PowerApp_Physical count'!A:A,' General Stock Summary View  '!B168)</f>
        <v>0</v>
      </c>
      <c r="AD168" s="6">
        <f t="shared" si="14"/>
        <v>0</v>
      </c>
      <c r="AE168" s="7">
        <f t="shared" si="8"/>
        <v>0</v>
      </c>
      <c r="AF168" s="8">
        <f t="shared" si="9"/>
        <v>0</v>
      </c>
      <c r="AG168" s="112"/>
    </row>
    <row r="169" spans="2:33" s="113" customFormat="1" ht="61.15">
      <c r="B169" s="117" t="s">
        <v>45</v>
      </c>
      <c r="C169" s="111" t="s">
        <v>162</v>
      </c>
      <c r="D169" s="11">
        <f>SUMIFS('XBS '!T:T,'XBS '!C:C,' General Stock Summary View  '!C169,'XBS '!L:L,' General Stock Summary View  '!B169)</f>
        <v>0</v>
      </c>
      <c r="E169" s="2">
        <f>SUMIFS('Blocked for Processing'!P:P,'Blocked for Processing'!I:I,' General Stock Summary View  '!B169,'Blocked for Processing'!C:C,' General Stock Summary View  '!C169)</f>
        <v>0</v>
      </c>
      <c r="F169" s="122">
        <f t="shared" si="0"/>
        <v>0</v>
      </c>
      <c r="G169" s="148">
        <f>SUMIFS('XBS '!T:T,'XBS '!H:H,' General Stock Summary View  '!$G$2,'XBS '!L:L,' General Stock Summary View  '!B169,'XBS '!C:C,' General Stock Summary View  '!C169)</f>
        <v>0</v>
      </c>
      <c r="H169" s="3">
        <f>SUMIFS('PowerApp_Physical count'!H:H,'PowerApp_Physical count'!B:B,' General Stock Summary View  '!$G$2,'PowerApp_Physical count'!C:C,' General Stock Summary View  '!C169,'PowerApp_Physical count'!A:A,' General Stock Summary View  '!B169)</f>
        <v>0</v>
      </c>
      <c r="I169" s="154">
        <f t="shared" ref="I169:I232" si="41">H169-G169</f>
        <v>0</v>
      </c>
      <c r="J169" s="11">
        <f>SUMIFS('XBS '!T:T,'XBS '!H:H,' General Stock Summary View  '!$J$2,'XBS '!L:L,' General Stock Summary View  '!B169,'XBS '!C:C,' General Stock Summary View  '!C169)</f>
        <v>0</v>
      </c>
      <c r="K169" s="157">
        <f>SUMIFS('PowerApp_Physical count'!H:H,'PowerApp_Physical count'!B:B,' General Stock Summary View  '!$J$2,'PowerApp_Physical count'!C:C,' General Stock Summary View  '!C169,'PowerApp_Physical count'!A:A,' General Stock Summary View  '!B169)</f>
        <v>0</v>
      </c>
      <c r="L169" s="127">
        <f t="shared" si="15"/>
        <v>0</v>
      </c>
      <c r="M169" s="126">
        <f t="shared" si="2"/>
        <v>0</v>
      </c>
      <c r="N169" s="11">
        <f t="shared" si="3"/>
        <v>0</v>
      </c>
      <c r="O169" s="144">
        <f t="shared" si="10"/>
        <v>0</v>
      </c>
      <c r="P169" s="2">
        <f>SUMIFS('XBS '!T:T,'XBS '!H:H,' General Stock Summary View  '!$P$2,'XBS '!L:L,' General Stock Summary View  '!B169,'XBS '!C:C,' General Stock Summary View  '!C169)</f>
        <v>0</v>
      </c>
      <c r="Q169" s="3">
        <f>SUMIFS('PowerApp_Physical count'!H:H,'PowerApp_Physical count'!B:B,' General Stock Summary View  '!$P$2,'PowerApp_Physical count'!C:C,' General Stock Summary View  '!C169,'PowerApp_Physical count'!A:A,' General Stock Summary View  '!B169)</f>
        <v>0</v>
      </c>
      <c r="R169" s="4">
        <f t="shared" si="11"/>
        <v>0</v>
      </c>
      <c r="S169" s="5">
        <f>SUMIFS('XBS '!T:T,'XBS '!L:L,' General Stock Summary View  '!B169,'XBS '!H:H,' General Stock Summary View  '!$S$2,'XBS '!C:C,' General Stock Summary View  '!C169)</f>
        <v>0</v>
      </c>
      <c r="T169" s="3">
        <f>SUMIFS('PowerApp_Physical count'!H:H,'PowerApp_Physical count'!B:B,' General Stock Summary View  '!$S$2,'PowerApp_Physical count'!C:C,' General Stock Summary View  '!C169,'PowerApp_Physical count'!A:A,' General Stock Summary View  '!B169)</f>
        <v>0</v>
      </c>
      <c r="U169" s="4">
        <f t="shared" si="4"/>
        <v>0</v>
      </c>
      <c r="V169" s="2">
        <f>SUMIFS('XBS '!T:T,'XBS '!H:H,' General Stock Summary View  '!$V$2,'XBS '!B:B,' General Stock Summary View  '!C169,'XBS '!L:L,' General Stock Summary View  '!B169)</f>
        <v>0</v>
      </c>
      <c r="W169" s="3">
        <f>SUMIFS('PowerApp_Physical count'!H:H,'PowerApp_Physical count'!B:B,' General Stock Summary View  '!$V$2,'PowerApp_Physical count'!C:C,' General Stock Summary View  '!C169,'PowerApp_Physical count'!A:A,' General Stock Summary View  '!B169)</f>
        <v>0</v>
      </c>
      <c r="X169" s="4">
        <f t="shared" si="12"/>
        <v>0</v>
      </c>
      <c r="Y169" s="5">
        <f>SUMIFS('XBS '!T:T,'XBS '!H:H,' General Stock Summary View  '!$Y$2,'XBS '!B:B,' General Stock Summary View  '!C169,'XBS '!L:L,' General Stock Summary View  '!B169)</f>
        <v>0</v>
      </c>
      <c r="Z169" s="3">
        <f>SUMIFS('PowerApp_Physical count'!H:H,'PowerApp_Physical count'!B:B,' General Stock Summary View  '!$Y$2,'PowerApp_Physical count'!C:C,' General Stock Summary View  '!C169,'PowerApp_Physical count'!A:A,' General Stock Summary View  '!B169)</f>
        <v>0</v>
      </c>
      <c r="AA169" s="4">
        <f t="shared" si="13"/>
        <v>0</v>
      </c>
      <c r="AB169" s="5">
        <f>SUMIFS('XBS '!T:T,'XBS '!H:H,' General Stock Summary View  '!$AB$2,'XBS '!B:B,' General Stock Summary View  '!C169,'XBS '!L:L,' General Stock Summary View  '!B169)</f>
        <v>0</v>
      </c>
      <c r="AC169" s="3">
        <f>SUMIFS('PowerApp_Physical count'!H:H,'PowerApp_Physical count'!B:B,' General Stock Summary View  '!$AB$2,'PowerApp_Physical count'!C:C,' General Stock Summary View  '!C169,'PowerApp_Physical count'!A:A,' General Stock Summary View  '!B169)</f>
        <v>0</v>
      </c>
      <c r="AD169" s="6">
        <f t="shared" si="14"/>
        <v>0</v>
      </c>
      <c r="AE169" s="7">
        <f t="shared" si="8"/>
        <v>0</v>
      </c>
      <c r="AF169" s="8">
        <f t="shared" si="9"/>
        <v>0</v>
      </c>
      <c r="AG169" s="112"/>
    </row>
    <row r="170" spans="2:33" s="113" customFormat="1" ht="61.15">
      <c r="B170" s="117" t="s">
        <v>76</v>
      </c>
      <c r="C170" s="111" t="s">
        <v>197</v>
      </c>
      <c r="D170" s="11">
        <f>SUMIFS('XBS '!T:T,'XBS '!C:C,' General Stock Summary View  '!C170,'XBS '!L:L,' General Stock Summary View  '!B170)</f>
        <v>5.2833333333333332</v>
      </c>
      <c r="E170" s="2">
        <f>SUMIFS('Blocked for Processing'!P:P,'Blocked for Processing'!I:I,' General Stock Summary View  '!B170,'Blocked for Processing'!C:C,' General Stock Summary View  '!C170)</f>
        <v>0</v>
      </c>
      <c r="F170" s="122">
        <f t="shared" si="0"/>
        <v>5.2833333333333332</v>
      </c>
      <c r="G170" s="148">
        <f>SUMIFS('XBS '!T:T,'XBS '!H:H,' General Stock Summary View  '!$G$2,'XBS '!L:L,' General Stock Summary View  '!B170,'XBS '!C:C,' General Stock Summary View  '!C170)</f>
        <v>0</v>
      </c>
      <c r="H170" s="3">
        <f>SUMIFS('PowerApp_Physical count'!H:H,'PowerApp_Physical count'!B:B,' General Stock Summary View  '!$G$2,'PowerApp_Physical count'!C:C,' General Stock Summary View  '!C170,'PowerApp_Physical count'!A:A,' General Stock Summary View  '!B170)</f>
        <v>0</v>
      </c>
      <c r="I170" s="154">
        <f t="shared" si="41"/>
        <v>0</v>
      </c>
      <c r="J170" s="11">
        <f>SUMIFS('XBS '!T:T,'XBS '!H:H,' General Stock Summary View  '!$J$2,'XBS '!L:L,' General Stock Summary View  '!B170,'XBS '!C:C,' General Stock Summary View  '!C170)</f>
        <v>0</v>
      </c>
      <c r="K170" s="157">
        <f>SUMIFS('PowerApp_Physical count'!H:H,'PowerApp_Physical count'!B:B,' General Stock Summary View  '!$J$2,'PowerApp_Physical count'!C:C,' General Stock Summary View  '!C170,'PowerApp_Physical count'!A:A,' General Stock Summary View  '!B170)</f>
        <v>0</v>
      </c>
      <c r="L170" s="127">
        <f t="shared" si="15"/>
        <v>0</v>
      </c>
      <c r="M170" s="126">
        <f t="shared" si="2"/>
        <v>0</v>
      </c>
      <c r="N170" s="11">
        <f t="shared" si="3"/>
        <v>0</v>
      </c>
      <c r="O170" s="144">
        <f t="shared" si="10"/>
        <v>0</v>
      </c>
      <c r="P170" s="2">
        <f>SUMIFS('XBS '!T:T,'XBS '!H:H,' General Stock Summary View  '!$P$2,'XBS '!L:L,' General Stock Summary View  '!B170,'XBS '!C:C,' General Stock Summary View  '!C170)</f>
        <v>5.2833333333333332</v>
      </c>
      <c r="Q170" s="3">
        <f>SUMIFS('PowerApp_Physical count'!H:H,'PowerApp_Physical count'!B:B,' General Stock Summary View  '!$P$2,'PowerApp_Physical count'!C:C,' General Stock Summary View  '!C170,'PowerApp_Physical count'!A:A,' General Stock Summary View  '!B170)</f>
        <v>0</v>
      </c>
      <c r="R170" s="4">
        <f t="shared" si="11"/>
        <v>-5.2833333333333332</v>
      </c>
      <c r="S170" s="5">
        <f>SUMIFS('XBS '!T:T,'XBS '!L:L,' General Stock Summary View  '!B170,'XBS '!H:H,' General Stock Summary View  '!$S$2,'XBS '!C:C,' General Stock Summary View  '!C170)</f>
        <v>0</v>
      </c>
      <c r="T170" s="3">
        <f>SUMIFS('PowerApp_Physical count'!H:H,'PowerApp_Physical count'!B:B,' General Stock Summary View  '!$S$2,'PowerApp_Physical count'!C:C,' General Stock Summary View  '!C170,'PowerApp_Physical count'!A:A,' General Stock Summary View  '!B170)</f>
        <v>0</v>
      </c>
      <c r="U170" s="4">
        <f t="shared" si="4"/>
        <v>0</v>
      </c>
      <c r="V170" s="2">
        <f>SUMIFS('XBS '!T:T,'XBS '!H:H,' General Stock Summary View  '!$V$2,'XBS '!B:B,' General Stock Summary View  '!C170,'XBS '!L:L,' General Stock Summary View  '!B170)</f>
        <v>0</v>
      </c>
      <c r="W170" s="3">
        <f>SUMIFS('PowerApp_Physical count'!H:H,'PowerApp_Physical count'!B:B,' General Stock Summary View  '!$V$2,'PowerApp_Physical count'!C:C,' General Stock Summary View  '!C170,'PowerApp_Physical count'!A:A,' General Stock Summary View  '!B170)</f>
        <v>0</v>
      </c>
      <c r="X170" s="4">
        <f t="shared" si="12"/>
        <v>0</v>
      </c>
      <c r="Y170" s="5">
        <f>SUMIFS('XBS '!T:T,'XBS '!H:H,' General Stock Summary View  '!$Y$2,'XBS '!B:B,' General Stock Summary View  '!C170,'XBS '!L:L,' General Stock Summary View  '!B170)</f>
        <v>0</v>
      </c>
      <c r="Z170" s="3">
        <f>SUMIFS('PowerApp_Physical count'!H:H,'PowerApp_Physical count'!B:B,' General Stock Summary View  '!$Y$2,'PowerApp_Physical count'!C:C,' General Stock Summary View  '!C170,'PowerApp_Physical count'!A:A,' General Stock Summary View  '!B170)</f>
        <v>0</v>
      </c>
      <c r="AA170" s="4">
        <f t="shared" si="13"/>
        <v>0</v>
      </c>
      <c r="AB170" s="5">
        <f>SUMIFS('XBS '!T:T,'XBS '!H:H,' General Stock Summary View  '!$AB$2,'XBS '!B:B,' General Stock Summary View  '!C170,'XBS '!L:L,' General Stock Summary View  '!B170)</f>
        <v>0</v>
      </c>
      <c r="AC170" s="3">
        <f>SUMIFS('PowerApp_Physical count'!H:H,'PowerApp_Physical count'!B:B,' General Stock Summary View  '!$AB$2,'PowerApp_Physical count'!C:C,' General Stock Summary View  '!C170,'PowerApp_Physical count'!A:A,' General Stock Summary View  '!B170)</f>
        <v>0</v>
      </c>
      <c r="AD170" s="6">
        <f t="shared" si="14"/>
        <v>0</v>
      </c>
      <c r="AE170" s="7">
        <f t="shared" si="8"/>
        <v>0</v>
      </c>
      <c r="AF170" s="8">
        <f t="shared" si="9"/>
        <v>-5.2833333333333332</v>
      </c>
      <c r="AG170" s="112"/>
    </row>
    <row r="171" spans="2:33" s="113" customFormat="1" ht="61.15">
      <c r="B171" s="117" t="s">
        <v>198</v>
      </c>
      <c r="C171" s="111" t="s">
        <v>197</v>
      </c>
      <c r="D171" s="11">
        <f>SUMIFS('XBS '!T:T,'XBS '!C:C,' General Stock Summary View  '!C171,'XBS '!L:L,' General Stock Summary View  '!B171)</f>
        <v>13.15</v>
      </c>
      <c r="E171" s="2">
        <f>SUMIFS('Blocked for Processing'!P:P,'Blocked for Processing'!I:I,' General Stock Summary View  '!B171,'Blocked for Processing'!C:C,' General Stock Summary View  '!C171)</f>
        <v>0</v>
      </c>
      <c r="F171" s="122">
        <f t="shared" si="0"/>
        <v>13.15</v>
      </c>
      <c r="G171" s="148">
        <f>SUMIFS('XBS '!T:T,'XBS '!H:H,' General Stock Summary View  '!$G$2,'XBS '!L:L,' General Stock Summary View  '!B171,'XBS '!C:C,' General Stock Summary View  '!C171)</f>
        <v>0</v>
      </c>
      <c r="H171" s="3">
        <f>SUMIFS('PowerApp_Physical count'!H:H,'PowerApp_Physical count'!B:B,' General Stock Summary View  '!$G$2,'PowerApp_Physical count'!C:C,' General Stock Summary View  '!C171,'PowerApp_Physical count'!A:A,' General Stock Summary View  '!B171)</f>
        <v>0</v>
      </c>
      <c r="I171" s="154">
        <f t="shared" si="41"/>
        <v>0</v>
      </c>
      <c r="J171" s="11">
        <f>SUMIFS('XBS '!T:T,'XBS '!H:H,' General Stock Summary View  '!$J$2,'XBS '!L:L,' General Stock Summary View  '!B171,'XBS '!C:C,' General Stock Summary View  '!C171)</f>
        <v>0</v>
      </c>
      <c r="K171" s="157">
        <f>SUMIFS('PowerApp_Physical count'!H:H,'PowerApp_Physical count'!B:B,' General Stock Summary View  '!$J$2,'PowerApp_Physical count'!C:C,' General Stock Summary View  '!C171,'PowerApp_Physical count'!A:A,' General Stock Summary View  '!B171)</f>
        <v>0</v>
      </c>
      <c r="L171" s="127">
        <f t="shared" si="15"/>
        <v>0</v>
      </c>
      <c r="M171" s="126">
        <f t="shared" si="2"/>
        <v>0</v>
      </c>
      <c r="N171" s="11">
        <f t="shared" si="3"/>
        <v>0</v>
      </c>
      <c r="O171" s="144">
        <f t="shared" si="10"/>
        <v>0</v>
      </c>
      <c r="P171" s="2">
        <f>SUMIFS('XBS '!T:T,'XBS '!H:H,' General Stock Summary View  '!$P$2,'XBS '!L:L,' General Stock Summary View  '!B171,'XBS '!C:C,' General Stock Summary View  '!C171)</f>
        <v>13.15</v>
      </c>
      <c r="Q171" s="3">
        <f>SUMIFS('PowerApp_Physical count'!H:H,'PowerApp_Physical count'!B:B,' General Stock Summary View  '!$P$2,'PowerApp_Physical count'!C:C,' General Stock Summary View  '!C171,'PowerApp_Physical count'!A:A,' General Stock Summary View  '!B171)</f>
        <v>0</v>
      </c>
      <c r="R171" s="4">
        <f t="shared" si="11"/>
        <v>-13.15</v>
      </c>
      <c r="S171" s="5">
        <f>SUMIFS('XBS '!T:T,'XBS '!L:L,' General Stock Summary View  '!B171,'XBS '!H:H,' General Stock Summary View  '!$S$2,'XBS '!C:C,' General Stock Summary View  '!C171)</f>
        <v>0</v>
      </c>
      <c r="T171" s="3">
        <f>SUMIFS('PowerApp_Physical count'!H:H,'PowerApp_Physical count'!B:B,' General Stock Summary View  '!$S$2,'PowerApp_Physical count'!C:C,' General Stock Summary View  '!C171,'PowerApp_Physical count'!A:A,' General Stock Summary View  '!B171)</f>
        <v>0</v>
      </c>
      <c r="U171" s="4">
        <f t="shared" si="4"/>
        <v>0</v>
      </c>
      <c r="V171" s="2">
        <f>SUMIFS('XBS '!T:T,'XBS '!H:H,' General Stock Summary View  '!$V$2,'XBS '!B:B,' General Stock Summary View  '!C171,'XBS '!L:L,' General Stock Summary View  '!B171)</f>
        <v>0</v>
      </c>
      <c r="W171" s="3">
        <f>SUMIFS('PowerApp_Physical count'!H:H,'PowerApp_Physical count'!B:B,' General Stock Summary View  '!$V$2,'PowerApp_Physical count'!C:C,' General Stock Summary View  '!C171,'PowerApp_Physical count'!A:A,' General Stock Summary View  '!B171)</f>
        <v>0</v>
      </c>
      <c r="X171" s="4">
        <f t="shared" si="12"/>
        <v>0</v>
      </c>
      <c r="Y171" s="5">
        <f>SUMIFS('XBS '!T:T,'XBS '!H:H,' General Stock Summary View  '!$Y$2,'XBS '!B:B,' General Stock Summary View  '!C171,'XBS '!L:L,' General Stock Summary View  '!B171)</f>
        <v>0</v>
      </c>
      <c r="Z171" s="3">
        <f>SUMIFS('PowerApp_Physical count'!H:H,'PowerApp_Physical count'!B:B,' General Stock Summary View  '!$Y$2,'PowerApp_Physical count'!C:C,' General Stock Summary View  '!C171,'PowerApp_Physical count'!A:A,' General Stock Summary View  '!B171)</f>
        <v>0</v>
      </c>
      <c r="AA171" s="4">
        <f t="shared" si="13"/>
        <v>0</v>
      </c>
      <c r="AB171" s="5">
        <f>SUMIFS('XBS '!T:T,'XBS '!H:H,' General Stock Summary View  '!$AB$2,'XBS '!B:B,' General Stock Summary View  '!C171,'XBS '!L:L,' General Stock Summary View  '!B171)</f>
        <v>0</v>
      </c>
      <c r="AC171" s="3">
        <f>SUMIFS('PowerApp_Physical count'!H:H,'PowerApp_Physical count'!B:B,' General Stock Summary View  '!$AB$2,'PowerApp_Physical count'!C:C,' General Stock Summary View  '!C171,'PowerApp_Physical count'!A:A,' General Stock Summary View  '!B171)</f>
        <v>0</v>
      </c>
      <c r="AD171" s="6">
        <f t="shared" si="14"/>
        <v>0</v>
      </c>
      <c r="AE171" s="7">
        <f t="shared" si="8"/>
        <v>0</v>
      </c>
      <c r="AF171" s="8">
        <f t="shared" si="9"/>
        <v>-13.15</v>
      </c>
      <c r="AG171" s="112"/>
    </row>
    <row r="172" spans="2:33" s="113" customFormat="1" ht="61.15">
      <c r="B172" s="117" t="s">
        <v>194</v>
      </c>
      <c r="C172" s="111" t="s">
        <v>197</v>
      </c>
      <c r="D172" s="11">
        <f>SUMIFS('XBS '!T:T,'XBS '!C:C,' General Stock Summary View  '!C172,'XBS '!L:L,' General Stock Summary View  '!B172)</f>
        <v>1</v>
      </c>
      <c r="E172" s="2">
        <f>SUMIFS('Blocked for Processing'!P:P,'Blocked for Processing'!I:I,' General Stock Summary View  '!B172,'Blocked for Processing'!C:C,' General Stock Summary View  '!C172)</f>
        <v>0</v>
      </c>
      <c r="F172" s="122">
        <f t="shared" si="0"/>
        <v>1</v>
      </c>
      <c r="G172" s="148"/>
      <c r="H172" s="3"/>
      <c r="I172" s="154"/>
      <c r="J172" s="11"/>
      <c r="K172" s="157"/>
      <c r="L172" s="127">
        <f t="shared" si="15"/>
        <v>0</v>
      </c>
      <c r="M172" s="126">
        <f t="shared" si="2"/>
        <v>0</v>
      </c>
      <c r="N172" s="11">
        <f t="shared" si="3"/>
        <v>0</v>
      </c>
      <c r="O172" s="144">
        <f t="shared" si="10"/>
        <v>0</v>
      </c>
      <c r="P172" s="2">
        <f>SUMIFS('XBS '!T:T,'XBS '!H:H,' General Stock Summary View  '!$P$2,'XBS '!L:L,' General Stock Summary View  '!B172,'XBS '!C:C,' General Stock Summary View  '!C172)</f>
        <v>1</v>
      </c>
      <c r="Q172" s="3">
        <f>SUMIFS('PowerApp_Physical count'!H:H,'PowerApp_Physical count'!B:B,' General Stock Summary View  '!$P$2,'PowerApp_Physical count'!C:C,' General Stock Summary View  '!C172,'PowerApp_Physical count'!A:A,' General Stock Summary View  '!B172)</f>
        <v>0</v>
      </c>
      <c r="R172" s="4">
        <f t="shared" si="11"/>
        <v>-1</v>
      </c>
      <c r="S172" s="5">
        <f>SUMIFS('XBS '!T:T,'XBS '!L:L,' General Stock Summary View  '!B172,'XBS '!H:H,' General Stock Summary View  '!$S$2,'XBS '!C:C,' General Stock Summary View  '!C172)</f>
        <v>0</v>
      </c>
      <c r="T172" s="3">
        <f>SUMIFS('PowerApp_Physical count'!H:H,'PowerApp_Physical count'!B:B,' General Stock Summary View  '!$S$2,'PowerApp_Physical count'!C:C,' General Stock Summary View  '!C172,'PowerApp_Physical count'!A:A,' General Stock Summary View  '!B172)</f>
        <v>0</v>
      </c>
      <c r="U172" s="4">
        <f t="shared" si="4"/>
        <v>0</v>
      </c>
      <c r="V172" s="2">
        <f>SUMIFS('XBS '!T:T,'XBS '!H:H,' General Stock Summary View  '!$V$2,'XBS '!B:B,' General Stock Summary View  '!C172,'XBS '!L:L,' General Stock Summary View  '!B172)</f>
        <v>0</v>
      </c>
      <c r="W172" s="3">
        <f>SUMIFS('PowerApp_Physical count'!H:H,'PowerApp_Physical count'!B:B,' General Stock Summary View  '!$V$2,'PowerApp_Physical count'!C:C,' General Stock Summary View  '!C172,'PowerApp_Physical count'!A:A,' General Stock Summary View  '!B172)</f>
        <v>0</v>
      </c>
      <c r="X172" s="4">
        <f t="shared" si="12"/>
        <v>0</v>
      </c>
      <c r="Y172" s="5">
        <f>SUMIFS('XBS '!T:T,'XBS '!H:H,' General Stock Summary View  '!$Y$2,'XBS '!B:B,' General Stock Summary View  '!C172,'XBS '!L:L,' General Stock Summary View  '!B172)</f>
        <v>0</v>
      </c>
      <c r="Z172" s="3">
        <f>SUMIFS('PowerApp_Physical count'!H:H,'PowerApp_Physical count'!B:B,' General Stock Summary View  '!$Y$2,'PowerApp_Physical count'!C:C,' General Stock Summary View  '!C172,'PowerApp_Physical count'!A:A,' General Stock Summary View  '!B172)</f>
        <v>0</v>
      </c>
      <c r="AA172" s="4">
        <f t="shared" si="13"/>
        <v>0</v>
      </c>
      <c r="AB172" s="5">
        <f>SUMIFS('XBS '!T:T,'XBS '!H:H,' General Stock Summary View  '!$AB$2,'XBS '!B:B,' General Stock Summary View  '!C172,'XBS '!L:L,' General Stock Summary View  '!B172)</f>
        <v>0</v>
      </c>
      <c r="AC172" s="3">
        <f>SUMIFS('PowerApp_Physical count'!H:H,'PowerApp_Physical count'!B:B,' General Stock Summary View  '!$AB$2,'PowerApp_Physical count'!C:C,' General Stock Summary View  '!C172,'PowerApp_Physical count'!A:A,' General Stock Summary View  '!B172)</f>
        <v>0</v>
      </c>
      <c r="AD172" s="6">
        <f t="shared" si="14"/>
        <v>0</v>
      </c>
      <c r="AE172" s="7">
        <f t="shared" si="8"/>
        <v>0</v>
      </c>
      <c r="AF172" s="8">
        <f t="shared" si="9"/>
        <v>-1</v>
      </c>
      <c r="AG172" s="112"/>
    </row>
    <row r="173" spans="2:33" s="113" customFormat="1" ht="61.15">
      <c r="B173" s="117" t="s">
        <v>195</v>
      </c>
      <c r="C173" s="111" t="s">
        <v>197</v>
      </c>
      <c r="D173" s="11">
        <f>SUMIFS('XBS '!T:T,'XBS '!C:C,' General Stock Summary View  '!C173,'XBS '!L:L,' General Stock Summary View  '!B173)</f>
        <v>0.2</v>
      </c>
      <c r="E173" s="2">
        <f>SUMIFS('Blocked for Processing'!P:P,'Blocked for Processing'!I:I,' General Stock Summary View  '!B173,'Blocked for Processing'!C:C,' General Stock Summary View  '!C173)</f>
        <v>0</v>
      </c>
      <c r="F173" s="122">
        <f t="shared" si="0"/>
        <v>0.2</v>
      </c>
      <c r="G173" s="148"/>
      <c r="H173" s="3"/>
      <c r="I173" s="154"/>
      <c r="J173" s="11"/>
      <c r="K173" s="157"/>
      <c r="L173" s="127">
        <f t="shared" si="15"/>
        <v>0</v>
      </c>
      <c r="M173" s="126">
        <f t="shared" si="2"/>
        <v>0</v>
      </c>
      <c r="N173" s="11">
        <f t="shared" si="3"/>
        <v>0</v>
      </c>
      <c r="O173" s="144">
        <f t="shared" si="10"/>
        <v>0</v>
      </c>
      <c r="P173" s="2">
        <f>SUMIFS('XBS '!T:T,'XBS '!H:H,' General Stock Summary View  '!$P$2,'XBS '!L:L,' General Stock Summary View  '!B173,'XBS '!C:C,' General Stock Summary View  '!C173)</f>
        <v>0.2</v>
      </c>
      <c r="Q173" s="3">
        <f>SUMIFS('PowerApp_Physical count'!H:H,'PowerApp_Physical count'!B:B,' General Stock Summary View  '!$P$2,'PowerApp_Physical count'!C:C,' General Stock Summary View  '!C173,'PowerApp_Physical count'!A:A,' General Stock Summary View  '!B173)</f>
        <v>0</v>
      </c>
      <c r="R173" s="4">
        <f t="shared" si="11"/>
        <v>-0.2</v>
      </c>
      <c r="S173" s="5">
        <f>SUMIFS('XBS '!T:T,'XBS '!L:L,' General Stock Summary View  '!B173,'XBS '!H:H,' General Stock Summary View  '!$S$2,'XBS '!C:C,' General Stock Summary View  '!C173)</f>
        <v>0</v>
      </c>
      <c r="T173" s="3">
        <f>SUMIFS('PowerApp_Physical count'!H:H,'PowerApp_Physical count'!B:B,' General Stock Summary View  '!$S$2,'PowerApp_Physical count'!C:C,' General Stock Summary View  '!C173,'PowerApp_Physical count'!A:A,' General Stock Summary View  '!B173)</f>
        <v>0</v>
      </c>
      <c r="U173" s="4">
        <f t="shared" si="4"/>
        <v>0</v>
      </c>
      <c r="V173" s="2">
        <f>SUMIFS('XBS '!T:T,'XBS '!H:H,' General Stock Summary View  '!$V$2,'XBS '!B:B,' General Stock Summary View  '!C173,'XBS '!L:L,' General Stock Summary View  '!B173)</f>
        <v>0</v>
      </c>
      <c r="W173" s="3">
        <f>SUMIFS('PowerApp_Physical count'!H:H,'PowerApp_Physical count'!B:B,' General Stock Summary View  '!$V$2,'PowerApp_Physical count'!C:C,' General Stock Summary View  '!C173,'PowerApp_Physical count'!A:A,' General Stock Summary View  '!B173)</f>
        <v>0</v>
      </c>
      <c r="X173" s="4">
        <f t="shared" si="12"/>
        <v>0</v>
      </c>
      <c r="Y173" s="5">
        <f>SUMIFS('XBS '!T:T,'XBS '!H:H,' General Stock Summary View  '!$Y$2,'XBS '!B:B,' General Stock Summary View  '!C173,'XBS '!L:L,' General Stock Summary View  '!B173)</f>
        <v>0</v>
      </c>
      <c r="Z173" s="3">
        <f>SUMIFS('PowerApp_Physical count'!H:H,'PowerApp_Physical count'!B:B,' General Stock Summary View  '!$Y$2,'PowerApp_Physical count'!C:C,' General Stock Summary View  '!C173,'PowerApp_Physical count'!A:A,' General Stock Summary View  '!B173)</f>
        <v>0</v>
      </c>
      <c r="AA173" s="4">
        <f t="shared" si="13"/>
        <v>0</v>
      </c>
      <c r="AB173" s="5">
        <f>SUMIFS('XBS '!T:T,'XBS '!H:H,' General Stock Summary View  '!$AB$2,'XBS '!B:B,' General Stock Summary View  '!C173,'XBS '!L:L,' General Stock Summary View  '!B173)</f>
        <v>0</v>
      </c>
      <c r="AC173" s="3">
        <f>SUMIFS('PowerApp_Physical count'!H:H,'PowerApp_Physical count'!B:B,' General Stock Summary View  '!$AB$2,'PowerApp_Physical count'!C:C,' General Stock Summary View  '!C173,'PowerApp_Physical count'!A:A,' General Stock Summary View  '!B173)</f>
        <v>0</v>
      </c>
      <c r="AD173" s="6">
        <f t="shared" si="14"/>
        <v>0</v>
      </c>
      <c r="AE173" s="7">
        <f t="shared" si="8"/>
        <v>0</v>
      </c>
      <c r="AF173" s="8">
        <f t="shared" si="9"/>
        <v>-0.2</v>
      </c>
      <c r="AG173" s="112"/>
    </row>
    <row r="174" spans="2:33" s="113" customFormat="1" ht="61.15">
      <c r="B174" s="117" t="s">
        <v>196</v>
      </c>
      <c r="C174" s="111" t="s">
        <v>197</v>
      </c>
      <c r="D174" s="11">
        <f>SUMIFS('XBS '!T:T,'XBS '!C:C,' General Stock Summary View  '!C174,'XBS '!L:L,' General Stock Summary View  '!B174)</f>
        <v>0.31666666666666665</v>
      </c>
      <c r="E174" s="2">
        <f>SUMIFS('Blocked for Processing'!P:P,'Blocked for Processing'!I:I,' General Stock Summary View  '!B174,'Blocked for Processing'!C:C,' General Stock Summary View  '!C174)</f>
        <v>0</v>
      </c>
      <c r="F174" s="122">
        <f t="shared" si="0"/>
        <v>0.31666666666666665</v>
      </c>
      <c r="G174" s="148"/>
      <c r="H174" s="3"/>
      <c r="I174" s="154"/>
      <c r="J174" s="11"/>
      <c r="K174" s="157"/>
      <c r="L174" s="127">
        <f t="shared" si="15"/>
        <v>0</v>
      </c>
      <c r="M174" s="126">
        <f t="shared" si="2"/>
        <v>0</v>
      </c>
      <c r="N174" s="11">
        <f t="shared" si="3"/>
        <v>0</v>
      </c>
      <c r="O174" s="144">
        <f t="shared" si="10"/>
        <v>0</v>
      </c>
      <c r="P174" s="2">
        <f>SUMIFS('XBS '!T:T,'XBS '!H:H,' General Stock Summary View  '!$P$2,'XBS '!L:L,' General Stock Summary View  '!B174,'XBS '!C:C,' General Stock Summary View  '!C174)</f>
        <v>0.31666666666666665</v>
      </c>
      <c r="Q174" s="3">
        <f>SUMIFS('PowerApp_Physical count'!H:H,'PowerApp_Physical count'!B:B,' General Stock Summary View  '!$P$2,'PowerApp_Physical count'!C:C,' General Stock Summary View  '!C174,'PowerApp_Physical count'!A:A,' General Stock Summary View  '!B174)</f>
        <v>0</v>
      </c>
      <c r="R174" s="4">
        <f t="shared" si="11"/>
        <v>-0.31666666666666665</v>
      </c>
      <c r="S174" s="5">
        <f>SUMIFS('XBS '!T:T,'XBS '!L:L,' General Stock Summary View  '!B174,'XBS '!H:H,' General Stock Summary View  '!$S$2,'XBS '!C:C,' General Stock Summary View  '!C174)</f>
        <v>0</v>
      </c>
      <c r="T174" s="3">
        <f>SUMIFS('PowerApp_Physical count'!H:H,'PowerApp_Physical count'!B:B,' General Stock Summary View  '!$S$2,'PowerApp_Physical count'!C:C,' General Stock Summary View  '!C174,'PowerApp_Physical count'!A:A,' General Stock Summary View  '!B174)</f>
        <v>0</v>
      </c>
      <c r="U174" s="4">
        <f t="shared" si="4"/>
        <v>0</v>
      </c>
      <c r="V174" s="2">
        <f>SUMIFS('XBS '!T:T,'XBS '!H:H,' General Stock Summary View  '!$V$2,'XBS '!B:B,' General Stock Summary View  '!C174,'XBS '!L:L,' General Stock Summary View  '!B174)</f>
        <v>0</v>
      </c>
      <c r="W174" s="3">
        <f>SUMIFS('PowerApp_Physical count'!H:H,'PowerApp_Physical count'!B:B,' General Stock Summary View  '!$V$2,'PowerApp_Physical count'!C:C,' General Stock Summary View  '!C174,'PowerApp_Physical count'!A:A,' General Stock Summary View  '!B174)</f>
        <v>0</v>
      </c>
      <c r="X174" s="4">
        <f t="shared" si="12"/>
        <v>0</v>
      </c>
      <c r="Y174" s="5">
        <f>SUMIFS('XBS '!T:T,'XBS '!H:H,' General Stock Summary View  '!$Y$2,'XBS '!B:B,' General Stock Summary View  '!C174,'XBS '!L:L,' General Stock Summary View  '!B174)</f>
        <v>0</v>
      </c>
      <c r="Z174" s="3">
        <f>SUMIFS('PowerApp_Physical count'!H:H,'PowerApp_Physical count'!B:B,' General Stock Summary View  '!$Y$2,'PowerApp_Physical count'!C:C,' General Stock Summary View  '!C174,'PowerApp_Physical count'!A:A,' General Stock Summary View  '!B174)</f>
        <v>0</v>
      </c>
      <c r="AA174" s="4">
        <f t="shared" si="13"/>
        <v>0</v>
      </c>
      <c r="AB174" s="5">
        <f>SUMIFS('XBS '!T:T,'XBS '!H:H,' General Stock Summary View  '!$AB$2,'XBS '!B:B,' General Stock Summary View  '!C174,'XBS '!L:L,' General Stock Summary View  '!B174)</f>
        <v>0</v>
      </c>
      <c r="AC174" s="3">
        <f>SUMIFS('PowerApp_Physical count'!H:H,'PowerApp_Physical count'!B:B,' General Stock Summary View  '!$AB$2,'PowerApp_Physical count'!C:C,' General Stock Summary View  '!C174,'PowerApp_Physical count'!A:A,' General Stock Summary View  '!B174)</f>
        <v>0</v>
      </c>
      <c r="AD174" s="6">
        <f t="shared" si="14"/>
        <v>0</v>
      </c>
      <c r="AE174" s="7">
        <f t="shared" si="8"/>
        <v>0</v>
      </c>
      <c r="AF174" s="8">
        <f t="shared" si="9"/>
        <v>-0.31666666666666665</v>
      </c>
      <c r="AG174" s="112"/>
    </row>
    <row r="175" spans="2:33" s="113" customFormat="1" ht="61.15">
      <c r="B175" s="117" t="s">
        <v>68</v>
      </c>
      <c r="C175" s="111" t="s">
        <v>197</v>
      </c>
      <c r="D175" s="11">
        <f>SUMIFS('XBS '!T:T,'XBS '!C:C,' General Stock Summary View  '!C175,'XBS '!L:L,' General Stock Summary View  '!B175)</f>
        <v>8.2333333333333325</v>
      </c>
      <c r="E175" s="2">
        <f>SUMIFS('Blocked for Processing'!P:P,'Blocked for Processing'!I:I,' General Stock Summary View  '!B175,'Blocked for Processing'!C:C,' General Stock Summary View  '!C175)</f>
        <v>0</v>
      </c>
      <c r="F175" s="122">
        <f t="shared" si="0"/>
        <v>8.2333333333333325</v>
      </c>
      <c r="G175" s="148"/>
      <c r="H175" s="3"/>
      <c r="I175" s="154"/>
      <c r="J175" s="11"/>
      <c r="K175" s="157"/>
      <c r="L175" s="127">
        <f t="shared" si="15"/>
        <v>0</v>
      </c>
      <c r="M175" s="126">
        <f t="shared" si="2"/>
        <v>0</v>
      </c>
      <c r="N175" s="11">
        <f t="shared" si="3"/>
        <v>0</v>
      </c>
      <c r="O175" s="144">
        <f t="shared" si="10"/>
        <v>0</v>
      </c>
      <c r="P175" s="2">
        <f>SUMIFS('XBS '!T:T,'XBS '!H:H,' General Stock Summary View  '!$P$2,'XBS '!L:L,' General Stock Summary View  '!B175,'XBS '!C:C,' General Stock Summary View  '!C175)</f>
        <v>8.2333333333333325</v>
      </c>
      <c r="Q175" s="3">
        <f>SUMIFS('PowerApp_Physical count'!H:H,'PowerApp_Physical count'!B:B,' General Stock Summary View  '!$P$2,'PowerApp_Physical count'!C:C,' General Stock Summary View  '!C175,'PowerApp_Physical count'!A:A,' General Stock Summary View  '!B175)</f>
        <v>0</v>
      </c>
      <c r="R175" s="4">
        <f t="shared" si="11"/>
        <v>-8.2333333333333325</v>
      </c>
      <c r="S175" s="5">
        <f>SUMIFS('XBS '!T:T,'XBS '!L:L,' General Stock Summary View  '!B175,'XBS '!H:H,' General Stock Summary View  '!$S$2,'XBS '!C:C,' General Stock Summary View  '!C175)</f>
        <v>0</v>
      </c>
      <c r="T175" s="3">
        <f>SUMIFS('PowerApp_Physical count'!H:H,'PowerApp_Physical count'!B:B,' General Stock Summary View  '!$S$2,'PowerApp_Physical count'!C:C,' General Stock Summary View  '!C175,'PowerApp_Physical count'!A:A,' General Stock Summary View  '!B175)</f>
        <v>0</v>
      </c>
      <c r="U175" s="4">
        <f t="shared" si="4"/>
        <v>0</v>
      </c>
      <c r="V175" s="2">
        <f>SUMIFS('XBS '!T:T,'XBS '!H:H,' General Stock Summary View  '!$V$2,'XBS '!B:B,' General Stock Summary View  '!C175,'XBS '!L:L,' General Stock Summary View  '!B175)</f>
        <v>0</v>
      </c>
      <c r="W175" s="3">
        <f>SUMIFS('PowerApp_Physical count'!H:H,'PowerApp_Physical count'!B:B,' General Stock Summary View  '!$V$2,'PowerApp_Physical count'!C:C,' General Stock Summary View  '!C175,'PowerApp_Physical count'!A:A,' General Stock Summary View  '!B175)</f>
        <v>0</v>
      </c>
      <c r="X175" s="4">
        <f t="shared" si="12"/>
        <v>0</v>
      </c>
      <c r="Y175" s="5">
        <f>SUMIFS('XBS '!T:T,'XBS '!H:H,' General Stock Summary View  '!$Y$2,'XBS '!B:B,' General Stock Summary View  '!C175,'XBS '!L:L,' General Stock Summary View  '!B175)</f>
        <v>0</v>
      </c>
      <c r="Z175" s="3">
        <f>SUMIFS('PowerApp_Physical count'!H:H,'PowerApp_Physical count'!B:B,' General Stock Summary View  '!$Y$2,'PowerApp_Physical count'!C:C,' General Stock Summary View  '!C175,'PowerApp_Physical count'!A:A,' General Stock Summary View  '!B175)</f>
        <v>0</v>
      </c>
      <c r="AA175" s="4">
        <f t="shared" si="13"/>
        <v>0</v>
      </c>
      <c r="AB175" s="5">
        <f>SUMIFS('XBS '!T:T,'XBS '!H:H,' General Stock Summary View  '!$AB$2,'XBS '!B:B,' General Stock Summary View  '!C175,'XBS '!L:L,' General Stock Summary View  '!B175)</f>
        <v>0</v>
      </c>
      <c r="AC175" s="3">
        <f>SUMIFS('PowerApp_Physical count'!H:H,'PowerApp_Physical count'!B:B,' General Stock Summary View  '!$AB$2,'PowerApp_Physical count'!C:C,' General Stock Summary View  '!C175,'PowerApp_Physical count'!A:A,' General Stock Summary View  '!B175)</f>
        <v>0</v>
      </c>
      <c r="AD175" s="6">
        <f t="shared" si="14"/>
        <v>0</v>
      </c>
      <c r="AE175" s="7">
        <f t="shared" si="8"/>
        <v>0</v>
      </c>
      <c r="AF175" s="8">
        <f t="shared" si="9"/>
        <v>-8.2333333333333325</v>
      </c>
      <c r="AG175" s="112"/>
    </row>
    <row r="176" spans="2:33" s="113" customFormat="1" ht="61.15">
      <c r="B176" s="117" t="s">
        <v>45</v>
      </c>
      <c r="C176" s="111" t="s">
        <v>197</v>
      </c>
      <c r="D176" s="11">
        <f>SUMIFS('XBS '!T:T,'XBS '!C:C,' General Stock Summary View  '!C176,'XBS '!L:L,' General Stock Summary View  '!B176)</f>
        <v>17</v>
      </c>
      <c r="E176" s="2">
        <f>SUMIFS('Blocked for Processing'!P:P,'Blocked for Processing'!I:I,' General Stock Summary View  '!B176,'Blocked for Processing'!C:C,' General Stock Summary View  '!C176)</f>
        <v>0</v>
      </c>
      <c r="F176" s="122">
        <f t="shared" si="0"/>
        <v>17</v>
      </c>
      <c r="G176" s="148"/>
      <c r="H176" s="3"/>
      <c r="I176" s="154"/>
      <c r="J176" s="11"/>
      <c r="K176" s="157"/>
      <c r="L176" s="127">
        <f t="shared" si="15"/>
        <v>0</v>
      </c>
      <c r="M176" s="126">
        <f t="shared" si="2"/>
        <v>0</v>
      </c>
      <c r="N176" s="11">
        <f t="shared" si="3"/>
        <v>0</v>
      </c>
      <c r="O176" s="144">
        <f t="shared" si="10"/>
        <v>0</v>
      </c>
      <c r="P176" s="2">
        <f>SUMIFS('XBS '!T:T,'XBS '!H:H,' General Stock Summary View  '!$P$2,'XBS '!L:L,' General Stock Summary View  '!B176,'XBS '!C:C,' General Stock Summary View  '!C176)</f>
        <v>17</v>
      </c>
      <c r="Q176" s="3">
        <f>SUMIFS('PowerApp_Physical count'!H:H,'PowerApp_Physical count'!B:B,' General Stock Summary View  '!$P$2,'PowerApp_Physical count'!C:C,' General Stock Summary View  '!C176,'PowerApp_Physical count'!A:A,' General Stock Summary View  '!B176)</f>
        <v>0</v>
      </c>
      <c r="R176" s="4">
        <f t="shared" si="11"/>
        <v>-17</v>
      </c>
      <c r="S176" s="5">
        <f>SUMIFS('XBS '!T:T,'XBS '!L:L,' General Stock Summary View  '!B176,'XBS '!H:H,' General Stock Summary View  '!$S$2,'XBS '!C:C,' General Stock Summary View  '!C176)</f>
        <v>0</v>
      </c>
      <c r="T176" s="3">
        <f>SUMIFS('PowerApp_Physical count'!H:H,'PowerApp_Physical count'!B:B,' General Stock Summary View  '!$S$2,'PowerApp_Physical count'!C:C,' General Stock Summary View  '!C176,'PowerApp_Physical count'!A:A,' General Stock Summary View  '!B176)</f>
        <v>0</v>
      </c>
      <c r="U176" s="4">
        <f t="shared" si="4"/>
        <v>0</v>
      </c>
      <c r="V176" s="2">
        <f>SUMIFS('XBS '!T:T,'XBS '!H:H,' General Stock Summary View  '!$V$2,'XBS '!B:B,' General Stock Summary View  '!C176,'XBS '!L:L,' General Stock Summary View  '!B176)</f>
        <v>0</v>
      </c>
      <c r="W176" s="3">
        <f>SUMIFS('PowerApp_Physical count'!H:H,'PowerApp_Physical count'!B:B,' General Stock Summary View  '!$V$2,'PowerApp_Physical count'!C:C,' General Stock Summary View  '!C176,'PowerApp_Physical count'!A:A,' General Stock Summary View  '!B176)</f>
        <v>0</v>
      </c>
      <c r="X176" s="4">
        <f t="shared" si="12"/>
        <v>0</v>
      </c>
      <c r="Y176" s="5">
        <f>SUMIFS('XBS '!T:T,'XBS '!H:H,' General Stock Summary View  '!$Y$2,'XBS '!B:B,' General Stock Summary View  '!C176,'XBS '!L:L,' General Stock Summary View  '!B176)</f>
        <v>0</v>
      </c>
      <c r="Z176" s="3">
        <f>SUMIFS('PowerApp_Physical count'!H:H,'PowerApp_Physical count'!B:B,' General Stock Summary View  '!$Y$2,'PowerApp_Physical count'!C:C,' General Stock Summary View  '!C176,'PowerApp_Physical count'!A:A,' General Stock Summary View  '!B176)</f>
        <v>0</v>
      </c>
      <c r="AA176" s="4">
        <f t="shared" si="13"/>
        <v>0</v>
      </c>
      <c r="AB176" s="5">
        <f>SUMIFS('XBS '!T:T,'XBS '!H:H,' General Stock Summary View  '!$AB$2,'XBS '!B:B,' General Stock Summary View  '!C176,'XBS '!L:L,' General Stock Summary View  '!B176)</f>
        <v>0</v>
      </c>
      <c r="AC176" s="3">
        <f>SUMIFS('PowerApp_Physical count'!H:H,'PowerApp_Physical count'!B:B,' General Stock Summary View  '!$AB$2,'PowerApp_Physical count'!C:C,' General Stock Summary View  '!C176,'PowerApp_Physical count'!A:A,' General Stock Summary View  '!B176)</f>
        <v>0</v>
      </c>
      <c r="AD176" s="6">
        <f t="shared" si="14"/>
        <v>0</v>
      </c>
      <c r="AE176" s="7">
        <f t="shared" si="8"/>
        <v>0</v>
      </c>
      <c r="AF176" s="8">
        <f t="shared" si="9"/>
        <v>-17</v>
      </c>
      <c r="AG176" s="112"/>
    </row>
    <row r="177" spans="2:33" s="113" customFormat="1" ht="61.15">
      <c r="B177" s="117" t="s">
        <v>199</v>
      </c>
      <c r="C177" s="111" t="s">
        <v>197</v>
      </c>
      <c r="D177" s="11">
        <f>SUMIFS('XBS '!T:T,'XBS '!C:C,' General Stock Summary View  '!C177,'XBS '!L:L,' General Stock Summary View  '!B177)</f>
        <v>6.15</v>
      </c>
      <c r="E177" s="2">
        <f>SUMIFS('Blocked for Processing'!P:P,'Blocked for Processing'!I:I,' General Stock Summary View  '!B177,'Blocked for Processing'!C:C,' General Stock Summary View  '!C177)</f>
        <v>0</v>
      </c>
      <c r="F177" s="122">
        <f t="shared" si="0"/>
        <v>6.15</v>
      </c>
      <c r="G177" s="148">
        <f>SUMIFS('XBS '!T:T,'XBS '!H:H,' General Stock Summary View  '!$G$2,'XBS '!L:L,' General Stock Summary View  '!B177,'XBS '!C:C,' General Stock Summary View  '!C177)</f>
        <v>0</v>
      </c>
      <c r="H177" s="3">
        <f>SUMIFS('PowerApp_Physical count'!H:H,'PowerApp_Physical count'!B:B,' General Stock Summary View  '!$G$2,'PowerApp_Physical count'!C:C,' General Stock Summary View  '!C177,'PowerApp_Physical count'!A:A,' General Stock Summary View  '!B177)</f>
        <v>0</v>
      </c>
      <c r="I177" s="154">
        <f t="shared" si="41"/>
        <v>0</v>
      </c>
      <c r="J177" s="11">
        <f>SUMIFS('XBS '!T:T,'XBS '!H:H,' General Stock Summary View  '!$J$2,'XBS '!L:L,' General Stock Summary View  '!B177,'XBS '!C:C,' General Stock Summary View  '!C177)</f>
        <v>0</v>
      </c>
      <c r="K177" s="157">
        <f>SUMIFS('PowerApp_Physical count'!H:H,'PowerApp_Physical count'!B:B,' General Stock Summary View  '!$J$2,'PowerApp_Physical count'!C:C,' General Stock Summary View  '!C177,'PowerApp_Physical count'!A:A,' General Stock Summary View  '!B177)</f>
        <v>0</v>
      </c>
      <c r="L177" s="127">
        <f t="shared" si="15"/>
        <v>0</v>
      </c>
      <c r="M177" s="126">
        <f t="shared" si="2"/>
        <v>0</v>
      </c>
      <c r="N177" s="11">
        <f t="shared" si="3"/>
        <v>0</v>
      </c>
      <c r="O177" s="144">
        <f t="shared" si="10"/>
        <v>0</v>
      </c>
      <c r="P177" s="2">
        <f>SUMIFS('XBS '!T:T,'XBS '!H:H,' General Stock Summary View  '!$P$2,'XBS '!L:L,' General Stock Summary View  '!B177,'XBS '!C:C,' General Stock Summary View  '!C177)</f>
        <v>6.15</v>
      </c>
      <c r="Q177" s="3">
        <f>SUMIFS('PowerApp_Physical count'!H:H,'PowerApp_Physical count'!B:B,' General Stock Summary View  '!$P$2,'PowerApp_Physical count'!C:C,' General Stock Summary View  '!C177,'PowerApp_Physical count'!A:A,' General Stock Summary View  '!B177)</f>
        <v>0</v>
      </c>
      <c r="R177" s="4">
        <f t="shared" si="11"/>
        <v>-6.15</v>
      </c>
      <c r="S177" s="5">
        <f>SUMIFS('XBS '!T:T,'XBS '!L:L,' General Stock Summary View  '!B177,'XBS '!H:H,' General Stock Summary View  '!$S$2,'XBS '!C:C,' General Stock Summary View  '!C177)</f>
        <v>0</v>
      </c>
      <c r="T177" s="3">
        <f>SUMIFS('PowerApp_Physical count'!H:H,'PowerApp_Physical count'!B:B,' General Stock Summary View  '!$S$2,'PowerApp_Physical count'!C:C,' General Stock Summary View  '!C177,'PowerApp_Physical count'!A:A,' General Stock Summary View  '!B177)</f>
        <v>0</v>
      </c>
      <c r="U177" s="4">
        <f t="shared" si="4"/>
        <v>0</v>
      </c>
      <c r="V177" s="2">
        <f>SUMIFS('XBS '!T:T,'XBS '!H:H,' General Stock Summary View  '!$V$2,'XBS '!B:B,' General Stock Summary View  '!C177,'XBS '!L:L,' General Stock Summary View  '!B177)</f>
        <v>0</v>
      </c>
      <c r="W177" s="3">
        <f>SUMIFS('PowerApp_Physical count'!H:H,'PowerApp_Physical count'!B:B,' General Stock Summary View  '!$V$2,'PowerApp_Physical count'!C:C,' General Stock Summary View  '!C177,'PowerApp_Physical count'!A:A,' General Stock Summary View  '!B177)</f>
        <v>0</v>
      </c>
      <c r="X177" s="4">
        <f t="shared" si="12"/>
        <v>0</v>
      </c>
      <c r="Y177" s="5">
        <f>SUMIFS('XBS '!T:T,'XBS '!H:H,' General Stock Summary View  '!$Y$2,'XBS '!B:B,' General Stock Summary View  '!C177,'XBS '!L:L,' General Stock Summary View  '!B177)</f>
        <v>0</v>
      </c>
      <c r="Z177" s="3">
        <f>SUMIFS('PowerApp_Physical count'!H:H,'PowerApp_Physical count'!B:B,' General Stock Summary View  '!$Y$2,'PowerApp_Physical count'!C:C,' General Stock Summary View  '!C177,'PowerApp_Physical count'!A:A,' General Stock Summary View  '!B177)</f>
        <v>0</v>
      </c>
      <c r="AA177" s="4">
        <f t="shared" si="13"/>
        <v>0</v>
      </c>
      <c r="AB177" s="5">
        <f>SUMIFS('XBS '!T:T,'XBS '!H:H,' General Stock Summary View  '!$AB$2,'XBS '!B:B,' General Stock Summary View  '!C177,'XBS '!L:L,' General Stock Summary View  '!B177)</f>
        <v>0</v>
      </c>
      <c r="AC177" s="3">
        <f>SUMIFS('PowerApp_Physical count'!H:H,'PowerApp_Physical count'!B:B,' General Stock Summary View  '!$AB$2,'PowerApp_Physical count'!C:C,' General Stock Summary View  '!C177,'PowerApp_Physical count'!A:A,' General Stock Summary View  '!B177)</f>
        <v>0</v>
      </c>
      <c r="AD177" s="6">
        <f t="shared" si="14"/>
        <v>0</v>
      </c>
      <c r="AE177" s="7">
        <f t="shared" si="8"/>
        <v>0</v>
      </c>
      <c r="AF177" s="8">
        <f t="shared" si="9"/>
        <v>-6.15</v>
      </c>
      <c r="AG177" s="112"/>
    </row>
    <row r="178" spans="2:33" s="113" customFormat="1" ht="61.15">
      <c r="B178" s="117" t="s">
        <v>77</v>
      </c>
      <c r="C178" s="111" t="s">
        <v>197</v>
      </c>
      <c r="D178" s="11">
        <f>SUMIFS('XBS '!T:T,'XBS '!C:C,' General Stock Summary View  '!C178,'XBS '!L:L,' General Stock Summary View  '!B178)</f>
        <v>11.233333333333333</v>
      </c>
      <c r="E178" s="2">
        <f>SUMIFS('Blocked for Processing'!P:P,'Blocked for Processing'!I:I,' General Stock Summary View  '!B178,'Blocked for Processing'!C:C,' General Stock Summary View  '!C178)</f>
        <v>0</v>
      </c>
      <c r="F178" s="122">
        <f t="shared" si="0"/>
        <v>11.233333333333333</v>
      </c>
      <c r="G178" s="148">
        <f>SUMIFS('XBS '!T:T,'XBS '!H:H,' General Stock Summary View  '!$G$2,'XBS '!L:L,' General Stock Summary View  '!B178,'XBS '!C:C,' General Stock Summary View  '!C178)</f>
        <v>0</v>
      </c>
      <c r="H178" s="3">
        <f>SUMIFS('PowerApp_Physical count'!H:H,'PowerApp_Physical count'!B:B,' General Stock Summary View  '!$G$2,'PowerApp_Physical count'!C:C,' General Stock Summary View  '!C178,'PowerApp_Physical count'!A:A,' General Stock Summary View  '!B178)</f>
        <v>0</v>
      </c>
      <c r="I178" s="154">
        <f t="shared" si="41"/>
        <v>0</v>
      </c>
      <c r="J178" s="11">
        <f>SUMIFS('XBS '!T:T,'XBS '!H:H,' General Stock Summary View  '!$J$2,'XBS '!L:L,' General Stock Summary View  '!B178,'XBS '!C:C,' General Stock Summary View  '!C178)</f>
        <v>0</v>
      </c>
      <c r="K178" s="157">
        <f>SUMIFS('PowerApp_Physical count'!H:H,'PowerApp_Physical count'!B:B,' General Stock Summary View  '!$J$2,'PowerApp_Physical count'!C:C,' General Stock Summary View  '!C178,'PowerApp_Physical count'!A:A,' General Stock Summary View  '!B178)</f>
        <v>0</v>
      </c>
      <c r="L178" s="127">
        <f t="shared" si="15"/>
        <v>0</v>
      </c>
      <c r="M178" s="126">
        <f t="shared" si="2"/>
        <v>0</v>
      </c>
      <c r="N178" s="11">
        <f t="shared" si="3"/>
        <v>0</v>
      </c>
      <c r="O178" s="144">
        <f t="shared" si="10"/>
        <v>0</v>
      </c>
      <c r="P178" s="2">
        <f>SUMIFS('XBS '!T:T,'XBS '!H:H,' General Stock Summary View  '!$P$2,'XBS '!L:L,' General Stock Summary View  '!B178,'XBS '!C:C,' General Stock Summary View  '!C178)</f>
        <v>11.233333333333333</v>
      </c>
      <c r="Q178" s="3">
        <f>SUMIFS('PowerApp_Physical count'!H:H,'PowerApp_Physical count'!B:B,' General Stock Summary View  '!$P$2,'PowerApp_Physical count'!C:C,' General Stock Summary View  '!C178,'PowerApp_Physical count'!A:A,' General Stock Summary View  '!B178)</f>
        <v>0</v>
      </c>
      <c r="R178" s="4">
        <f t="shared" si="11"/>
        <v>-11.233333333333333</v>
      </c>
      <c r="S178" s="5">
        <f>SUMIFS('XBS '!T:T,'XBS '!L:L,' General Stock Summary View  '!B178,'XBS '!H:H,' General Stock Summary View  '!$S$2,'XBS '!C:C,' General Stock Summary View  '!C178)</f>
        <v>0</v>
      </c>
      <c r="T178" s="3">
        <f>SUMIFS('PowerApp_Physical count'!H:H,'PowerApp_Physical count'!B:B,' General Stock Summary View  '!$S$2,'PowerApp_Physical count'!C:C,' General Stock Summary View  '!C178,'PowerApp_Physical count'!A:A,' General Stock Summary View  '!B178)</f>
        <v>0</v>
      </c>
      <c r="U178" s="4">
        <f t="shared" si="4"/>
        <v>0</v>
      </c>
      <c r="V178" s="2">
        <f>SUMIFS('XBS '!T:T,'XBS '!H:H,' General Stock Summary View  '!$V$2,'XBS '!B:B,' General Stock Summary View  '!C178,'XBS '!L:L,' General Stock Summary View  '!B178)</f>
        <v>0</v>
      </c>
      <c r="W178" s="3">
        <f>SUMIFS('PowerApp_Physical count'!H:H,'PowerApp_Physical count'!B:B,' General Stock Summary View  '!$V$2,'PowerApp_Physical count'!C:C,' General Stock Summary View  '!C178,'PowerApp_Physical count'!A:A,' General Stock Summary View  '!B178)</f>
        <v>0</v>
      </c>
      <c r="X178" s="4">
        <f t="shared" si="12"/>
        <v>0</v>
      </c>
      <c r="Y178" s="5">
        <f>SUMIFS('XBS '!T:T,'XBS '!H:H,' General Stock Summary View  '!$Y$2,'XBS '!B:B,' General Stock Summary View  '!C178,'XBS '!L:L,' General Stock Summary View  '!B178)</f>
        <v>0</v>
      </c>
      <c r="Z178" s="3">
        <f>SUMIFS('PowerApp_Physical count'!H:H,'PowerApp_Physical count'!B:B,' General Stock Summary View  '!$Y$2,'PowerApp_Physical count'!C:C,' General Stock Summary View  '!C178,'PowerApp_Physical count'!A:A,' General Stock Summary View  '!B178)</f>
        <v>0</v>
      </c>
      <c r="AA178" s="4">
        <f t="shared" si="13"/>
        <v>0</v>
      </c>
      <c r="AB178" s="5">
        <f>SUMIFS('XBS '!T:T,'XBS '!H:H,' General Stock Summary View  '!$AB$2,'XBS '!B:B,' General Stock Summary View  '!C178,'XBS '!L:L,' General Stock Summary View  '!B178)</f>
        <v>0</v>
      </c>
      <c r="AC178" s="3">
        <f>SUMIFS('PowerApp_Physical count'!H:H,'PowerApp_Physical count'!B:B,' General Stock Summary View  '!$AB$2,'PowerApp_Physical count'!C:C,' General Stock Summary View  '!C178,'PowerApp_Physical count'!A:A,' General Stock Summary View  '!B178)</f>
        <v>0</v>
      </c>
      <c r="AD178" s="6">
        <f t="shared" si="14"/>
        <v>0</v>
      </c>
      <c r="AE178" s="7">
        <f t="shared" si="8"/>
        <v>0</v>
      </c>
      <c r="AF178" s="8">
        <f t="shared" si="9"/>
        <v>-11.233333333333333</v>
      </c>
      <c r="AG178" s="112"/>
    </row>
    <row r="179" spans="2:33" s="113" customFormat="1" ht="61.15">
      <c r="B179" s="117" t="s">
        <v>75</v>
      </c>
      <c r="C179" s="111" t="s">
        <v>197</v>
      </c>
      <c r="D179" s="11">
        <f>SUMIFS('XBS '!T:T,'XBS '!C:C,' General Stock Summary View  '!C179,'XBS '!L:L,' General Stock Summary View  '!B179)</f>
        <v>4.1166666666666663</v>
      </c>
      <c r="E179" s="2">
        <f>SUMIFS('Blocked for Processing'!P:P,'Blocked for Processing'!I:I,' General Stock Summary View  '!B179,'Blocked for Processing'!C:C,' General Stock Summary View  '!C179)</f>
        <v>0</v>
      </c>
      <c r="F179" s="122">
        <f t="shared" si="0"/>
        <v>4.1166666666666663</v>
      </c>
      <c r="G179" s="148">
        <f>SUMIFS('XBS '!T:T,'XBS '!H:H,' General Stock Summary View  '!$G$2,'XBS '!L:L,' General Stock Summary View  '!B179,'XBS '!C:C,' General Stock Summary View  '!C179)</f>
        <v>0</v>
      </c>
      <c r="H179" s="3">
        <f>SUMIFS('PowerApp_Physical count'!H:H,'PowerApp_Physical count'!B:B,' General Stock Summary View  '!$G$2,'PowerApp_Physical count'!C:C,' General Stock Summary View  '!C179,'PowerApp_Physical count'!A:A,' General Stock Summary View  '!B179)</f>
        <v>0</v>
      </c>
      <c r="I179" s="154">
        <f t="shared" si="41"/>
        <v>0</v>
      </c>
      <c r="J179" s="11">
        <f>SUMIFS('XBS '!T:T,'XBS '!H:H,' General Stock Summary View  '!$J$2,'XBS '!L:L,' General Stock Summary View  '!B179,'XBS '!C:C,' General Stock Summary View  '!C179)</f>
        <v>0</v>
      </c>
      <c r="K179" s="157">
        <f>SUMIFS('PowerApp_Physical count'!H:H,'PowerApp_Physical count'!B:B,' General Stock Summary View  '!$J$2,'PowerApp_Physical count'!C:C,' General Stock Summary View  '!C179,'PowerApp_Physical count'!A:A,' General Stock Summary View  '!B179)</f>
        <v>0</v>
      </c>
      <c r="L179" s="127">
        <f t="shared" si="15"/>
        <v>0</v>
      </c>
      <c r="M179" s="126">
        <f t="shared" si="2"/>
        <v>0</v>
      </c>
      <c r="N179" s="11">
        <f t="shared" si="3"/>
        <v>0</v>
      </c>
      <c r="O179" s="144">
        <f t="shared" si="10"/>
        <v>0</v>
      </c>
      <c r="P179" s="2">
        <f>SUMIFS('XBS '!T:T,'XBS '!H:H,' General Stock Summary View  '!$P$2,'XBS '!L:L,' General Stock Summary View  '!B179,'XBS '!C:C,' General Stock Summary View  '!C179)</f>
        <v>4.1166666666666663</v>
      </c>
      <c r="Q179" s="3">
        <f>SUMIFS('PowerApp_Physical count'!H:H,'PowerApp_Physical count'!B:B,' General Stock Summary View  '!$P$2,'PowerApp_Physical count'!C:C,' General Stock Summary View  '!C179,'PowerApp_Physical count'!A:A,' General Stock Summary View  '!B179)</f>
        <v>0</v>
      </c>
      <c r="R179" s="4">
        <f t="shared" si="11"/>
        <v>-4.1166666666666663</v>
      </c>
      <c r="S179" s="5">
        <f>SUMIFS('XBS '!T:T,'XBS '!L:L,' General Stock Summary View  '!B179,'XBS '!H:H,' General Stock Summary View  '!$S$2,'XBS '!C:C,' General Stock Summary View  '!C179)</f>
        <v>0</v>
      </c>
      <c r="T179" s="3">
        <f>SUMIFS('PowerApp_Physical count'!H:H,'PowerApp_Physical count'!B:B,' General Stock Summary View  '!$S$2,'PowerApp_Physical count'!C:C,' General Stock Summary View  '!C179,'PowerApp_Physical count'!A:A,' General Stock Summary View  '!B179)</f>
        <v>0</v>
      </c>
      <c r="U179" s="4">
        <f t="shared" si="4"/>
        <v>0</v>
      </c>
      <c r="V179" s="2">
        <f>SUMIFS('XBS '!T:T,'XBS '!H:H,' General Stock Summary View  '!$V$2,'XBS '!B:B,' General Stock Summary View  '!C179,'XBS '!L:L,' General Stock Summary View  '!B179)</f>
        <v>0</v>
      </c>
      <c r="W179" s="3">
        <f>SUMIFS('PowerApp_Physical count'!H:H,'PowerApp_Physical count'!B:B,' General Stock Summary View  '!$V$2,'PowerApp_Physical count'!C:C,' General Stock Summary View  '!C179,'PowerApp_Physical count'!A:A,' General Stock Summary View  '!B179)</f>
        <v>0</v>
      </c>
      <c r="X179" s="4">
        <f t="shared" si="12"/>
        <v>0</v>
      </c>
      <c r="Y179" s="5">
        <f>SUMIFS('XBS '!T:T,'XBS '!H:H,' General Stock Summary View  '!$Y$2,'XBS '!B:B,' General Stock Summary View  '!C179,'XBS '!L:L,' General Stock Summary View  '!B179)</f>
        <v>0</v>
      </c>
      <c r="Z179" s="3">
        <f>SUMIFS('PowerApp_Physical count'!H:H,'PowerApp_Physical count'!B:B,' General Stock Summary View  '!$Y$2,'PowerApp_Physical count'!C:C,' General Stock Summary View  '!C179,'PowerApp_Physical count'!A:A,' General Stock Summary View  '!B179)</f>
        <v>0</v>
      </c>
      <c r="AA179" s="4">
        <f t="shared" si="13"/>
        <v>0</v>
      </c>
      <c r="AB179" s="5">
        <f>SUMIFS('XBS '!T:T,'XBS '!H:H,' General Stock Summary View  '!$AB$2,'XBS '!B:B,' General Stock Summary View  '!C179,'XBS '!L:L,' General Stock Summary View  '!B179)</f>
        <v>0</v>
      </c>
      <c r="AC179" s="3">
        <f>SUMIFS('PowerApp_Physical count'!H:H,'PowerApp_Physical count'!B:B,' General Stock Summary View  '!$AB$2,'PowerApp_Physical count'!C:C,' General Stock Summary View  '!C179,'PowerApp_Physical count'!A:A,' General Stock Summary View  '!B179)</f>
        <v>0</v>
      </c>
      <c r="AD179" s="6">
        <f t="shared" si="14"/>
        <v>0</v>
      </c>
      <c r="AE179" s="7">
        <f t="shared" si="8"/>
        <v>0</v>
      </c>
      <c r="AF179" s="8">
        <f t="shared" si="9"/>
        <v>-4.1166666666666663</v>
      </c>
      <c r="AG179" s="112"/>
    </row>
    <row r="180" spans="2:33" s="113" customFormat="1" ht="61.15">
      <c r="B180" s="117" t="s">
        <v>200</v>
      </c>
      <c r="C180" s="111" t="s">
        <v>197</v>
      </c>
      <c r="D180" s="11">
        <f>SUMIFS('XBS '!T:T,'XBS '!C:C,' General Stock Summary View  '!C180,'XBS '!L:L,' General Stock Summary View  '!B180)</f>
        <v>9.3666666666666671</v>
      </c>
      <c r="E180" s="2">
        <f>SUMIFS('Blocked for Processing'!P:P,'Blocked for Processing'!I:I,' General Stock Summary View  '!B180,'Blocked for Processing'!C:C,' General Stock Summary View  '!C180)</f>
        <v>0</v>
      </c>
      <c r="F180" s="122">
        <f t="shared" si="0"/>
        <v>9.3666666666666671</v>
      </c>
      <c r="G180" s="148">
        <f>SUMIFS('XBS '!T:T,'XBS '!H:H,' General Stock Summary View  '!$G$2,'XBS '!L:L,' General Stock Summary View  '!B180,'XBS '!C:C,' General Stock Summary View  '!C180)</f>
        <v>0</v>
      </c>
      <c r="H180" s="3">
        <f>SUMIFS('PowerApp_Physical count'!H:H,'PowerApp_Physical count'!B:B,' General Stock Summary View  '!$G$2,'PowerApp_Physical count'!C:C,' General Stock Summary View  '!C180,'PowerApp_Physical count'!A:A,' General Stock Summary View  '!B180)</f>
        <v>0</v>
      </c>
      <c r="I180" s="154">
        <f t="shared" si="41"/>
        <v>0</v>
      </c>
      <c r="J180" s="11">
        <f>SUMIFS('XBS '!T:T,'XBS '!H:H,' General Stock Summary View  '!$J$2,'XBS '!L:L,' General Stock Summary View  '!B180,'XBS '!C:C,' General Stock Summary View  '!C180)</f>
        <v>0</v>
      </c>
      <c r="K180" s="157">
        <f>SUMIFS('PowerApp_Physical count'!H:H,'PowerApp_Physical count'!B:B,' General Stock Summary View  '!$J$2,'PowerApp_Physical count'!C:C,' General Stock Summary View  '!C180,'PowerApp_Physical count'!A:A,' General Stock Summary View  '!B180)</f>
        <v>0</v>
      </c>
      <c r="L180" s="127">
        <f t="shared" si="15"/>
        <v>0</v>
      </c>
      <c r="M180" s="126">
        <f t="shared" si="2"/>
        <v>0</v>
      </c>
      <c r="N180" s="11">
        <f t="shared" si="3"/>
        <v>0</v>
      </c>
      <c r="O180" s="144">
        <f t="shared" si="10"/>
        <v>0</v>
      </c>
      <c r="P180" s="2">
        <f>SUMIFS('XBS '!T:T,'XBS '!H:H,' General Stock Summary View  '!$P$2,'XBS '!L:L,' General Stock Summary View  '!B180,'XBS '!C:C,' General Stock Summary View  '!C180)</f>
        <v>9.3666666666666671</v>
      </c>
      <c r="Q180" s="3">
        <f>SUMIFS('PowerApp_Physical count'!H:H,'PowerApp_Physical count'!B:B,' General Stock Summary View  '!$P$2,'PowerApp_Physical count'!C:C,' General Stock Summary View  '!C180,'PowerApp_Physical count'!A:A,' General Stock Summary View  '!B180)</f>
        <v>0</v>
      </c>
      <c r="R180" s="4">
        <f t="shared" si="11"/>
        <v>-9.3666666666666671</v>
      </c>
      <c r="S180" s="5">
        <f>SUMIFS('XBS '!T:T,'XBS '!L:L,' General Stock Summary View  '!B180,'XBS '!H:H,' General Stock Summary View  '!$S$2,'XBS '!C:C,' General Stock Summary View  '!C180)</f>
        <v>0</v>
      </c>
      <c r="T180" s="3">
        <f>SUMIFS('PowerApp_Physical count'!H:H,'PowerApp_Physical count'!B:B,' General Stock Summary View  '!$S$2,'PowerApp_Physical count'!C:C,' General Stock Summary View  '!C180,'PowerApp_Physical count'!A:A,' General Stock Summary View  '!B180)</f>
        <v>0</v>
      </c>
      <c r="U180" s="4">
        <f t="shared" si="4"/>
        <v>0</v>
      </c>
      <c r="V180" s="2">
        <f>SUMIFS('XBS '!T:T,'XBS '!H:H,' General Stock Summary View  '!$V$2,'XBS '!B:B,' General Stock Summary View  '!C180,'XBS '!L:L,' General Stock Summary View  '!B180)</f>
        <v>0</v>
      </c>
      <c r="W180" s="3">
        <f>SUMIFS('PowerApp_Physical count'!H:H,'PowerApp_Physical count'!B:B,' General Stock Summary View  '!$V$2,'PowerApp_Physical count'!C:C,' General Stock Summary View  '!C180,'PowerApp_Physical count'!A:A,' General Stock Summary View  '!B180)</f>
        <v>0</v>
      </c>
      <c r="X180" s="4">
        <f t="shared" si="12"/>
        <v>0</v>
      </c>
      <c r="Y180" s="5">
        <f>SUMIFS('XBS '!T:T,'XBS '!H:H,' General Stock Summary View  '!$Y$2,'XBS '!B:B,' General Stock Summary View  '!C180,'XBS '!L:L,' General Stock Summary View  '!B180)</f>
        <v>0</v>
      </c>
      <c r="Z180" s="3">
        <f>SUMIFS('PowerApp_Physical count'!H:H,'PowerApp_Physical count'!B:B,' General Stock Summary View  '!$Y$2,'PowerApp_Physical count'!C:C,' General Stock Summary View  '!C180,'PowerApp_Physical count'!A:A,' General Stock Summary View  '!B180)</f>
        <v>0</v>
      </c>
      <c r="AA180" s="4">
        <f t="shared" si="13"/>
        <v>0</v>
      </c>
      <c r="AB180" s="5">
        <f>SUMIFS('XBS '!T:T,'XBS '!H:H,' General Stock Summary View  '!$AB$2,'XBS '!B:B,' General Stock Summary View  '!C180,'XBS '!L:L,' General Stock Summary View  '!B180)</f>
        <v>0</v>
      </c>
      <c r="AC180" s="3">
        <f>SUMIFS('PowerApp_Physical count'!H:H,'PowerApp_Physical count'!B:B,' General Stock Summary View  '!$AB$2,'PowerApp_Physical count'!C:C,' General Stock Summary View  '!C180,'PowerApp_Physical count'!A:A,' General Stock Summary View  '!B180)</f>
        <v>0</v>
      </c>
      <c r="AD180" s="6">
        <f t="shared" si="14"/>
        <v>0</v>
      </c>
      <c r="AE180" s="7">
        <f t="shared" si="8"/>
        <v>0</v>
      </c>
      <c r="AF180" s="8">
        <f t="shared" si="9"/>
        <v>-9.3666666666666671</v>
      </c>
      <c r="AG180" s="112"/>
    </row>
    <row r="181" spans="2:33" s="113" customFormat="1" ht="61.15">
      <c r="B181" s="117" t="s">
        <v>201</v>
      </c>
      <c r="C181" s="111" t="s">
        <v>197</v>
      </c>
      <c r="D181" s="11">
        <f>SUMIFS('XBS '!T:T,'XBS '!C:C,' General Stock Summary View  '!C181,'XBS '!L:L,' General Stock Summary View  '!B181)</f>
        <v>20.85</v>
      </c>
      <c r="E181" s="2">
        <f>SUMIFS('Blocked for Processing'!P:P,'Blocked for Processing'!I:I,' General Stock Summary View  '!B181,'Blocked for Processing'!C:C,' General Stock Summary View  '!C181)</f>
        <v>0</v>
      </c>
      <c r="F181" s="122">
        <f t="shared" si="0"/>
        <v>20.85</v>
      </c>
      <c r="G181" s="148">
        <f>SUMIFS('XBS '!T:T,'XBS '!H:H,' General Stock Summary View  '!$G$2,'XBS '!L:L,' General Stock Summary View  '!B181,'XBS '!C:C,' General Stock Summary View  '!C181)</f>
        <v>0</v>
      </c>
      <c r="H181" s="3">
        <f>SUMIFS('PowerApp_Physical count'!H:H,'PowerApp_Physical count'!B:B,' General Stock Summary View  '!$G$2,'PowerApp_Physical count'!C:C,' General Stock Summary View  '!C181,'PowerApp_Physical count'!A:A,' General Stock Summary View  '!B181)</f>
        <v>0</v>
      </c>
      <c r="I181" s="154">
        <f t="shared" si="41"/>
        <v>0</v>
      </c>
      <c r="J181" s="11">
        <f>SUMIFS('XBS '!T:T,'XBS '!H:H,' General Stock Summary View  '!$J$2,'XBS '!L:L,' General Stock Summary View  '!B181,'XBS '!C:C,' General Stock Summary View  '!C181)</f>
        <v>0</v>
      </c>
      <c r="K181" s="157">
        <f>SUMIFS('PowerApp_Physical count'!H:H,'PowerApp_Physical count'!B:B,' General Stock Summary View  '!$J$2,'PowerApp_Physical count'!C:C,' General Stock Summary View  '!C181,'PowerApp_Physical count'!A:A,' General Stock Summary View  '!B181)</f>
        <v>0</v>
      </c>
      <c r="L181" s="127">
        <f t="shared" si="15"/>
        <v>0</v>
      </c>
      <c r="M181" s="126">
        <f t="shared" si="2"/>
        <v>0</v>
      </c>
      <c r="N181" s="11">
        <f t="shared" si="3"/>
        <v>0</v>
      </c>
      <c r="O181" s="144">
        <f t="shared" si="10"/>
        <v>0</v>
      </c>
      <c r="P181" s="2">
        <f>SUMIFS('XBS '!T:T,'XBS '!H:H,' General Stock Summary View  '!$P$2,'XBS '!L:L,' General Stock Summary View  '!B181,'XBS '!C:C,' General Stock Summary View  '!C181)</f>
        <v>20.85</v>
      </c>
      <c r="Q181" s="3">
        <f>SUMIFS('PowerApp_Physical count'!H:H,'PowerApp_Physical count'!B:B,' General Stock Summary View  '!$P$2,'PowerApp_Physical count'!C:C,' General Stock Summary View  '!C181,'PowerApp_Physical count'!A:A,' General Stock Summary View  '!B181)</f>
        <v>0</v>
      </c>
      <c r="R181" s="4">
        <f t="shared" si="11"/>
        <v>-20.85</v>
      </c>
      <c r="S181" s="5">
        <f>SUMIFS('XBS '!T:T,'XBS '!L:L,' General Stock Summary View  '!B181,'XBS '!H:H,' General Stock Summary View  '!$S$2,'XBS '!C:C,' General Stock Summary View  '!C181)</f>
        <v>0</v>
      </c>
      <c r="T181" s="3">
        <f>SUMIFS('PowerApp_Physical count'!H:H,'PowerApp_Physical count'!B:B,' General Stock Summary View  '!$S$2,'PowerApp_Physical count'!C:C,' General Stock Summary View  '!C181,'PowerApp_Physical count'!A:A,' General Stock Summary View  '!B181)</f>
        <v>0</v>
      </c>
      <c r="U181" s="4">
        <f t="shared" si="4"/>
        <v>0</v>
      </c>
      <c r="V181" s="2">
        <f>SUMIFS('XBS '!T:T,'XBS '!H:H,' General Stock Summary View  '!$V$2,'XBS '!B:B,' General Stock Summary View  '!C181,'XBS '!L:L,' General Stock Summary View  '!B181)</f>
        <v>0</v>
      </c>
      <c r="W181" s="3">
        <f>SUMIFS('PowerApp_Physical count'!H:H,'PowerApp_Physical count'!B:B,' General Stock Summary View  '!$V$2,'PowerApp_Physical count'!C:C,' General Stock Summary View  '!C181,'PowerApp_Physical count'!A:A,' General Stock Summary View  '!B181)</f>
        <v>0</v>
      </c>
      <c r="X181" s="4">
        <f t="shared" si="12"/>
        <v>0</v>
      </c>
      <c r="Y181" s="5">
        <f>SUMIFS('XBS '!T:T,'XBS '!H:H,' General Stock Summary View  '!$Y$2,'XBS '!B:B,' General Stock Summary View  '!C181,'XBS '!L:L,' General Stock Summary View  '!B181)</f>
        <v>0</v>
      </c>
      <c r="Z181" s="3">
        <f>SUMIFS('PowerApp_Physical count'!H:H,'PowerApp_Physical count'!B:B,' General Stock Summary View  '!$Y$2,'PowerApp_Physical count'!C:C,' General Stock Summary View  '!C181,'PowerApp_Physical count'!A:A,' General Stock Summary View  '!B181)</f>
        <v>0</v>
      </c>
      <c r="AA181" s="4">
        <f t="shared" si="13"/>
        <v>0</v>
      </c>
      <c r="AB181" s="5">
        <f>SUMIFS('XBS '!T:T,'XBS '!H:H,' General Stock Summary View  '!$AB$2,'XBS '!B:B,' General Stock Summary View  '!C181,'XBS '!L:L,' General Stock Summary View  '!B181)</f>
        <v>0</v>
      </c>
      <c r="AC181" s="3">
        <f>SUMIFS('PowerApp_Physical count'!H:H,'PowerApp_Physical count'!B:B,' General Stock Summary View  '!$AB$2,'PowerApp_Physical count'!C:C,' General Stock Summary View  '!C181,'PowerApp_Physical count'!A:A,' General Stock Summary View  '!B181)</f>
        <v>0</v>
      </c>
      <c r="AD181" s="6">
        <f t="shared" si="14"/>
        <v>0</v>
      </c>
      <c r="AE181" s="7">
        <f t="shared" si="8"/>
        <v>0</v>
      </c>
      <c r="AF181" s="8">
        <f t="shared" si="9"/>
        <v>-20.85</v>
      </c>
      <c r="AG181" s="112"/>
    </row>
    <row r="182" spans="2:33" s="113" customFormat="1" ht="61.15">
      <c r="B182" s="117" t="s">
        <v>202</v>
      </c>
      <c r="C182" s="111" t="s">
        <v>197</v>
      </c>
      <c r="D182" s="11">
        <f>SUMIFS('XBS '!T:T,'XBS '!C:C,' General Stock Summary View  '!C182,'XBS '!L:L,' General Stock Summary View  '!B182)</f>
        <v>16.600000000000001</v>
      </c>
      <c r="E182" s="2">
        <f>SUMIFS('Blocked for Processing'!P:P,'Blocked for Processing'!I:I,' General Stock Summary View  '!B182,'Blocked for Processing'!C:C,' General Stock Summary View  '!C182)</f>
        <v>0</v>
      </c>
      <c r="F182" s="122">
        <f t="shared" si="0"/>
        <v>16.600000000000001</v>
      </c>
      <c r="G182" s="148">
        <f>SUMIFS('XBS '!T:T,'XBS '!H:H,' General Stock Summary View  '!$G$2,'XBS '!L:L,' General Stock Summary View  '!B182,'XBS '!C:C,' General Stock Summary View  '!C182)</f>
        <v>0</v>
      </c>
      <c r="H182" s="3">
        <f>SUMIFS('PowerApp_Physical count'!H:H,'PowerApp_Physical count'!B:B,' General Stock Summary View  '!$G$2,'PowerApp_Physical count'!C:C,' General Stock Summary View  '!C182,'PowerApp_Physical count'!A:A,' General Stock Summary View  '!B182)</f>
        <v>0</v>
      </c>
      <c r="I182" s="154">
        <f t="shared" si="41"/>
        <v>0</v>
      </c>
      <c r="J182" s="11">
        <f>SUMIFS('XBS '!T:T,'XBS '!H:H,' General Stock Summary View  '!$J$2,'XBS '!L:L,' General Stock Summary View  '!B182,'XBS '!C:C,' General Stock Summary View  '!C182)</f>
        <v>0</v>
      </c>
      <c r="K182" s="157">
        <f>SUMIFS('PowerApp_Physical count'!H:H,'PowerApp_Physical count'!B:B,' General Stock Summary View  '!$J$2,'PowerApp_Physical count'!C:C,' General Stock Summary View  '!C182,'PowerApp_Physical count'!A:A,' General Stock Summary View  '!B182)</f>
        <v>0</v>
      </c>
      <c r="L182" s="127">
        <f t="shared" si="15"/>
        <v>0</v>
      </c>
      <c r="M182" s="126">
        <f t="shared" si="2"/>
        <v>0</v>
      </c>
      <c r="N182" s="11">
        <f t="shared" si="3"/>
        <v>0</v>
      </c>
      <c r="O182" s="144">
        <f t="shared" si="10"/>
        <v>0</v>
      </c>
      <c r="P182" s="2">
        <f>SUMIFS('XBS '!T:T,'XBS '!H:H,' General Stock Summary View  '!$P$2,'XBS '!L:L,' General Stock Summary View  '!B182,'XBS '!C:C,' General Stock Summary View  '!C182)</f>
        <v>16.600000000000001</v>
      </c>
      <c r="Q182" s="3">
        <f>SUMIFS('PowerApp_Physical count'!H:H,'PowerApp_Physical count'!B:B,' General Stock Summary View  '!$P$2,'PowerApp_Physical count'!C:C,' General Stock Summary View  '!C182,'PowerApp_Physical count'!A:A,' General Stock Summary View  '!B182)</f>
        <v>0</v>
      </c>
      <c r="R182" s="4">
        <f t="shared" si="11"/>
        <v>-16.600000000000001</v>
      </c>
      <c r="S182" s="5">
        <f>SUMIFS('XBS '!T:T,'XBS '!L:L,' General Stock Summary View  '!B182,'XBS '!H:H,' General Stock Summary View  '!$S$2,'XBS '!C:C,' General Stock Summary View  '!C182)</f>
        <v>0</v>
      </c>
      <c r="T182" s="3">
        <f>SUMIFS('PowerApp_Physical count'!H:H,'PowerApp_Physical count'!B:B,' General Stock Summary View  '!$S$2,'PowerApp_Physical count'!C:C,' General Stock Summary View  '!C182,'PowerApp_Physical count'!A:A,' General Stock Summary View  '!B182)</f>
        <v>0</v>
      </c>
      <c r="U182" s="4">
        <f t="shared" si="4"/>
        <v>0</v>
      </c>
      <c r="V182" s="2">
        <f>SUMIFS('XBS '!T:T,'XBS '!H:H,' General Stock Summary View  '!$V$2,'XBS '!B:B,' General Stock Summary View  '!C182,'XBS '!L:L,' General Stock Summary View  '!B182)</f>
        <v>0</v>
      </c>
      <c r="W182" s="3">
        <f>SUMIFS('PowerApp_Physical count'!H:H,'PowerApp_Physical count'!B:B,' General Stock Summary View  '!$V$2,'PowerApp_Physical count'!C:C,' General Stock Summary View  '!C182,'PowerApp_Physical count'!A:A,' General Stock Summary View  '!B182)</f>
        <v>0</v>
      </c>
      <c r="X182" s="4">
        <f t="shared" si="12"/>
        <v>0</v>
      </c>
      <c r="Y182" s="5">
        <f>SUMIFS('XBS '!T:T,'XBS '!H:H,' General Stock Summary View  '!$Y$2,'XBS '!B:B,' General Stock Summary View  '!C182,'XBS '!L:L,' General Stock Summary View  '!B182)</f>
        <v>0</v>
      </c>
      <c r="Z182" s="3">
        <f>SUMIFS('PowerApp_Physical count'!H:H,'PowerApp_Physical count'!B:B,' General Stock Summary View  '!$Y$2,'PowerApp_Physical count'!C:C,' General Stock Summary View  '!C182,'PowerApp_Physical count'!A:A,' General Stock Summary View  '!B182)</f>
        <v>0</v>
      </c>
      <c r="AA182" s="4">
        <f t="shared" si="13"/>
        <v>0</v>
      </c>
      <c r="AB182" s="5">
        <f>SUMIFS('XBS '!T:T,'XBS '!H:H,' General Stock Summary View  '!$AB$2,'XBS '!B:B,' General Stock Summary View  '!C182,'XBS '!L:L,' General Stock Summary View  '!B182)</f>
        <v>0</v>
      </c>
      <c r="AC182" s="3">
        <f>SUMIFS('PowerApp_Physical count'!H:H,'PowerApp_Physical count'!B:B,' General Stock Summary View  '!$AB$2,'PowerApp_Physical count'!C:C,' General Stock Summary View  '!C182,'PowerApp_Physical count'!A:A,' General Stock Summary View  '!B182)</f>
        <v>0</v>
      </c>
      <c r="AD182" s="6">
        <f t="shared" si="14"/>
        <v>0</v>
      </c>
      <c r="AE182" s="7">
        <f t="shared" si="8"/>
        <v>0</v>
      </c>
      <c r="AF182" s="8">
        <f t="shared" si="9"/>
        <v>-16.600000000000001</v>
      </c>
      <c r="AG182" s="112"/>
    </row>
    <row r="183" spans="2:33" s="113" customFormat="1" ht="61.15">
      <c r="B183" s="117" t="s">
        <v>80</v>
      </c>
      <c r="C183" s="111" t="s">
        <v>197</v>
      </c>
      <c r="D183" s="11">
        <f>SUMIFS('XBS '!T:T,'XBS '!C:C,' General Stock Summary View  '!C183,'XBS '!L:L,' General Stock Summary View  '!B183)</f>
        <v>10.383333333333333</v>
      </c>
      <c r="E183" s="2">
        <f>SUMIFS('Blocked for Processing'!P:P,'Blocked for Processing'!I:I,' General Stock Summary View  '!B183,'Blocked for Processing'!C:C,' General Stock Summary View  '!C183)</f>
        <v>0</v>
      </c>
      <c r="F183" s="122">
        <f t="shared" si="0"/>
        <v>10.383333333333333</v>
      </c>
      <c r="G183" s="148">
        <f>SUMIFS('XBS '!T:T,'XBS '!H:H,' General Stock Summary View  '!$G$2,'XBS '!L:L,' General Stock Summary View  '!B183,'XBS '!C:C,' General Stock Summary View  '!C183)</f>
        <v>0</v>
      </c>
      <c r="H183" s="3">
        <f>SUMIFS('PowerApp_Physical count'!H:H,'PowerApp_Physical count'!B:B,' General Stock Summary View  '!$G$2,'PowerApp_Physical count'!C:C,' General Stock Summary View  '!C183,'PowerApp_Physical count'!A:A,' General Stock Summary View  '!B183)</f>
        <v>0</v>
      </c>
      <c r="I183" s="154">
        <f t="shared" si="41"/>
        <v>0</v>
      </c>
      <c r="J183" s="11">
        <f>SUMIFS('XBS '!T:T,'XBS '!H:H,' General Stock Summary View  '!$J$2,'XBS '!L:L,' General Stock Summary View  '!B183,'XBS '!C:C,' General Stock Summary View  '!C183)</f>
        <v>0</v>
      </c>
      <c r="K183" s="157">
        <f>SUMIFS('PowerApp_Physical count'!H:H,'PowerApp_Physical count'!B:B,' General Stock Summary View  '!$J$2,'PowerApp_Physical count'!C:C,' General Stock Summary View  '!C183,'PowerApp_Physical count'!A:A,' General Stock Summary View  '!B183)</f>
        <v>0</v>
      </c>
      <c r="L183" s="127">
        <f t="shared" si="15"/>
        <v>0</v>
      </c>
      <c r="M183" s="126">
        <f t="shared" si="2"/>
        <v>0</v>
      </c>
      <c r="N183" s="11">
        <f t="shared" si="3"/>
        <v>0</v>
      </c>
      <c r="O183" s="144">
        <f t="shared" si="10"/>
        <v>0</v>
      </c>
      <c r="P183" s="2">
        <f>SUMIFS('XBS '!T:T,'XBS '!H:H,' General Stock Summary View  '!$P$2,'XBS '!L:L,' General Stock Summary View  '!B183,'XBS '!C:C,' General Stock Summary View  '!C183)</f>
        <v>10.383333333333333</v>
      </c>
      <c r="Q183" s="3">
        <f>SUMIFS('PowerApp_Physical count'!H:H,'PowerApp_Physical count'!B:B,' General Stock Summary View  '!$P$2,'PowerApp_Physical count'!C:C,' General Stock Summary View  '!C183,'PowerApp_Physical count'!A:A,' General Stock Summary View  '!B183)</f>
        <v>0</v>
      </c>
      <c r="R183" s="4">
        <f t="shared" si="11"/>
        <v>-10.383333333333333</v>
      </c>
      <c r="S183" s="5">
        <f>SUMIFS('XBS '!T:T,'XBS '!L:L,' General Stock Summary View  '!B183,'XBS '!H:H,' General Stock Summary View  '!$S$2,'XBS '!C:C,' General Stock Summary View  '!C183)</f>
        <v>0</v>
      </c>
      <c r="T183" s="3">
        <f>SUMIFS('PowerApp_Physical count'!H:H,'PowerApp_Physical count'!B:B,' General Stock Summary View  '!$S$2,'PowerApp_Physical count'!C:C,' General Stock Summary View  '!C183,'PowerApp_Physical count'!A:A,' General Stock Summary View  '!B183)</f>
        <v>0</v>
      </c>
      <c r="U183" s="4">
        <f t="shared" si="4"/>
        <v>0</v>
      </c>
      <c r="V183" s="2">
        <f>SUMIFS('XBS '!T:T,'XBS '!H:H,' General Stock Summary View  '!$V$2,'XBS '!B:B,' General Stock Summary View  '!C183,'XBS '!L:L,' General Stock Summary View  '!B183)</f>
        <v>0</v>
      </c>
      <c r="W183" s="3">
        <f>SUMIFS('PowerApp_Physical count'!H:H,'PowerApp_Physical count'!B:B,' General Stock Summary View  '!$V$2,'PowerApp_Physical count'!C:C,' General Stock Summary View  '!C183,'PowerApp_Physical count'!A:A,' General Stock Summary View  '!B183)</f>
        <v>0</v>
      </c>
      <c r="X183" s="4">
        <f t="shared" si="12"/>
        <v>0</v>
      </c>
      <c r="Y183" s="5">
        <f>SUMIFS('XBS '!T:T,'XBS '!H:H,' General Stock Summary View  '!$Y$2,'XBS '!B:B,' General Stock Summary View  '!C183,'XBS '!L:L,' General Stock Summary View  '!B183)</f>
        <v>0</v>
      </c>
      <c r="Z183" s="3">
        <f>SUMIFS('PowerApp_Physical count'!H:H,'PowerApp_Physical count'!B:B,' General Stock Summary View  '!$Y$2,'PowerApp_Physical count'!C:C,' General Stock Summary View  '!C183,'PowerApp_Physical count'!A:A,' General Stock Summary View  '!B183)</f>
        <v>0</v>
      </c>
      <c r="AA183" s="4">
        <f t="shared" si="13"/>
        <v>0</v>
      </c>
      <c r="AB183" s="5">
        <f>SUMIFS('XBS '!T:T,'XBS '!H:H,' General Stock Summary View  '!$AB$2,'XBS '!B:B,' General Stock Summary View  '!C183,'XBS '!L:L,' General Stock Summary View  '!B183)</f>
        <v>0</v>
      </c>
      <c r="AC183" s="3">
        <f>SUMIFS('PowerApp_Physical count'!H:H,'PowerApp_Physical count'!B:B,' General Stock Summary View  '!$AB$2,'PowerApp_Physical count'!C:C,' General Stock Summary View  '!C183,'PowerApp_Physical count'!A:A,' General Stock Summary View  '!B183)</f>
        <v>0</v>
      </c>
      <c r="AD183" s="6">
        <f t="shared" si="14"/>
        <v>0</v>
      </c>
      <c r="AE183" s="7">
        <f t="shared" si="8"/>
        <v>0</v>
      </c>
      <c r="AF183" s="8">
        <f t="shared" si="9"/>
        <v>-10.383333333333333</v>
      </c>
      <c r="AG183" s="112"/>
    </row>
    <row r="184" spans="2:33" s="113" customFormat="1" ht="61.15">
      <c r="B184" s="117" t="s">
        <v>203</v>
      </c>
      <c r="C184" s="111" t="s">
        <v>197</v>
      </c>
      <c r="D184" s="11">
        <f>SUMIFS('XBS '!T:T,'XBS '!C:C,' General Stock Summary View  '!C184,'XBS '!L:L,' General Stock Summary View  '!B184)</f>
        <v>21.916666666666668</v>
      </c>
      <c r="E184" s="2">
        <f>SUMIFS('Blocked for Processing'!P:P,'Blocked for Processing'!I:I,' General Stock Summary View  '!B184,'Blocked for Processing'!C:C,' General Stock Summary View  '!C184)</f>
        <v>0</v>
      </c>
      <c r="F184" s="122">
        <f t="shared" si="0"/>
        <v>21.916666666666668</v>
      </c>
      <c r="G184" s="148">
        <f>SUMIFS('XBS '!T:T,'XBS '!H:H,' General Stock Summary View  '!$G$2,'XBS '!L:L,' General Stock Summary View  '!B184,'XBS '!C:C,' General Stock Summary View  '!C184)</f>
        <v>0</v>
      </c>
      <c r="H184" s="3">
        <f>SUMIFS('PowerApp_Physical count'!H:H,'PowerApp_Physical count'!B:B,' General Stock Summary View  '!$G$2,'PowerApp_Physical count'!C:C,' General Stock Summary View  '!C184,'PowerApp_Physical count'!A:A,' General Stock Summary View  '!B184)</f>
        <v>0</v>
      </c>
      <c r="I184" s="154">
        <f t="shared" si="41"/>
        <v>0</v>
      </c>
      <c r="J184" s="11">
        <f>SUMIFS('XBS '!T:T,'XBS '!H:H,' General Stock Summary View  '!$J$2,'XBS '!L:L,' General Stock Summary View  '!B184,'XBS '!C:C,' General Stock Summary View  '!C184)</f>
        <v>0</v>
      </c>
      <c r="K184" s="157">
        <f>SUMIFS('PowerApp_Physical count'!H:H,'PowerApp_Physical count'!B:B,' General Stock Summary View  '!$J$2,'PowerApp_Physical count'!C:C,' General Stock Summary View  '!C184,'PowerApp_Physical count'!A:A,' General Stock Summary View  '!B184)</f>
        <v>0</v>
      </c>
      <c r="L184" s="127">
        <f t="shared" si="15"/>
        <v>0</v>
      </c>
      <c r="M184" s="126">
        <f t="shared" si="2"/>
        <v>0</v>
      </c>
      <c r="N184" s="11">
        <f t="shared" si="3"/>
        <v>0</v>
      </c>
      <c r="O184" s="144">
        <f t="shared" si="10"/>
        <v>0</v>
      </c>
      <c r="P184" s="2">
        <f>SUMIFS('XBS '!T:T,'XBS '!H:H,' General Stock Summary View  '!$P$2,'XBS '!L:L,' General Stock Summary View  '!B184,'XBS '!C:C,' General Stock Summary View  '!C184)</f>
        <v>21.916666666666668</v>
      </c>
      <c r="Q184" s="3">
        <f>SUMIFS('PowerApp_Physical count'!H:H,'PowerApp_Physical count'!B:B,' General Stock Summary View  '!$P$2,'PowerApp_Physical count'!C:C,' General Stock Summary View  '!C184,'PowerApp_Physical count'!A:A,' General Stock Summary View  '!B184)</f>
        <v>0</v>
      </c>
      <c r="R184" s="4">
        <f t="shared" si="11"/>
        <v>-21.916666666666668</v>
      </c>
      <c r="S184" s="5">
        <f>SUMIFS('XBS '!T:T,'XBS '!L:L,' General Stock Summary View  '!B184,'XBS '!H:H,' General Stock Summary View  '!$S$2,'XBS '!C:C,' General Stock Summary View  '!C184)</f>
        <v>0</v>
      </c>
      <c r="T184" s="3">
        <f>SUMIFS('PowerApp_Physical count'!H:H,'PowerApp_Physical count'!B:B,' General Stock Summary View  '!$S$2,'PowerApp_Physical count'!C:C,' General Stock Summary View  '!C184,'PowerApp_Physical count'!A:A,' General Stock Summary View  '!B184)</f>
        <v>0</v>
      </c>
      <c r="U184" s="4">
        <f t="shared" si="4"/>
        <v>0</v>
      </c>
      <c r="V184" s="2">
        <f>SUMIFS('XBS '!T:T,'XBS '!H:H,' General Stock Summary View  '!$V$2,'XBS '!B:B,' General Stock Summary View  '!C184,'XBS '!L:L,' General Stock Summary View  '!B184)</f>
        <v>0</v>
      </c>
      <c r="W184" s="3">
        <f>SUMIFS('PowerApp_Physical count'!H:H,'PowerApp_Physical count'!B:B,' General Stock Summary View  '!$V$2,'PowerApp_Physical count'!C:C,' General Stock Summary View  '!C184,'PowerApp_Physical count'!A:A,' General Stock Summary View  '!B184)</f>
        <v>0</v>
      </c>
      <c r="X184" s="4">
        <f t="shared" si="12"/>
        <v>0</v>
      </c>
      <c r="Y184" s="5">
        <f>SUMIFS('XBS '!T:T,'XBS '!H:H,' General Stock Summary View  '!$Y$2,'XBS '!B:B,' General Stock Summary View  '!C184,'XBS '!L:L,' General Stock Summary View  '!B184)</f>
        <v>0</v>
      </c>
      <c r="Z184" s="3">
        <f>SUMIFS('PowerApp_Physical count'!H:H,'PowerApp_Physical count'!B:B,' General Stock Summary View  '!$Y$2,'PowerApp_Physical count'!C:C,' General Stock Summary View  '!C184,'PowerApp_Physical count'!A:A,' General Stock Summary View  '!B184)</f>
        <v>0</v>
      </c>
      <c r="AA184" s="4">
        <f t="shared" si="13"/>
        <v>0</v>
      </c>
      <c r="AB184" s="5">
        <f>SUMIFS('XBS '!T:T,'XBS '!H:H,' General Stock Summary View  '!$AB$2,'XBS '!B:B,' General Stock Summary View  '!C184,'XBS '!L:L,' General Stock Summary View  '!B184)</f>
        <v>0</v>
      </c>
      <c r="AC184" s="3">
        <f>SUMIFS('PowerApp_Physical count'!H:H,'PowerApp_Physical count'!B:B,' General Stock Summary View  '!$AB$2,'PowerApp_Physical count'!C:C,' General Stock Summary View  '!C184,'PowerApp_Physical count'!A:A,' General Stock Summary View  '!B184)</f>
        <v>0</v>
      </c>
      <c r="AD184" s="6">
        <f t="shared" si="14"/>
        <v>0</v>
      </c>
      <c r="AE184" s="7">
        <f t="shared" si="8"/>
        <v>0</v>
      </c>
      <c r="AF184" s="8">
        <f t="shared" si="9"/>
        <v>-21.916666666666668</v>
      </c>
      <c r="AG184" s="112"/>
    </row>
    <row r="185" spans="2:33" s="113" customFormat="1" ht="61.15">
      <c r="B185" s="117" t="s">
        <v>83</v>
      </c>
      <c r="C185" s="111" t="s">
        <v>197</v>
      </c>
      <c r="D185" s="11">
        <f>SUMIFS('XBS '!T:T,'XBS '!C:C,' General Stock Summary View  '!C185,'XBS '!L:L,' General Stock Summary View  '!B185)</f>
        <v>7.2333333333333334</v>
      </c>
      <c r="E185" s="2">
        <f>SUMIFS('Blocked for Processing'!P:P,'Blocked for Processing'!I:I,' General Stock Summary View  '!B185,'Blocked for Processing'!C:C,' General Stock Summary View  '!C185)</f>
        <v>0</v>
      </c>
      <c r="F185" s="122">
        <f t="shared" si="0"/>
        <v>7.2333333333333334</v>
      </c>
      <c r="G185" s="148">
        <f>SUMIFS('XBS '!T:T,'XBS '!H:H,' General Stock Summary View  '!$G$2,'XBS '!L:L,' General Stock Summary View  '!B185,'XBS '!C:C,' General Stock Summary View  '!C185)</f>
        <v>0</v>
      </c>
      <c r="H185" s="3">
        <f>SUMIFS('PowerApp_Physical count'!H:H,'PowerApp_Physical count'!B:B,' General Stock Summary View  '!$G$2,'PowerApp_Physical count'!C:C,' General Stock Summary View  '!C185,'PowerApp_Physical count'!A:A,' General Stock Summary View  '!B185)</f>
        <v>0</v>
      </c>
      <c r="I185" s="154">
        <f t="shared" si="41"/>
        <v>0</v>
      </c>
      <c r="J185" s="11">
        <f>SUMIFS('XBS '!T:T,'XBS '!H:H,' General Stock Summary View  '!$J$2,'XBS '!L:L,' General Stock Summary View  '!B185,'XBS '!C:C,' General Stock Summary View  '!C185)</f>
        <v>0</v>
      </c>
      <c r="K185" s="157">
        <f>SUMIFS('PowerApp_Physical count'!H:H,'PowerApp_Physical count'!B:B,' General Stock Summary View  '!$J$2,'PowerApp_Physical count'!C:C,' General Stock Summary View  '!C185,'PowerApp_Physical count'!A:A,' General Stock Summary View  '!B185)</f>
        <v>0</v>
      </c>
      <c r="L185" s="127">
        <f t="shared" si="15"/>
        <v>0</v>
      </c>
      <c r="M185" s="126">
        <f t="shared" si="2"/>
        <v>0</v>
      </c>
      <c r="N185" s="11">
        <f t="shared" si="3"/>
        <v>0</v>
      </c>
      <c r="O185" s="144">
        <f t="shared" si="10"/>
        <v>0</v>
      </c>
      <c r="P185" s="2">
        <f>SUMIFS('XBS '!T:T,'XBS '!H:H,' General Stock Summary View  '!$P$2,'XBS '!L:L,' General Stock Summary View  '!B185,'XBS '!C:C,' General Stock Summary View  '!C185)</f>
        <v>7.2333333333333334</v>
      </c>
      <c r="Q185" s="3">
        <f>SUMIFS('PowerApp_Physical count'!H:H,'PowerApp_Physical count'!B:B,' General Stock Summary View  '!$P$2,'PowerApp_Physical count'!C:C,' General Stock Summary View  '!C185,'PowerApp_Physical count'!A:A,' General Stock Summary View  '!B185)</f>
        <v>0</v>
      </c>
      <c r="R185" s="4">
        <f t="shared" si="11"/>
        <v>-7.2333333333333334</v>
      </c>
      <c r="S185" s="5">
        <f>SUMIFS('XBS '!T:T,'XBS '!L:L,' General Stock Summary View  '!B185,'XBS '!H:H,' General Stock Summary View  '!$S$2,'XBS '!C:C,' General Stock Summary View  '!C185)</f>
        <v>0</v>
      </c>
      <c r="T185" s="3">
        <f>SUMIFS('PowerApp_Physical count'!H:H,'PowerApp_Physical count'!B:B,' General Stock Summary View  '!$S$2,'PowerApp_Physical count'!C:C,' General Stock Summary View  '!C185,'PowerApp_Physical count'!A:A,' General Stock Summary View  '!B185)</f>
        <v>0</v>
      </c>
      <c r="U185" s="4">
        <f t="shared" si="4"/>
        <v>0</v>
      </c>
      <c r="V185" s="2">
        <f>SUMIFS('XBS '!T:T,'XBS '!H:H,' General Stock Summary View  '!$V$2,'XBS '!B:B,' General Stock Summary View  '!C185,'XBS '!L:L,' General Stock Summary View  '!B185)</f>
        <v>0</v>
      </c>
      <c r="W185" s="3">
        <f>SUMIFS('PowerApp_Physical count'!H:H,'PowerApp_Physical count'!B:B,' General Stock Summary View  '!$V$2,'PowerApp_Physical count'!C:C,' General Stock Summary View  '!C185,'PowerApp_Physical count'!A:A,' General Stock Summary View  '!B185)</f>
        <v>0</v>
      </c>
      <c r="X185" s="4">
        <f t="shared" si="12"/>
        <v>0</v>
      </c>
      <c r="Y185" s="5">
        <f>SUMIFS('XBS '!T:T,'XBS '!H:H,' General Stock Summary View  '!$Y$2,'XBS '!B:B,' General Stock Summary View  '!C185,'XBS '!L:L,' General Stock Summary View  '!B185)</f>
        <v>0</v>
      </c>
      <c r="Z185" s="3">
        <f>SUMIFS('PowerApp_Physical count'!H:H,'PowerApp_Physical count'!B:B,' General Stock Summary View  '!$Y$2,'PowerApp_Physical count'!C:C,' General Stock Summary View  '!C185,'PowerApp_Physical count'!A:A,' General Stock Summary View  '!B185)</f>
        <v>0</v>
      </c>
      <c r="AA185" s="4">
        <f t="shared" si="13"/>
        <v>0</v>
      </c>
      <c r="AB185" s="5">
        <f>SUMIFS('XBS '!T:T,'XBS '!H:H,' General Stock Summary View  '!$AB$2,'XBS '!B:B,' General Stock Summary View  '!C185,'XBS '!L:L,' General Stock Summary View  '!B185)</f>
        <v>0</v>
      </c>
      <c r="AC185" s="3">
        <f>SUMIFS('PowerApp_Physical count'!H:H,'PowerApp_Physical count'!B:B,' General Stock Summary View  '!$AB$2,'PowerApp_Physical count'!C:C,' General Stock Summary View  '!C185,'PowerApp_Physical count'!A:A,' General Stock Summary View  '!B185)</f>
        <v>0</v>
      </c>
      <c r="AD185" s="6">
        <f t="shared" si="14"/>
        <v>0</v>
      </c>
      <c r="AE185" s="7">
        <f t="shared" si="8"/>
        <v>0</v>
      </c>
      <c r="AF185" s="8">
        <f t="shared" si="9"/>
        <v>-7.2333333333333334</v>
      </c>
      <c r="AG185" s="112"/>
    </row>
    <row r="186" spans="2:33" s="113" customFormat="1" ht="61.15">
      <c r="B186" s="117" t="s">
        <v>204</v>
      </c>
      <c r="C186" s="111" t="s">
        <v>197</v>
      </c>
      <c r="D186" s="11">
        <f>SUMIFS('XBS '!T:T,'XBS '!C:C,' General Stock Summary View  '!C186,'XBS '!L:L,' General Stock Summary View  '!B186)</f>
        <v>6.35</v>
      </c>
      <c r="E186" s="2">
        <f>SUMIFS('Blocked for Processing'!P:P,'Blocked for Processing'!I:I,' General Stock Summary View  '!B186,'Blocked for Processing'!C:C,' General Stock Summary View  '!C186)</f>
        <v>0</v>
      </c>
      <c r="F186" s="122">
        <f t="shared" si="0"/>
        <v>6.35</v>
      </c>
      <c r="G186" s="148">
        <f>SUMIFS('XBS '!T:T,'XBS '!H:H,' General Stock Summary View  '!$G$2,'XBS '!L:L,' General Stock Summary View  '!B186,'XBS '!C:C,' General Stock Summary View  '!C186)</f>
        <v>0</v>
      </c>
      <c r="H186" s="3">
        <f>SUMIFS('PowerApp_Physical count'!H:H,'PowerApp_Physical count'!B:B,' General Stock Summary View  '!$G$2,'PowerApp_Physical count'!C:C,' General Stock Summary View  '!C186,'PowerApp_Physical count'!A:A,' General Stock Summary View  '!B186)</f>
        <v>0</v>
      </c>
      <c r="I186" s="154">
        <f t="shared" si="41"/>
        <v>0</v>
      </c>
      <c r="J186" s="11">
        <f>SUMIFS('XBS '!T:T,'XBS '!H:H,' General Stock Summary View  '!$J$2,'XBS '!L:L,' General Stock Summary View  '!B186,'XBS '!C:C,' General Stock Summary View  '!C186)</f>
        <v>0</v>
      </c>
      <c r="K186" s="157">
        <f>SUMIFS('PowerApp_Physical count'!H:H,'PowerApp_Physical count'!B:B,' General Stock Summary View  '!$J$2,'PowerApp_Physical count'!C:C,' General Stock Summary View  '!C186,'PowerApp_Physical count'!A:A,' General Stock Summary View  '!B186)</f>
        <v>0</v>
      </c>
      <c r="L186" s="127">
        <f t="shared" si="15"/>
        <v>0</v>
      </c>
      <c r="M186" s="126">
        <f t="shared" si="2"/>
        <v>0</v>
      </c>
      <c r="N186" s="11">
        <f t="shared" si="3"/>
        <v>0</v>
      </c>
      <c r="O186" s="144">
        <f t="shared" si="10"/>
        <v>0</v>
      </c>
      <c r="P186" s="2">
        <f>SUMIFS('XBS '!T:T,'XBS '!H:H,' General Stock Summary View  '!$P$2,'XBS '!L:L,' General Stock Summary View  '!B186,'XBS '!C:C,' General Stock Summary View  '!C186)</f>
        <v>6.35</v>
      </c>
      <c r="Q186" s="3">
        <f>SUMIFS('PowerApp_Physical count'!H:H,'PowerApp_Physical count'!B:B,' General Stock Summary View  '!$P$2,'PowerApp_Physical count'!C:C,' General Stock Summary View  '!C186,'PowerApp_Physical count'!A:A,' General Stock Summary View  '!B186)</f>
        <v>0</v>
      </c>
      <c r="R186" s="4">
        <f t="shared" si="11"/>
        <v>-6.35</v>
      </c>
      <c r="S186" s="5">
        <f>SUMIFS('XBS '!T:T,'XBS '!L:L,' General Stock Summary View  '!B186,'XBS '!H:H,' General Stock Summary View  '!$S$2,'XBS '!C:C,' General Stock Summary View  '!C186)</f>
        <v>0</v>
      </c>
      <c r="T186" s="3">
        <f>SUMIFS('PowerApp_Physical count'!H:H,'PowerApp_Physical count'!B:B,' General Stock Summary View  '!$S$2,'PowerApp_Physical count'!C:C,' General Stock Summary View  '!C186,'PowerApp_Physical count'!A:A,' General Stock Summary View  '!B186)</f>
        <v>0</v>
      </c>
      <c r="U186" s="4">
        <f t="shared" si="4"/>
        <v>0</v>
      </c>
      <c r="V186" s="2">
        <f>SUMIFS('XBS '!T:T,'XBS '!H:H,' General Stock Summary View  '!$V$2,'XBS '!B:B,' General Stock Summary View  '!C186,'XBS '!L:L,' General Stock Summary View  '!B186)</f>
        <v>0</v>
      </c>
      <c r="W186" s="3">
        <f>SUMIFS('PowerApp_Physical count'!H:H,'PowerApp_Physical count'!B:B,' General Stock Summary View  '!$V$2,'PowerApp_Physical count'!C:C,' General Stock Summary View  '!C186,'PowerApp_Physical count'!A:A,' General Stock Summary View  '!B186)</f>
        <v>0</v>
      </c>
      <c r="X186" s="4">
        <f t="shared" si="12"/>
        <v>0</v>
      </c>
      <c r="Y186" s="5">
        <f>SUMIFS('XBS '!T:T,'XBS '!H:H,' General Stock Summary View  '!$Y$2,'XBS '!B:B,' General Stock Summary View  '!C186,'XBS '!L:L,' General Stock Summary View  '!B186)</f>
        <v>0</v>
      </c>
      <c r="Z186" s="3">
        <f>SUMIFS('PowerApp_Physical count'!H:H,'PowerApp_Physical count'!B:B,' General Stock Summary View  '!$Y$2,'PowerApp_Physical count'!C:C,' General Stock Summary View  '!C186,'PowerApp_Physical count'!A:A,' General Stock Summary View  '!B186)</f>
        <v>0</v>
      </c>
      <c r="AA186" s="4">
        <f t="shared" si="13"/>
        <v>0</v>
      </c>
      <c r="AB186" s="5">
        <f>SUMIFS('XBS '!T:T,'XBS '!H:H,' General Stock Summary View  '!$AB$2,'XBS '!B:B,' General Stock Summary View  '!C186,'XBS '!L:L,' General Stock Summary View  '!B186)</f>
        <v>0</v>
      </c>
      <c r="AC186" s="3">
        <f>SUMIFS('PowerApp_Physical count'!H:H,'PowerApp_Physical count'!B:B,' General Stock Summary View  '!$AB$2,'PowerApp_Physical count'!C:C,' General Stock Summary View  '!C186,'PowerApp_Physical count'!A:A,' General Stock Summary View  '!B186)</f>
        <v>0</v>
      </c>
      <c r="AD186" s="6">
        <f t="shared" si="14"/>
        <v>0</v>
      </c>
      <c r="AE186" s="7">
        <f t="shared" si="8"/>
        <v>0</v>
      </c>
      <c r="AF186" s="8">
        <f t="shared" si="9"/>
        <v>-6.35</v>
      </c>
      <c r="AG186" s="112"/>
    </row>
    <row r="187" spans="2:33" s="113" customFormat="1" ht="61.15">
      <c r="B187" s="117" t="s">
        <v>205</v>
      </c>
      <c r="C187" s="111" t="s">
        <v>197</v>
      </c>
      <c r="D187" s="11">
        <f>SUMIFS('XBS '!T:T,'XBS '!C:C,' General Stock Summary View  '!C187,'XBS '!L:L,' General Stock Summary View  '!B187)</f>
        <v>30.333333333333332</v>
      </c>
      <c r="E187" s="2">
        <f>SUMIFS('Blocked for Processing'!P:P,'Blocked for Processing'!I:I,' General Stock Summary View  '!B187,'Blocked for Processing'!C:C,' General Stock Summary View  '!C187)</f>
        <v>0</v>
      </c>
      <c r="F187" s="122">
        <f t="shared" si="0"/>
        <v>30.333333333333332</v>
      </c>
      <c r="G187" s="148">
        <f>SUMIFS('XBS '!T:T,'XBS '!H:H,' General Stock Summary View  '!$G$2,'XBS '!L:L,' General Stock Summary View  '!B187,'XBS '!C:C,' General Stock Summary View  '!C187)</f>
        <v>0</v>
      </c>
      <c r="H187" s="3">
        <f>SUMIFS('PowerApp_Physical count'!H:H,'PowerApp_Physical count'!B:B,' General Stock Summary View  '!$G$2,'PowerApp_Physical count'!C:C,' General Stock Summary View  '!C187,'PowerApp_Physical count'!A:A,' General Stock Summary View  '!B187)</f>
        <v>0</v>
      </c>
      <c r="I187" s="154">
        <f t="shared" si="41"/>
        <v>0</v>
      </c>
      <c r="J187" s="11">
        <f>SUMIFS('XBS '!T:T,'XBS '!H:H,' General Stock Summary View  '!$J$2,'XBS '!L:L,' General Stock Summary View  '!B187,'XBS '!C:C,' General Stock Summary View  '!C187)</f>
        <v>0</v>
      </c>
      <c r="K187" s="157">
        <f>SUMIFS('PowerApp_Physical count'!H:H,'PowerApp_Physical count'!B:B,' General Stock Summary View  '!$J$2,'PowerApp_Physical count'!C:C,' General Stock Summary View  '!C187,'PowerApp_Physical count'!A:A,' General Stock Summary View  '!B187)</f>
        <v>0</v>
      </c>
      <c r="L187" s="127">
        <f t="shared" si="15"/>
        <v>0</v>
      </c>
      <c r="M187" s="126">
        <f t="shared" si="2"/>
        <v>0</v>
      </c>
      <c r="N187" s="11">
        <f t="shared" si="3"/>
        <v>0</v>
      </c>
      <c r="O187" s="144">
        <f t="shared" si="10"/>
        <v>0</v>
      </c>
      <c r="P187" s="2">
        <f>SUMIFS('XBS '!T:T,'XBS '!H:H,' General Stock Summary View  '!$P$2,'XBS '!L:L,' General Stock Summary View  '!B187,'XBS '!C:C,' General Stock Summary View  '!C187)</f>
        <v>30.333333333333332</v>
      </c>
      <c r="Q187" s="3">
        <f>SUMIFS('PowerApp_Physical count'!H:H,'PowerApp_Physical count'!B:B,' General Stock Summary View  '!$P$2,'PowerApp_Physical count'!C:C,' General Stock Summary View  '!C187,'PowerApp_Physical count'!A:A,' General Stock Summary View  '!B187)</f>
        <v>0</v>
      </c>
      <c r="R187" s="4">
        <f t="shared" si="11"/>
        <v>-30.333333333333332</v>
      </c>
      <c r="S187" s="5">
        <f>SUMIFS('XBS '!T:T,'XBS '!L:L,' General Stock Summary View  '!B187,'XBS '!H:H,' General Stock Summary View  '!$S$2,'XBS '!C:C,' General Stock Summary View  '!C187)</f>
        <v>0</v>
      </c>
      <c r="T187" s="3">
        <f>SUMIFS('PowerApp_Physical count'!H:H,'PowerApp_Physical count'!B:B,' General Stock Summary View  '!$S$2,'PowerApp_Physical count'!C:C,' General Stock Summary View  '!C187,'PowerApp_Physical count'!A:A,' General Stock Summary View  '!B187)</f>
        <v>0</v>
      </c>
      <c r="U187" s="4">
        <f t="shared" si="4"/>
        <v>0</v>
      </c>
      <c r="V187" s="2">
        <f>SUMIFS('XBS '!T:T,'XBS '!H:H,' General Stock Summary View  '!$V$2,'XBS '!B:B,' General Stock Summary View  '!C187,'XBS '!L:L,' General Stock Summary View  '!B187)</f>
        <v>0</v>
      </c>
      <c r="W187" s="3">
        <f>SUMIFS('PowerApp_Physical count'!H:H,'PowerApp_Physical count'!B:B,' General Stock Summary View  '!$V$2,'PowerApp_Physical count'!C:C,' General Stock Summary View  '!C187,'PowerApp_Physical count'!A:A,' General Stock Summary View  '!B187)</f>
        <v>0</v>
      </c>
      <c r="X187" s="4">
        <f t="shared" si="12"/>
        <v>0</v>
      </c>
      <c r="Y187" s="5">
        <f>SUMIFS('XBS '!T:T,'XBS '!H:H,' General Stock Summary View  '!$Y$2,'XBS '!B:B,' General Stock Summary View  '!C187,'XBS '!L:L,' General Stock Summary View  '!B187)</f>
        <v>0</v>
      </c>
      <c r="Z187" s="3">
        <f>SUMIFS('PowerApp_Physical count'!H:H,'PowerApp_Physical count'!B:B,' General Stock Summary View  '!$Y$2,'PowerApp_Physical count'!C:C,' General Stock Summary View  '!C187,'PowerApp_Physical count'!A:A,' General Stock Summary View  '!B187)</f>
        <v>0</v>
      </c>
      <c r="AA187" s="4">
        <f t="shared" si="13"/>
        <v>0</v>
      </c>
      <c r="AB187" s="5">
        <f>SUMIFS('XBS '!T:T,'XBS '!H:H,' General Stock Summary View  '!$AB$2,'XBS '!B:B,' General Stock Summary View  '!C187,'XBS '!L:L,' General Stock Summary View  '!B187)</f>
        <v>0</v>
      </c>
      <c r="AC187" s="3">
        <f>SUMIFS('PowerApp_Physical count'!H:H,'PowerApp_Physical count'!B:B,' General Stock Summary View  '!$AB$2,'PowerApp_Physical count'!C:C,' General Stock Summary View  '!C187,'PowerApp_Physical count'!A:A,' General Stock Summary View  '!B187)</f>
        <v>0</v>
      </c>
      <c r="AD187" s="6">
        <f t="shared" si="14"/>
        <v>0</v>
      </c>
      <c r="AE187" s="7">
        <f t="shared" si="8"/>
        <v>0</v>
      </c>
      <c r="AF187" s="8">
        <f t="shared" si="9"/>
        <v>-30.333333333333332</v>
      </c>
      <c r="AG187" s="112"/>
    </row>
    <row r="188" spans="2:33" s="113" customFormat="1" ht="61.15">
      <c r="B188" s="117" t="s">
        <v>206</v>
      </c>
      <c r="C188" s="111" t="s">
        <v>197</v>
      </c>
      <c r="D188" s="11">
        <f>SUMIFS('XBS '!T:T,'XBS '!C:C,' General Stock Summary View  '!C188,'XBS '!L:L,' General Stock Summary View  '!B188)</f>
        <v>8.6166666666666671</v>
      </c>
      <c r="E188" s="2">
        <f>SUMIFS('Blocked for Processing'!P:P,'Blocked for Processing'!I:I,' General Stock Summary View  '!B188,'Blocked for Processing'!C:C,' General Stock Summary View  '!C188)</f>
        <v>0</v>
      </c>
      <c r="F188" s="122">
        <f t="shared" si="0"/>
        <v>8.6166666666666671</v>
      </c>
      <c r="G188" s="148">
        <f>SUMIFS('XBS '!T:T,'XBS '!H:H,' General Stock Summary View  '!$G$2,'XBS '!L:L,' General Stock Summary View  '!B188,'XBS '!C:C,' General Stock Summary View  '!C188)</f>
        <v>0</v>
      </c>
      <c r="H188" s="3">
        <f>SUMIFS('PowerApp_Physical count'!H:H,'PowerApp_Physical count'!B:B,' General Stock Summary View  '!$G$2,'PowerApp_Physical count'!C:C,' General Stock Summary View  '!C188,'PowerApp_Physical count'!A:A,' General Stock Summary View  '!B188)</f>
        <v>0</v>
      </c>
      <c r="I188" s="154">
        <f t="shared" si="41"/>
        <v>0</v>
      </c>
      <c r="J188" s="11">
        <f>SUMIFS('XBS '!T:T,'XBS '!H:H,' General Stock Summary View  '!$J$2,'XBS '!L:L,' General Stock Summary View  '!B188,'XBS '!C:C,' General Stock Summary View  '!C188)</f>
        <v>0</v>
      </c>
      <c r="K188" s="157">
        <f>SUMIFS('PowerApp_Physical count'!H:H,'PowerApp_Physical count'!B:B,' General Stock Summary View  '!$J$2,'PowerApp_Physical count'!C:C,' General Stock Summary View  '!C188,'PowerApp_Physical count'!A:A,' General Stock Summary View  '!B188)</f>
        <v>0</v>
      </c>
      <c r="L188" s="127">
        <f t="shared" si="15"/>
        <v>0</v>
      </c>
      <c r="M188" s="126">
        <f t="shared" si="2"/>
        <v>0</v>
      </c>
      <c r="N188" s="11">
        <f t="shared" si="3"/>
        <v>0</v>
      </c>
      <c r="O188" s="144">
        <f t="shared" si="10"/>
        <v>0</v>
      </c>
      <c r="P188" s="2">
        <f>SUMIFS('XBS '!T:T,'XBS '!H:H,' General Stock Summary View  '!$P$2,'XBS '!L:L,' General Stock Summary View  '!B188,'XBS '!C:C,' General Stock Summary View  '!C188)</f>
        <v>8.6166666666666671</v>
      </c>
      <c r="Q188" s="3">
        <f>SUMIFS('PowerApp_Physical count'!H:H,'PowerApp_Physical count'!B:B,' General Stock Summary View  '!$P$2,'PowerApp_Physical count'!C:C,' General Stock Summary View  '!C188,'PowerApp_Physical count'!A:A,' General Stock Summary View  '!B188)</f>
        <v>0</v>
      </c>
      <c r="R188" s="4">
        <f t="shared" si="11"/>
        <v>-8.6166666666666671</v>
      </c>
      <c r="S188" s="5">
        <f>SUMIFS('XBS '!T:T,'XBS '!L:L,' General Stock Summary View  '!B188,'XBS '!H:H,' General Stock Summary View  '!$S$2,'XBS '!C:C,' General Stock Summary View  '!C188)</f>
        <v>0</v>
      </c>
      <c r="T188" s="3">
        <f>SUMIFS('PowerApp_Physical count'!H:H,'PowerApp_Physical count'!B:B,' General Stock Summary View  '!$S$2,'PowerApp_Physical count'!C:C,' General Stock Summary View  '!C188,'PowerApp_Physical count'!A:A,' General Stock Summary View  '!B188)</f>
        <v>0</v>
      </c>
      <c r="U188" s="4">
        <f t="shared" si="4"/>
        <v>0</v>
      </c>
      <c r="V188" s="2">
        <f>SUMIFS('XBS '!T:T,'XBS '!H:H,' General Stock Summary View  '!$V$2,'XBS '!B:B,' General Stock Summary View  '!C188,'XBS '!L:L,' General Stock Summary View  '!B188)</f>
        <v>0</v>
      </c>
      <c r="W188" s="3">
        <f>SUMIFS('PowerApp_Physical count'!H:H,'PowerApp_Physical count'!B:B,' General Stock Summary View  '!$V$2,'PowerApp_Physical count'!C:C,' General Stock Summary View  '!C188,'PowerApp_Physical count'!A:A,' General Stock Summary View  '!B188)</f>
        <v>0</v>
      </c>
      <c r="X188" s="4">
        <f t="shared" si="12"/>
        <v>0</v>
      </c>
      <c r="Y188" s="5">
        <f>SUMIFS('XBS '!T:T,'XBS '!H:H,' General Stock Summary View  '!$Y$2,'XBS '!B:B,' General Stock Summary View  '!C188,'XBS '!L:L,' General Stock Summary View  '!B188)</f>
        <v>0</v>
      </c>
      <c r="Z188" s="3">
        <f>SUMIFS('PowerApp_Physical count'!H:H,'PowerApp_Physical count'!B:B,' General Stock Summary View  '!$Y$2,'PowerApp_Physical count'!C:C,' General Stock Summary View  '!C188,'PowerApp_Physical count'!A:A,' General Stock Summary View  '!B188)</f>
        <v>0</v>
      </c>
      <c r="AA188" s="4">
        <f t="shared" si="13"/>
        <v>0</v>
      </c>
      <c r="AB188" s="5">
        <f>SUMIFS('XBS '!T:T,'XBS '!H:H,' General Stock Summary View  '!$AB$2,'XBS '!B:B,' General Stock Summary View  '!C188,'XBS '!L:L,' General Stock Summary View  '!B188)</f>
        <v>0</v>
      </c>
      <c r="AC188" s="3">
        <f>SUMIFS('PowerApp_Physical count'!H:H,'PowerApp_Physical count'!B:B,' General Stock Summary View  '!$AB$2,'PowerApp_Physical count'!C:C,' General Stock Summary View  '!C188,'PowerApp_Physical count'!A:A,' General Stock Summary View  '!B188)</f>
        <v>0</v>
      </c>
      <c r="AD188" s="6">
        <f t="shared" si="14"/>
        <v>0</v>
      </c>
      <c r="AE188" s="7">
        <f t="shared" si="8"/>
        <v>0</v>
      </c>
      <c r="AF188" s="8">
        <f t="shared" si="9"/>
        <v>-8.6166666666666671</v>
      </c>
      <c r="AG188" s="112"/>
    </row>
    <row r="189" spans="2:33" s="113" customFormat="1" ht="61.15">
      <c r="B189" s="117" t="s">
        <v>207</v>
      </c>
      <c r="C189" s="111" t="s">
        <v>197</v>
      </c>
      <c r="D189" s="11">
        <f>SUMIFS('XBS '!T:T,'XBS '!C:C,' General Stock Summary View  '!C189,'XBS '!L:L,' General Stock Summary View  '!B189)</f>
        <v>32.75</v>
      </c>
      <c r="E189" s="2">
        <f>SUMIFS('Blocked for Processing'!P:P,'Blocked for Processing'!I:I,' General Stock Summary View  '!B189,'Blocked for Processing'!C:C,' General Stock Summary View  '!C189)</f>
        <v>0</v>
      </c>
      <c r="F189" s="122">
        <f t="shared" si="0"/>
        <v>32.75</v>
      </c>
      <c r="G189" s="148">
        <f>SUMIFS('XBS '!T:T,'XBS '!H:H,' General Stock Summary View  '!$G$2,'XBS '!L:L,' General Stock Summary View  '!B189,'XBS '!C:C,' General Stock Summary View  '!C189)</f>
        <v>0</v>
      </c>
      <c r="H189" s="3">
        <f>SUMIFS('PowerApp_Physical count'!H:H,'PowerApp_Physical count'!B:B,' General Stock Summary View  '!$G$2,'PowerApp_Physical count'!C:C,' General Stock Summary View  '!C189,'PowerApp_Physical count'!A:A,' General Stock Summary View  '!B189)</f>
        <v>0</v>
      </c>
      <c r="I189" s="154">
        <f t="shared" si="41"/>
        <v>0</v>
      </c>
      <c r="J189" s="11">
        <f>SUMIFS('XBS '!T:T,'XBS '!H:H,' General Stock Summary View  '!$J$2,'XBS '!L:L,' General Stock Summary View  '!B189,'XBS '!C:C,' General Stock Summary View  '!C189)</f>
        <v>0</v>
      </c>
      <c r="K189" s="157">
        <f>SUMIFS('PowerApp_Physical count'!H:H,'PowerApp_Physical count'!B:B,' General Stock Summary View  '!$J$2,'PowerApp_Physical count'!C:C,' General Stock Summary View  '!C189,'PowerApp_Physical count'!A:A,' General Stock Summary View  '!B189)</f>
        <v>0</v>
      </c>
      <c r="L189" s="127">
        <f t="shared" si="15"/>
        <v>0</v>
      </c>
      <c r="M189" s="126">
        <f t="shared" si="2"/>
        <v>0</v>
      </c>
      <c r="N189" s="11">
        <f t="shared" si="3"/>
        <v>0</v>
      </c>
      <c r="O189" s="144">
        <f t="shared" si="10"/>
        <v>0</v>
      </c>
      <c r="P189" s="2">
        <f>SUMIFS('XBS '!T:T,'XBS '!H:H,' General Stock Summary View  '!$P$2,'XBS '!L:L,' General Stock Summary View  '!B189,'XBS '!C:C,' General Stock Summary View  '!C189)</f>
        <v>32.75</v>
      </c>
      <c r="Q189" s="3">
        <f>SUMIFS('PowerApp_Physical count'!H:H,'PowerApp_Physical count'!B:B,' General Stock Summary View  '!$P$2,'PowerApp_Physical count'!C:C,' General Stock Summary View  '!C189,'PowerApp_Physical count'!A:A,' General Stock Summary View  '!B189)</f>
        <v>0</v>
      </c>
      <c r="R189" s="4">
        <f t="shared" si="11"/>
        <v>-32.75</v>
      </c>
      <c r="S189" s="5">
        <f>SUMIFS('XBS '!T:T,'XBS '!L:L,' General Stock Summary View  '!B189,'XBS '!H:H,' General Stock Summary View  '!$S$2,'XBS '!C:C,' General Stock Summary View  '!C189)</f>
        <v>0</v>
      </c>
      <c r="T189" s="3">
        <f>SUMIFS('PowerApp_Physical count'!H:H,'PowerApp_Physical count'!B:B,' General Stock Summary View  '!$S$2,'PowerApp_Physical count'!C:C,' General Stock Summary View  '!C189,'PowerApp_Physical count'!A:A,' General Stock Summary View  '!B189)</f>
        <v>0</v>
      </c>
      <c r="U189" s="4">
        <f t="shared" si="4"/>
        <v>0</v>
      </c>
      <c r="V189" s="2">
        <f>SUMIFS('XBS '!T:T,'XBS '!H:H,' General Stock Summary View  '!$V$2,'XBS '!B:B,' General Stock Summary View  '!C189,'XBS '!L:L,' General Stock Summary View  '!B189)</f>
        <v>0</v>
      </c>
      <c r="W189" s="3">
        <f>SUMIFS('PowerApp_Physical count'!H:H,'PowerApp_Physical count'!B:B,' General Stock Summary View  '!$V$2,'PowerApp_Physical count'!C:C,' General Stock Summary View  '!C189,'PowerApp_Physical count'!A:A,' General Stock Summary View  '!B189)</f>
        <v>0</v>
      </c>
      <c r="X189" s="4">
        <f t="shared" si="12"/>
        <v>0</v>
      </c>
      <c r="Y189" s="5">
        <f>SUMIFS('XBS '!T:T,'XBS '!H:H,' General Stock Summary View  '!$Y$2,'XBS '!B:B,' General Stock Summary View  '!C189,'XBS '!L:L,' General Stock Summary View  '!B189)</f>
        <v>0</v>
      </c>
      <c r="Z189" s="3">
        <f>SUMIFS('PowerApp_Physical count'!H:H,'PowerApp_Physical count'!B:B,' General Stock Summary View  '!$Y$2,'PowerApp_Physical count'!C:C,' General Stock Summary View  '!C189,'PowerApp_Physical count'!A:A,' General Stock Summary View  '!B189)</f>
        <v>0</v>
      </c>
      <c r="AA189" s="4">
        <f t="shared" si="13"/>
        <v>0</v>
      </c>
      <c r="AB189" s="5">
        <f>SUMIFS('XBS '!T:T,'XBS '!H:H,' General Stock Summary View  '!$AB$2,'XBS '!B:B,' General Stock Summary View  '!C189,'XBS '!L:L,' General Stock Summary View  '!B189)</f>
        <v>0</v>
      </c>
      <c r="AC189" s="3">
        <f>SUMIFS('PowerApp_Physical count'!H:H,'PowerApp_Physical count'!B:B,' General Stock Summary View  '!$AB$2,'PowerApp_Physical count'!C:C,' General Stock Summary View  '!C189,'PowerApp_Physical count'!A:A,' General Stock Summary View  '!B189)</f>
        <v>0</v>
      </c>
      <c r="AD189" s="6">
        <f t="shared" si="14"/>
        <v>0</v>
      </c>
      <c r="AE189" s="7">
        <f t="shared" si="8"/>
        <v>0</v>
      </c>
      <c r="AF189" s="8">
        <f t="shared" si="9"/>
        <v>-32.75</v>
      </c>
      <c r="AG189" s="112"/>
    </row>
    <row r="190" spans="2:33" s="113" customFormat="1" ht="61.15">
      <c r="B190" s="117" t="s">
        <v>208</v>
      </c>
      <c r="C190" s="111" t="s">
        <v>197</v>
      </c>
      <c r="D190" s="11">
        <f>SUMIFS('XBS '!T:T,'XBS '!C:C,' General Stock Summary View  '!C190,'XBS '!L:L,' General Stock Summary View  '!B190)</f>
        <v>3.0833333333333335</v>
      </c>
      <c r="E190" s="2">
        <f>SUMIFS('Blocked for Processing'!P:P,'Blocked for Processing'!I:I,' General Stock Summary View  '!B190,'Blocked for Processing'!C:C,' General Stock Summary View  '!C190)</f>
        <v>0</v>
      </c>
      <c r="F190" s="122">
        <f t="shared" si="0"/>
        <v>3.0833333333333335</v>
      </c>
      <c r="G190" s="148">
        <f>SUMIFS('XBS '!T:T,'XBS '!H:H,' General Stock Summary View  '!$G$2,'XBS '!L:L,' General Stock Summary View  '!B190,'XBS '!C:C,' General Stock Summary View  '!C190)</f>
        <v>0</v>
      </c>
      <c r="H190" s="3">
        <f>SUMIFS('PowerApp_Physical count'!H:H,'PowerApp_Physical count'!B:B,' General Stock Summary View  '!$G$2,'PowerApp_Physical count'!C:C,' General Stock Summary View  '!C190,'PowerApp_Physical count'!A:A,' General Stock Summary View  '!B190)</f>
        <v>0</v>
      </c>
      <c r="I190" s="154">
        <f t="shared" si="41"/>
        <v>0</v>
      </c>
      <c r="J190" s="11">
        <f>SUMIFS('XBS '!T:T,'XBS '!H:H,' General Stock Summary View  '!$J$2,'XBS '!L:L,' General Stock Summary View  '!B190,'XBS '!C:C,' General Stock Summary View  '!C190)</f>
        <v>0</v>
      </c>
      <c r="K190" s="157">
        <f>SUMIFS('PowerApp_Physical count'!H:H,'PowerApp_Physical count'!B:B,' General Stock Summary View  '!$J$2,'PowerApp_Physical count'!C:C,' General Stock Summary View  '!C190,'PowerApp_Physical count'!A:A,' General Stock Summary View  '!B190)</f>
        <v>0</v>
      </c>
      <c r="L190" s="127">
        <f t="shared" si="15"/>
        <v>0</v>
      </c>
      <c r="M190" s="126">
        <f t="shared" si="2"/>
        <v>0</v>
      </c>
      <c r="N190" s="11">
        <f t="shared" si="3"/>
        <v>0</v>
      </c>
      <c r="O190" s="144">
        <f t="shared" si="10"/>
        <v>0</v>
      </c>
      <c r="P190" s="2">
        <f>SUMIFS('XBS '!T:T,'XBS '!H:H,' General Stock Summary View  '!$P$2,'XBS '!L:L,' General Stock Summary View  '!B190,'XBS '!C:C,' General Stock Summary View  '!C190)</f>
        <v>3.0833333333333335</v>
      </c>
      <c r="Q190" s="3">
        <f>SUMIFS('PowerApp_Physical count'!H:H,'PowerApp_Physical count'!B:B,' General Stock Summary View  '!$P$2,'PowerApp_Physical count'!C:C,' General Stock Summary View  '!C190,'PowerApp_Physical count'!A:A,' General Stock Summary View  '!B190)</f>
        <v>0</v>
      </c>
      <c r="R190" s="4">
        <f t="shared" si="11"/>
        <v>-3.0833333333333335</v>
      </c>
      <c r="S190" s="5">
        <f>SUMIFS('XBS '!T:T,'XBS '!L:L,' General Stock Summary View  '!B190,'XBS '!H:H,' General Stock Summary View  '!$S$2,'XBS '!C:C,' General Stock Summary View  '!C190)</f>
        <v>0</v>
      </c>
      <c r="T190" s="3">
        <f>SUMIFS('PowerApp_Physical count'!H:H,'PowerApp_Physical count'!B:B,' General Stock Summary View  '!$S$2,'PowerApp_Physical count'!C:C,' General Stock Summary View  '!C190,'PowerApp_Physical count'!A:A,' General Stock Summary View  '!B190)</f>
        <v>0</v>
      </c>
      <c r="U190" s="4">
        <f t="shared" si="4"/>
        <v>0</v>
      </c>
      <c r="V190" s="2">
        <f>SUMIFS('XBS '!T:T,'XBS '!H:H,' General Stock Summary View  '!$V$2,'XBS '!B:B,' General Stock Summary View  '!C190,'XBS '!L:L,' General Stock Summary View  '!B190)</f>
        <v>0</v>
      </c>
      <c r="W190" s="3">
        <f>SUMIFS('PowerApp_Physical count'!H:H,'PowerApp_Physical count'!B:B,' General Stock Summary View  '!$V$2,'PowerApp_Physical count'!C:C,' General Stock Summary View  '!C190,'PowerApp_Physical count'!A:A,' General Stock Summary View  '!B190)</f>
        <v>0</v>
      </c>
      <c r="X190" s="4">
        <f t="shared" si="12"/>
        <v>0</v>
      </c>
      <c r="Y190" s="5">
        <f>SUMIFS('XBS '!T:T,'XBS '!H:H,' General Stock Summary View  '!$Y$2,'XBS '!B:B,' General Stock Summary View  '!C190,'XBS '!L:L,' General Stock Summary View  '!B190)</f>
        <v>0</v>
      </c>
      <c r="Z190" s="3">
        <f>SUMIFS('PowerApp_Physical count'!H:H,'PowerApp_Physical count'!B:B,' General Stock Summary View  '!$Y$2,'PowerApp_Physical count'!C:C,' General Stock Summary View  '!C190,'PowerApp_Physical count'!A:A,' General Stock Summary View  '!B190)</f>
        <v>0</v>
      </c>
      <c r="AA190" s="4">
        <f t="shared" si="13"/>
        <v>0</v>
      </c>
      <c r="AB190" s="5">
        <f>SUMIFS('XBS '!T:T,'XBS '!H:H,' General Stock Summary View  '!$AB$2,'XBS '!B:B,' General Stock Summary View  '!C190,'XBS '!L:L,' General Stock Summary View  '!B190)</f>
        <v>0</v>
      </c>
      <c r="AC190" s="3">
        <f>SUMIFS('PowerApp_Physical count'!H:H,'PowerApp_Physical count'!B:B,' General Stock Summary View  '!$AB$2,'PowerApp_Physical count'!C:C,' General Stock Summary View  '!C190,'PowerApp_Physical count'!A:A,' General Stock Summary View  '!B190)</f>
        <v>0</v>
      </c>
      <c r="AD190" s="6">
        <f t="shared" si="14"/>
        <v>0</v>
      </c>
      <c r="AE190" s="7">
        <f t="shared" si="8"/>
        <v>0</v>
      </c>
      <c r="AF190" s="8">
        <f t="shared" si="9"/>
        <v>-3.0833333333333335</v>
      </c>
      <c r="AG190" s="112"/>
    </row>
    <row r="191" spans="2:33" s="113" customFormat="1" ht="61.15">
      <c r="B191" s="117" t="s">
        <v>209</v>
      </c>
      <c r="C191" s="111" t="s">
        <v>197</v>
      </c>
      <c r="D191" s="11">
        <f>SUMIFS('XBS '!T:T,'XBS '!C:C,' General Stock Summary View  '!C191,'XBS '!L:L,' General Stock Summary View  '!B191)</f>
        <v>7.6</v>
      </c>
      <c r="E191" s="2">
        <f>SUMIFS('Blocked for Processing'!P:P,'Blocked for Processing'!I:I,' General Stock Summary View  '!B191,'Blocked for Processing'!C:C,' General Stock Summary View  '!C191)</f>
        <v>0</v>
      </c>
      <c r="F191" s="122">
        <f t="shared" si="0"/>
        <v>7.6</v>
      </c>
      <c r="G191" s="148">
        <f>SUMIFS('XBS '!T:T,'XBS '!H:H,' General Stock Summary View  '!$G$2,'XBS '!L:L,' General Stock Summary View  '!B191,'XBS '!C:C,' General Stock Summary View  '!C191)</f>
        <v>0</v>
      </c>
      <c r="H191" s="3">
        <f>SUMIFS('PowerApp_Physical count'!H:H,'PowerApp_Physical count'!B:B,' General Stock Summary View  '!$G$2,'PowerApp_Physical count'!C:C,' General Stock Summary View  '!C191,'PowerApp_Physical count'!A:A,' General Stock Summary View  '!B191)</f>
        <v>0</v>
      </c>
      <c r="I191" s="154">
        <f t="shared" si="41"/>
        <v>0</v>
      </c>
      <c r="J191" s="11">
        <f>SUMIFS('XBS '!T:T,'XBS '!H:H,' General Stock Summary View  '!$J$2,'XBS '!L:L,' General Stock Summary View  '!B191,'XBS '!C:C,' General Stock Summary View  '!C191)</f>
        <v>0</v>
      </c>
      <c r="K191" s="157">
        <f>SUMIFS('PowerApp_Physical count'!H:H,'PowerApp_Physical count'!B:B,' General Stock Summary View  '!$J$2,'PowerApp_Physical count'!C:C,' General Stock Summary View  '!C191,'PowerApp_Physical count'!A:A,' General Stock Summary View  '!B191)</f>
        <v>0</v>
      </c>
      <c r="L191" s="127">
        <f t="shared" si="15"/>
        <v>0</v>
      </c>
      <c r="M191" s="126">
        <f t="shared" si="2"/>
        <v>0</v>
      </c>
      <c r="N191" s="11">
        <f t="shared" si="3"/>
        <v>0</v>
      </c>
      <c r="O191" s="144">
        <f t="shared" si="10"/>
        <v>0</v>
      </c>
      <c r="P191" s="2">
        <f>SUMIFS('XBS '!T:T,'XBS '!H:H,' General Stock Summary View  '!$P$2,'XBS '!L:L,' General Stock Summary View  '!B191,'XBS '!C:C,' General Stock Summary View  '!C191)</f>
        <v>7.6</v>
      </c>
      <c r="Q191" s="3">
        <f>SUMIFS('PowerApp_Physical count'!H:H,'PowerApp_Physical count'!B:B,' General Stock Summary View  '!$P$2,'PowerApp_Physical count'!C:C,' General Stock Summary View  '!C191,'PowerApp_Physical count'!A:A,' General Stock Summary View  '!B191)</f>
        <v>0</v>
      </c>
      <c r="R191" s="4">
        <f t="shared" si="11"/>
        <v>-7.6</v>
      </c>
      <c r="S191" s="5">
        <f>SUMIFS('XBS '!T:T,'XBS '!L:L,' General Stock Summary View  '!B191,'XBS '!H:H,' General Stock Summary View  '!$S$2,'XBS '!C:C,' General Stock Summary View  '!C191)</f>
        <v>0</v>
      </c>
      <c r="T191" s="3">
        <f>SUMIFS('PowerApp_Physical count'!H:H,'PowerApp_Physical count'!B:B,' General Stock Summary View  '!$S$2,'PowerApp_Physical count'!C:C,' General Stock Summary View  '!C191,'PowerApp_Physical count'!A:A,' General Stock Summary View  '!B191)</f>
        <v>0</v>
      </c>
      <c r="U191" s="4">
        <f t="shared" si="4"/>
        <v>0</v>
      </c>
      <c r="V191" s="2">
        <f>SUMIFS('XBS '!T:T,'XBS '!H:H,' General Stock Summary View  '!$V$2,'XBS '!B:B,' General Stock Summary View  '!C191,'XBS '!L:L,' General Stock Summary View  '!B191)</f>
        <v>0</v>
      </c>
      <c r="W191" s="3">
        <f>SUMIFS('PowerApp_Physical count'!H:H,'PowerApp_Physical count'!B:B,' General Stock Summary View  '!$V$2,'PowerApp_Physical count'!C:C,' General Stock Summary View  '!C191,'PowerApp_Physical count'!A:A,' General Stock Summary View  '!B191)</f>
        <v>0</v>
      </c>
      <c r="X191" s="4">
        <f t="shared" si="12"/>
        <v>0</v>
      </c>
      <c r="Y191" s="5">
        <f>SUMIFS('XBS '!T:T,'XBS '!H:H,' General Stock Summary View  '!$Y$2,'XBS '!B:B,' General Stock Summary View  '!C191,'XBS '!L:L,' General Stock Summary View  '!B191)</f>
        <v>0</v>
      </c>
      <c r="Z191" s="3">
        <f>SUMIFS('PowerApp_Physical count'!H:H,'PowerApp_Physical count'!B:B,' General Stock Summary View  '!$Y$2,'PowerApp_Physical count'!C:C,' General Stock Summary View  '!C191,'PowerApp_Physical count'!A:A,' General Stock Summary View  '!B191)</f>
        <v>0</v>
      </c>
      <c r="AA191" s="4">
        <f t="shared" si="13"/>
        <v>0</v>
      </c>
      <c r="AB191" s="5">
        <f>SUMIFS('XBS '!T:T,'XBS '!H:H,' General Stock Summary View  '!$AB$2,'XBS '!B:B,' General Stock Summary View  '!C191,'XBS '!L:L,' General Stock Summary View  '!B191)</f>
        <v>0</v>
      </c>
      <c r="AC191" s="3">
        <f>SUMIFS('PowerApp_Physical count'!H:H,'PowerApp_Physical count'!B:B,' General Stock Summary View  '!$AB$2,'PowerApp_Physical count'!C:C,' General Stock Summary View  '!C191,'PowerApp_Physical count'!A:A,' General Stock Summary View  '!B191)</f>
        <v>0</v>
      </c>
      <c r="AD191" s="6">
        <f t="shared" si="14"/>
        <v>0</v>
      </c>
      <c r="AE191" s="7">
        <f t="shared" si="8"/>
        <v>0</v>
      </c>
      <c r="AF191" s="8">
        <f t="shared" si="9"/>
        <v>-7.6</v>
      </c>
      <c r="AG191" s="112"/>
    </row>
    <row r="192" spans="2:33" s="113" customFormat="1" ht="61.15">
      <c r="B192" s="117" t="s">
        <v>89</v>
      </c>
      <c r="C192" s="111" t="s">
        <v>197</v>
      </c>
      <c r="D192" s="11">
        <f>SUMIFS('XBS '!T:T,'XBS '!C:C,' General Stock Summary View  '!C192,'XBS '!L:L,' General Stock Summary View  '!B192)</f>
        <v>6.7166666666666668</v>
      </c>
      <c r="E192" s="2">
        <f>SUMIFS('Blocked for Processing'!P:P,'Blocked for Processing'!I:I,' General Stock Summary View  '!B192,'Blocked for Processing'!C:C,' General Stock Summary View  '!C192)</f>
        <v>0</v>
      </c>
      <c r="F192" s="122">
        <f t="shared" si="0"/>
        <v>6.7166666666666668</v>
      </c>
      <c r="G192" s="148">
        <f>SUMIFS('XBS '!T:T,'XBS '!H:H,' General Stock Summary View  '!$G$2,'XBS '!L:L,' General Stock Summary View  '!B192,'XBS '!C:C,' General Stock Summary View  '!C192)</f>
        <v>0</v>
      </c>
      <c r="H192" s="3">
        <f>SUMIFS('PowerApp_Physical count'!H:H,'PowerApp_Physical count'!B:B,' General Stock Summary View  '!$G$2,'PowerApp_Physical count'!C:C,' General Stock Summary View  '!C192,'PowerApp_Physical count'!A:A,' General Stock Summary View  '!B192)</f>
        <v>0</v>
      </c>
      <c r="I192" s="154">
        <f t="shared" si="41"/>
        <v>0</v>
      </c>
      <c r="J192" s="11">
        <f>SUMIFS('XBS '!T:T,'XBS '!H:H,' General Stock Summary View  '!$J$2,'XBS '!L:L,' General Stock Summary View  '!B192,'XBS '!C:C,' General Stock Summary View  '!C192)</f>
        <v>0</v>
      </c>
      <c r="K192" s="157">
        <f>SUMIFS('PowerApp_Physical count'!H:H,'PowerApp_Physical count'!B:B,' General Stock Summary View  '!$J$2,'PowerApp_Physical count'!C:C,' General Stock Summary View  '!C192,'PowerApp_Physical count'!A:A,' General Stock Summary View  '!B192)</f>
        <v>0</v>
      </c>
      <c r="L192" s="127">
        <f t="shared" si="15"/>
        <v>0</v>
      </c>
      <c r="M192" s="126">
        <f t="shared" si="2"/>
        <v>0</v>
      </c>
      <c r="N192" s="11">
        <f t="shared" si="3"/>
        <v>0</v>
      </c>
      <c r="O192" s="144">
        <f t="shared" si="10"/>
        <v>0</v>
      </c>
      <c r="P192" s="2">
        <f>SUMIFS('XBS '!T:T,'XBS '!H:H,' General Stock Summary View  '!$P$2,'XBS '!L:L,' General Stock Summary View  '!B192,'XBS '!C:C,' General Stock Summary View  '!C192)</f>
        <v>6.7166666666666668</v>
      </c>
      <c r="Q192" s="3">
        <f>SUMIFS('PowerApp_Physical count'!H:H,'PowerApp_Physical count'!B:B,' General Stock Summary View  '!$P$2,'PowerApp_Physical count'!C:C,' General Stock Summary View  '!C192,'PowerApp_Physical count'!A:A,' General Stock Summary View  '!B192)</f>
        <v>0</v>
      </c>
      <c r="R192" s="4">
        <f t="shared" si="11"/>
        <v>-6.7166666666666668</v>
      </c>
      <c r="S192" s="5">
        <f>SUMIFS('XBS '!T:T,'XBS '!L:L,' General Stock Summary View  '!B192,'XBS '!H:H,' General Stock Summary View  '!$S$2,'XBS '!C:C,' General Stock Summary View  '!C192)</f>
        <v>0</v>
      </c>
      <c r="T192" s="3">
        <f>SUMIFS('PowerApp_Physical count'!H:H,'PowerApp_Physical count'!B:B,' General Stock Summary View  '!$S$2,'PowerApp_Physical count'!C:C,' General Stock Summary View  '!C192,'PowerApp_Physical count'!A:A,' General Stock Summary View  '!B192)</f>
        <v>0</v>
      </c>
      <c r="U192" s="4">
        <f t="shared" si="4"/>
        <v>0</v>
      </c>
      <c r="V192" s="2">
        <f>SUMIFS('XBS '!T:T,'XBS '!H:H,' General Stock Summary View  '!$V$2,'XBS '!B:B,' General Stock Summary View  '!C192,'XBS '!L:L,' General Stock Summary View  '!B192)</f>
        <v>0</v>
      </c>
      <c r="W192" s="3">
        <f>SUMIFS('PowerApp_Physical count'!H:H,'PowerApp_Physical count'!B:B,' General Stock Summary View  '!$V$2,'PowerApp_Physical count'!C:C,' General Stock Summary View  '!C192,'PowerApp_Physical count'!A:A,' General Stock Summary View  '!B192)</f>
        <v>0</v>
      </c>
      <c r="X192" s="4">
        <f t="shared" si="12"/>
        <v>0</v>
      </c>
      <c r="Y192" s="5">
        <f>SUMIFS('XBS '!T:T,'XBS '!H:H,' General Stock Summary View  '!$Y$2,'XBS '!B:B,' General Stock Summary View  '!C192,'XBS '!L:L,' General Stock Summary View  '!B192)</f>
        <v>0</v>
      </c>
      <c r="Z192" s="3">
        <f>SUMIFS('PowerApp_Physical count'!H:H,'PowerApp_Physical count'!B:B,' General Stock Summary View  '!$Y$2,'PowerApp_Physical count'!C:C,' General Stock Summary View  '!C192,'PowerApp_Physical count'!A:A,' General Stock Summary View  '!B192)</f>
        <v>0</v>
      </c>
      <c r="AA192" s="4">
        <f t="shared" si="13"/>
        <v>0</v>
      </c>
      <c r="AB192" s="5">
        <f>SUMIFS('XBS '!T:T,'XBS '!H:H,' General Stock Summary View  '!$AB$2,'XBS '!B:B,' General Stock Summary View  '!C192,'XBS '!L:L,' General Stock Summary View  '!B192)</f>
        <v>0</v>
      </c>
      <c r="AC192" s="3">
        <f>SUMIFS('PowerApp_Physical count'!H:H,'PowerApp_Physical count'!B:B,' General Stock Summary View  '!$AB$2,'PowerApp_Physical count'!C:C,' General Stock Summary View  '!C192,'PowerApp_Physical count'!A:A,' General Stock Summary View  '!B192)</f>
        <v>0</v>
      </c>
      <c r="AD192" s="6">
        <f t="shared" si="14"/>
        <v>0</v>
      </c>
      <c r="AE192" s="7">
        <f t="shared" si="8"/>
        <v>0</v>
      </c>
      <c r="AF192" s="8">
        <f t="shared" si="9"/>
        <v>-6.7166666666666668</v>
      </c>
      <c r="AG192" s="112"/>
    </row>
    <row r="193" spans="2:33" s="113" customFormat="1" ht="61.15">
      <c r="B193" s="117" t="s">
        <v>90</v>
      </c>
      <c r="C193" s="111" t="s">
        <v>197</v>
      </c>
      <c r="D193" s="11">
        <f>SUMIFS('XBS '!T:T,'XBS '!C:C,' General Stock Summary View  '!C193,'XBS '!L:L,' General Stock Summary View  '!B193)</f>
        <v>17.333333333333332</v>
      </c>
      <c r="E193" s="2">
        <f>SUMIFS('Blocked for Processing'!P:P,'Blocked for Processing'!I:I,' General Stock Summary View  '!B193,'Blocked for Processing'!C:C,' General Stock Summary View  '!C193)</f>
        <v>0</v>
      </c>
      <c r="F193" s="122">
        <f t="shared" si="0"/>
        <v>17.333333333333332</v>
      </c>
      <c r="G193" s="148">
        <f>SUMIFS('XBS '!T:T,'XBS '!H:H,' General Stock Summary View  '!$G$2,'XBS '!L:L,' General Stock Summary View  '!B193,'XBS '!C:C,' General Stock Summary View  '!C193)</f>
        <v>0</v>
      </c>
      <c r="H193" s="3">
        <f>SUMIFS('PowerApp_Physical count'!H:H,'PowerApp_Physical count'!B:B,' General Stock Summary View  '!$G$2,'PowerApp_Physical count'!C:C,' General Stock Summary View  '!C193,'PowerApp_Physical count'!A:A,' General Stock Summary View  '!B193)</f>
        <v>0</v>
      </c>
      <c r="I193" s="154">
        <f t="shared" si="41"/>
        <v>0</v>
      </c>
      <c r="J193" s="11">
        <f>SUMIFS('XBS '!T:T,'XBS '!H:H,' General Stock Summary View  '!$J$2,'XBS '!L:L,' General Stock Summary View  '!B193,'XBS '!C:C,' General Stock Summary View  '!C193)</f>
        <v>0</v>
      </c>
      <c r="K193" s="157">
        <f>SUMIFS('PowerApp_Physical count'!H:H,'PowerApp_Physical count'!B:B,' General Stock Summary View  '!$J$2,'PowerApp_Physical count'!C:C,' General Stock Summary View  '!C193,'PowerApp_Physical count'!A:A,' General Stock Summary View  '!B193)</f>
        <v>0</v>
      </c>
      <c r="L193" s="127">
        <f t="shared" si="15"/>
        <v>0</v>
      </c>
      <c r="M193" s="126">
        <f t="shared" si="2"/>
        <v>0</v>
      </c>
      <c r="N193" s="11">
        <f t="shared" si="3"/>
        <v>0</v>
      </c>
      <c r="O193" s="144">
        <f t="shared" si="10"/>
        <v>0</v>
      </c>
      <c r="P193" s="2">
        <f>SUMIFS('XBS '!T:T,'XBS '!H:H,' General Stock Summary View  '!$P$2,'XBS '!L:L,' General Stock Summary View  '!B193,'XBS '!C:C,' General Stock Summary View  '!C193)</f>
        <v>17.333333333333332</v>
      </c>
      <c r="Q193" s="3">
        <f>SUMIFS('PowerApp_Physical count'!H:H,'PowerApp_Physical count'!B:B,' General Stock Summary View  '!$P$2,'PowerApp_Physical count'!C:C,' General Stock Summary View  '!C193,'PowerApp_Physical count'!A:A,' General Stock Summary View  '!B193)</f>
        <v>0</v>
      </c>
      <c r="R193" s="4">
        <f t="shared" si="11"/>
        <v>-17.333333333333332</v>
      </c>
      <c r="S193" s="5">
        <f>SUMIFS('XBS '!T:T,'XBS '!L:L,' General Stock Summary View  '!B193,'XBS '!H:H,' General Stock Summary View  '!$S$2,'XBS '!C:C,' General Stock Summary View  '!C193)</f>
        <v>0</v>
      </c>
      <c r="T193" s="3">
        <f>SUMIFS('PowerApp_Physical count'!H:H,'PowerApp_Physical count'!B:B,' General Stock Summary View  '!$S$2,'PowerApp_Physical count'!C:C,' General Stock Summary View  '!C193,'PowerApp_Physical count'!A:A,' General Stock Summary View  '!B193)</f>
        <v>0</v>
      </c>
      <c r="U193" s="4">
        <f t="shared" si="4"/>
        <v>0</v>
      </c>
      <c r="V193" s="2">
        <f>SUMIFS('XBS '!T:T,'XBS '!H:H,' General Stock Summary View  '!$V$2,'XBS '!B:B,' General Stock Summary View  '!C193,'XBS '!L:L,' General Stock Summary View  '!B193)</f>
        <v>0</v>
      </c>
      <c r="W193" s="3">
        <f>SUMIFS('PowerApp_Physical count'!H:H,'PowerApp_Physical count'!B:B,' General Stock Summary View  '!$V$2,'PowerApp_Physical count'!C:C,' General Stock Summary View  '!C193,'PowerApp_Physical count'!A:A,' General Stock Summary View  '!B193)</f>
        <v>0</v>
      </c>
      <c r="X193" s="4">
        <f t="shared" si="12"/>
        <v>0</v>
      </c>
      <c r="Y193" s="5">
        <f>SUMIFS('XBS '!T:T,'XBS '!H:H,' General Stock Summary View  '!$Y$2,'XBS '!B:B,' General Stock Summary View  '!C193,'XBS '!L:L,' General Stock Summary View  '!B193)</f>
        <v>0</v>
      </c>
      <c r="Z193" s="3">
        <f>SUMIFS('PowerApp_Physical count'!H:H,'PowerApp_Physical count'!B:B,' General Stock Summary View  '!$Y$2,'PowerApp_Physical count'!C:C,' General Stock Summary View  '!C193,'PowerApp_Physical count'!A:A,' General Stock Summary View  '!B193)</f>
        <v>0</v>
      </c>
      <c r="AA193" s="4">
        <f t="shared" si="13"/>
        <v>0</v>
      </c>
      <c r="AB193" s="5">
        <f>SUMIFS('XBS '!T:T,'XBS '!H:H,' General Stock Summary View  '!$AB$2,'XBS '!B:B,' General Stock Summary View  '!C193,'XBS '!L:L,' General Stock Summary View  '!B193)</f>
        <v>0</v>
      </c>
      <c r="AC193" s="3">
        <f>SUMIFS('PowerApp_Physical count'!H:H,'PowerApp_Physical count'!B:B,' General Stock Summary View  '!$AB$2,'PowerApp_Physical count'!C:C,' General Stock Summary View  '!C193,'PowerApp_Physical count'!A:A,' General Stock Summary View  '!B193)</f>
        <v>0</v>
      </c>
      <c r="AD193" s="6">
        <f t="shared" si="14"/>
        <v>0</v>
      </c>
      <c r="AE193" s="7">
        <f t="shared" si="8"/>
        <v>0</v>
      </c>
      <c r="AF193" s="8">
        <f t="shared" si="9"/>
        <v>-17.333333333333332</v>
      </c>
      <c r="AG193" s="112"/>
    </row>
    <row r="194" spans="2:33" s="113" customFormat="1" ht="61.15">
      <c r="B194" s="117" t="s">
        <v>210</v>
      </c>
      <c r="C194" s="111" t="s">
        <v>197</v>
      </c>
      <c r="D194" s="11">
        <f>SUMIFS('XBS '!T:T,'XBS '!C:C,' General Stock Summary View  '!C194,'XBS '!L:L,' General Stock Summary View  '!B194)</f>
        <v>2.9666666666666668</v>
      </c>
      <c r="E194" s="2">
        <f>SUMIFS('Blocked for Processing'!P:P,'Blocked for Processing'!I:I,' General Stock Summary View  '!B194,'Blocked for Processing'!C:C,' General Stock Summary View  '!C194)</f>
        <v>0</v>
      </c>
      <c r="F194" s="122">
        <f t="shared" si="0"/>
        <v>2.9666666666666668</v>
      </c>
      <c r="G194" s="148">
        <f>SUMIFS('XBS '!T:T,'XBS '!H:H,' General Stock Summary View  '!$G$2,'XBS '!L:L,' General Stock Summary View  '!B194,'XBS '!C:C,' General Stock Summary View  '!C194)</f>
        <v>0</v>
      </c>
      <c r="H194" s="3">
        <f>SUMIFS('PowerApp_Physical count'!H:H,'PowerApp_Physical count'!B:B,' General Stock Summary View  '!$G$2,'PowerApp_Physical count'!C:C,' General Stock Summary View  '!C194,'PowerApp_Physical count'!A:A,' General Stock Summary View  '!B194)</f>
        <v>0</v>
      </c>
      <c r="I194" s="154">
        <f t="shared" si="41"/>
        <v>0</v>
      </c>
      <c r="J194" s="11">
        <f>SUMIFS('XBS '!T:T,'XBS '!H:H,' General Stock Summary View  '!$J$2,'XBS '!L:L,' General Stock Summary View  '!B194,'XBS '!C:C,' General Stock Summary View  '!C194)</f>
        <v>0</v>
      </c>
      <c r="K194" s="157">
        <f>SUMIFS('PowerApp_Physical count'!H:H,'PowerApp_Physical count'!B:B,' General Stock Summary View  '!$J$2,'PowerApp_Physical count'!C:C,' General Stock Summary View  '!C194,'PowerApp_Physical count'!A:A,' General Stock Summary View  '!B194)</f>
        <v>0</v>
      </c>
      <c r="L194" s="127">
        <f t="shared" si="15"/>
        <v>0</v>
      </c>
      <c r="M194" s="126">
        <f t="shared" si="2"/>
        <v>0</v>
      </c>
      <c r="N194" s="11">
        <f t="shared" si="3"/>
        <v>0</v>
      </c>
      <c r="O194" s="144">
        <f t="shared" si="10"/>
        <v>0</v>
      </c>
      <c r="P194" s="2">
        <f>SUMIFS('XBS '!T:T,'XBS '!H:H,' General Stock Summary View  '!$P$2,'XBS '!L:L,' General Stock Summary View  '!B194,'XBS '!C:C,' General Stock Summary View  '!C194)</f>
        <v>2.9666666666666668</v>
      </c>
      <c r="Q194" s="3">
        <f>SUMIFS('PowerApp_Physical count'!H:H,'PowerApp_Physical count'!B:B,' General Stock Summary View  '!$P$2,'PowerApp_Physical count'!C:C,' General Stock Summary View  '!C194,'PowerApp_Physical count'!A:A,' General Stock Summary View  '!B194)</f>
        <v>0</v>
      </c>
      <c r="R194" s="4">
        <f t="shared" si="11"/>
        <v>-2.9666666666666668</v>
      </c>
      <c r="S194" s="5">
        <f>SUMIFS('XBS '!T:T,'XBS '!L:L,' General Stock Summary View  '!B194,'XBS '!H:H,' General Stock Summary View  '!$S$2,'XBS '!C:C,' General Stock Summary View  '!C194)</f>
        <v>0</v>
      </c>
      <c r="T194" s="3">
        <f>SUMIFS('PowerApp_Physical count'!H:H,'PowerApp_Physical count'!B:B,' General Stock Summary View  '!$S$2,'PowerApp_Physical count'!C:C,' General Stock Summary View  '!C194,'PowerApp_Physical count'!A:A,' General Stock Summary View  '!B194)</f>
        <v>0</v>
      </c>
      <c r="U194" s="4">
        <f t="shared" si="4"/>
        <v>0</v>
      </c>
      <c r="V194" s="2">
        <f>SUMIFS('XBS '!T:T,'XBS '!H:H,' General Stock Summary View  '!$V$2,'XBS '!B:B,' General Stock Summary View  '!C194,'XBS '!L:L,' General Stock Summary View  '!B194)</f>
        <v>0</v>
      </c>
      <c r="W194" s="3">
        <f>SUMIFS('PowerApp_Physical count'!H:H,'PowerApp_Physical count'!B:B,' General Stock Summary View  '!$V$2,'PowerApp_Physical count'!C:C,' General Stock Summary View  '!C194,'PowerApp_Physical count'!A:A,' General Stock Summary View  '!B194)</f>
        <v>0</v>
      </c>
      <c r="X194" s="4">
        <f t="shared" si="12"/>
        <v>0</v>
      </c>
      <c r="Y194" s="5">
        <f>SUMIFS('XBS '!T:T,'XBS '!H:H,' General Stock Summary View  '!$Y$2,'XBS '!B:B,' General Stock Summary View  '!C194,'XBS '!L:L,' General Stock Summary View  '!B194)</f>
        <v>0</v>
      </c>
      <c r="Z194" s="3">
        <f>SUMIFS('PowerApp_Physical count'!H:H,'PowerApp_Physical count'!B:B,' General Stock Summary View  '!$Y$2,'PowerApp_Physical count'!C:C,' General Stock Summary View  '!C194,'PowerApp_Physical count'!A:A,' General Stock Summary View  '!B194)</f>
        <v>0</v>
      </c>
      <c r="AA194" s="4">
        <f t="shared" si="13"/>
        <v>0</v>
      </c>
      <c r="AB194" s="5">
        <f>SUMIFS('XBS '!T:T,'XBS '!H:H,' General Stock Summary View  '!$AB$2,'XBS '!B:B,' General Stock Summary View  '!C194,'XBS '!L:L,' General Stock Summary View  '!B194)</f>
        <v>0</v>
      </c>
      <c r="AC194" s="3">
        <f>SUMIFS('PowerApp_Physical count'!H:H,'PowerApp_Physical count'!B:B,' General Stock Summary View  '!$AB$2,'PowerApp_Physical count'!C:C,' General Stock Summary View  '!C194,'PowerApp_Physical count'!A:A,' General Stock Summary View  '!B194)</f>
        <v>0</v>
      </c>
      <c r="AD194" s="6">
        <f t="shared" si="14"/>
        <v>0</v>
      </c>
      <c r="AE194" s="7">
        <f t="shared" si="8"/>
        <v>0</v>
      </c>
      <c r="AF194" s="8">
        <f t="shared" si="9"/>
        <v>-2.9666666666666668</v>
      </c>
      <c r="AG194" s="112"/>
    </row>
    <row r="195" spans="2:33" s="113" customFormat="1" ht="61.15">
      <c r="B195" s="117" t="s">
        <v>211</v>
      </c>
      <c r="C195" s="111" t="s">
        <v>197</v>
      </c>
      <c r="D195" s="11">
        <f>SUMIFS('XBS '!T:T,'XBS '!C:C,' General Stock Summary View  '!C195,'XBS '!L:L,' General Stock Summary View  '!B195)</f>
        <v>3.5166666666666666</v>
      </c>
      <c r="E195" s="2">
        <f>SUMIFS('Blocked for Processing'!P:P,'Blocked for Processing'!I:I,' General Stock Summary View  '!B195,'Blocked for Processing'!C:C,' General Stock Summary View  '!C195)</f>
        <v>0</v>
      </c>
      <c r="F195" s="122">
        <f t="shared" si="0"/>
        <v>3.5166666666666666</v>
      </c>
      <c r="G195" s="148">
        <f>SUMIFS('XBS '!T:T,'XBS '!H:H,' General Stock Summary View  '!$G$2,'XBS '!L:L,' General Stock Summary View  '!B195,'XBS '!C:C,' General Stock Summary View  '!C195)</f>
        <v>0</v>
      </c>
      <c r="H195" s="3">
        <f>SUMIFS('PowerApp_Physical count'!H:H,'PowerApp_Physical count'!B:B,' General Stock Summary View  '!$G$2,'PowerApp_Physical count'!C:C,' General Stock Summary View  '!C195,'PowerApp_Physical count'!A:A,' General Stock Summary View  '!B195)</f>
        <v>0</v>
      </c>
      <c r="I195" s="154">
        <f t="shared" si="41"/>
        <v>0</v>
      </c>
      <c r="J195" s="11">
        <f>SUMIFS('XBS '!T:T,'XBS '!H:H,' General Stock Summary View  '!$J$2,'XBS '!L:L,' General Stock Summary View  '!B195,'XBS '!C:C,' General Stock Summary View  '!C195)</f>
        <v>0</v>
      </c>
      <c r="K195" s="157">
        <f>SUMIFS('PowerApp_Physical count'!H:H,'PowerApp_Physical count'!B:B,' General Stock Summary View  '!$J$2,'PowerApp_Physical count'!C:C,' General Stock Summary View  '!C195,'PowerApp_Physical count'!A:A,' General Stock Summary View  '!B195)</f>
        <v>0</v>
      </c>
      <c r="L195" s="127">
        <f t="shared" si="15"/>
        <v>0</v>
      </c>
      <c r="M195" s="126">
        <f t="shared" si="2"/>
        <v>0</v>
      </c>
      <c r="N195" s="11">
        <f t="shared" si="3"/>
        <v>0</v>
      </c>
      <c r="O195" s="144">
        <f t="shared" si="10"/>
        <v>0</v>
      </c>
      <c r="P195" s="2">
        <f>SUMIFS('XBS '!T:T,'XBS '!H:H,' General Stock Summary View  '!$P$2,'XBS '!L:L,' General Stock Summary View  '!B195,'XBS '!C:C,' General Stock Summary View  '!C195)</f>
        <v>3.5166666666666666</v>
      </c>
      <c r="Q195" s="3">
        <f>SUMIFS('PowerApp_Physical count'!H:H,'PowerApp_Physical count'!B:B,' General Stock Summary View  '!$P$2,'PowerApp_Physical count'!C:C,' General Stock Summary View  '!C195,'PowerApp_Physical count'!A:A,' General Stock Summary View  '!B195)</f>
        <v>0</v>
      </c>
      <c r="R195" s="4">
        <f t="shared" si="11"/>
        <v>-3.5166666666666666</v>
      </c>
      <c r="S195" s="5">
        <f>SUMIFS('XBS '!T:T,'XBS '!L:L,' General Stock Summary View  '!B195,'XBS '!H:H,' General Stock Summary View  '!$S$2,'XBS '!C:C,' General Stock Summary View  '!C195)</f>
        <v>0</v>
      </c>
      <c r="T195" s="3">
        <f>SUMIFS('PowerApp_Physical count'!H:H,'PowerApp_Physical count'!B:B,' General Stock Summary View  '!$S$2,'PowerApp_Physical count'!C:C,' General Stock Summary View  '!C195,'PowerApp_Physical count'!A:A,' General Stock Summary View  '!B195)</f>
        <v>0</v>
      </c>
      <c r="U195" s="4">
        <f t="shared" si="4"/>
        <v>0</v>
      </c>
      <c r="V195" s="2">
        <f>SUMIFS('XBS '!T:T,'XBS '!H:H,' General Stock Summary View  '!$V$2,'XBS '!B:B,' General Stock Summary View  '!C195,'XBS '!L:L,' General Stock Summary View  '!B195)</f>
        <v>0</v>
      </c>
      <c r="W195" s="3">
        <f>SUMIFS('PowerApp_Physical count'!H:H,'PowerApp_Physical count'!B:B,' General Stock Summary View  '!$V$2,'PowerApp_Physical count'!C:C,' General Stock Summary View  '!C195,'PowerApp_Physical count'!A:A,' General Stock Summary View  '!B195)</f>
        <v>0</v>
      </c>
      <c r="X195" s="4">
        <f t="shared" si="12"/>
        <v>0</v>
      </c>
      <c r="Y195" s="5">
        <f>SUMIFS('XBS '!T:T,'XBS '!H:H,' General Stock Summary View  '!$Y$2,'XBS '!B:B,' General Stock Summary View  '!C195,'XBS '!L:L,' General Stock Summary View  '!B195)</f>
        <v>0</v>
      </c>
      <c r="Z195" s="3">
        <f>SUMIFS('PowerApp_Physical count'!H:H,'PowerApp_Physical count'!B:B,' General Stock Summary View  '!$Y$2,'PowerApp_Physical count'!C:C,' General Stock Summary View  '!C195,'PowerApp_Physical count'!A:A,' General Stock Summary View  '!B195)</f>
        <v>0</v>
      </c>
      <c r="AA195" s="4">
        <f t="shared" si="13"/>
        <v>0</v>
      </c>
      <c r="AB195" s="5">
        <f>SUMIFS('XBS '!T:T,'XBS '!H:H,' General Stock Summary View  '!$AB$2,'XBS '!B:B,' General Stock Summary View  '!C195,'XBS '!L:L,' General Stock Summary View  '!B195)</f>
        <v>0</v>
      </c>
      <c r="AC195" s="3">
        <f>SUMIFS('PowerApp_Physical count'!H:H,'PowerApp_Physical count'!B:B,' General Stock Summary View  '!$AB$2,'PowerApp_Physical count'!C:C,' General Stock Summary View  '!C195,'PowerApp_Physical count'!A:A,' General Stock Summary View  '!B195)</f>
        <v>0</v>
      </c>
      <c r="AD195" s="6">
        <f t="shared" si="14"/>
        <v>0</v>
      </c>
      <c r="AE195" s="7">
        <f t="shared" si="8"/>
        <v>0</v>
      </c>
      <c r="AF195" s="8">
        <f t="shared" si="9"/>
        <v>-3.5166666666666666</v>
      </c>
      <c r="AG195" s="112"/>
    </row>
    <row r="196" spans="2:33" s="113" customFormat="1" ht="61.15">
      <c r="B196" s="117" t="s">
        <v>212</v>
      </c>
      <c r="C196" s="111" t="s">
        <v>197</v>
      </c>
      <c r="D196" s="11">
        <f>SUMIFS('XBS '!T:T,'XBS '!C:C,' General Stock Summary View  '!C196,'XBS '!L:L,' General Stock Summary View  '!B196)</f>
        <v>66</v>
      </c>
      <c r="E196" s="2">
        <f>SUMIFS('Blocked for Processing'!P:P,'Blocked for Processing'!I:I,' General Stock Summary View  '!B196,'Blocked for Processing'!C:C,' General Stock Summary View  '!C196)</f>
        <v>0</v>
      </c>
      <c r="F196" s="122">
        <f t="shared" si="0"/>
        <v>66</v>
      </c>
      <c r="G196" s="148">
        <f>SUMIFS('XBS '!T:T,'XBS '!H:H,' General Stock Summary View  '!$G$2,'XBS '!L:L,' General Stock Summary View  '!B196,'XBS '!C:C,' General Stock Summary View  '!C196)</f>
        <v>0</v>
      </c>
      <c r="H196" s="3">
        <f>SUMIFS('PowerApp_Physical count'!H:H,'PowerApp_Physical count'!B:B,' General Stock Summary View  '!$G$2,'PowerApp_Physical count'!C:C,' General Stock Summary View  '!C196,'PowerApp_Physical count'!A:A,' General Stock Summary View  '!B196)</f>
        <v>0</v>
      </c>
      <c r="I196" s="154">
        <f t="shared" si="41"/>
        <v>0</v>
      </c>
      <c r="J196" s="11">
        <f>SUMIFS('XBS '!T:T,'XBS '!H:H,' General Stock Summary View  '!$J$2,'XBS '!L:L,' General Stock Summary View  '!B196,'XBS '!C:C,' General Stock Summary View  '!C196)</f>
        <v>0</v>
      </c>
      <c r="K196" s="157">
        <f>SUMIFS('PowerApp_Physical count'!H:H,'PowerApp_Physical count'!B:B,' General Stock Summary View  '!$J$2,'PowerApp_Physical count'!C:C,' General Stock Summary View  '!C196,'PowerApp_Physical count'!A:A,' General Stock Summary View  '!B196)</f>
        <v>0</v>
      </c>
      <c r="L196" s="127">
        <f t="shared" si="15"/>
        <v>0</v>
      </c>
      <c r="M196" s="126">
        <f t="shared" si="2"/>
        <v>0</v>
      </c>
      <c r="N196" s="11">
        <f t="shared" si="3"/>
        <v>0</v>
      </c>
      <c r="O196" s="144">
        <f t="shared" si="10"/>
        <v>0</v>
      </c>
      <c r="P196" s="2">
        <f>SUMIFS('XBS '!T:T,'XBS '!H:H,' General Stock Summary View  '!$P$2,'XBS '!L:L,' General Stock Summary View  '!B196,'XBS '!C:C,' General Stock Summary View  '!C196)</f>
        <v>66</v>
      </c>
      <c r="Q196" s="3">
        <f>SUMIFS('PowerApp_Physical count'!H:H,'PowerApp_Physical count'!B:B,' General Stock Summary View  '!$P$2,'PowerApp_Physical count'!C:C,' General Stock Summary View  '!C196,'PowerApp_Physical count'!A:A,' General Stock Summary View  '!B196)</f>
        <v>0</v>
      </c>
      <c r="R196" s="4">
        <f t="shared" si="11"/>
        <v>-66</v>
      </c>
      <c r="S196" s="5">
        <f>SUMIFS('XBS '!T:T,'XBS '!L:L,' General Stock Summary View  '!B196,'XBS '!H:H,' General Stock Summary View  '!$S$2,'XBS '!C:C,' General Stock Summary View  '!C196)</f>
        <v>0</v>
      </c>
      <c r="T196" s="3">
        <f>SUMIFS('PowerApp_Physical count'!H:H,'PowerApp_Physical count'!B:B,' General Stock Summary View  '!$S$2,'PowerApp_Physical count'!C:C,' General Stock Summary View  '!C196,'PowerApp_Physical count'!A:A,' General Stock Summary View  '!B196)</f>
        <v>0</v>
      </c>
      <c r="U196" s="4">
        <f t="shared" si="4"/>
        <v>0</v>
      </c>
      <c r="V196" s="2">
        <f>SUMIFS('XBS '!T:T,'XBS '!H:H,' General Stock Summary View  '!$V$2,'XBS '!B:B,' General Stock Summary View  '!C196,'XBS '!L:L,' General Stock Summary View  '!B196)</f>
        <v>0</v>
      </c>
      <c r="W196" s="3">
        <f>SUMIFS('PowerApp_Physical count'!H:H,'PowerApp_Physical count'!B:B,' General Stock Summary View  '!$V$2,'PowerApp_Physical count'!C:C,' General Stock Summary View  '!C196,'PowerApp_Physical count'!A:A,' General Stock Summary View  '!B196)</f>
        <v>0</v>
      </c>
      <c r="X196" s="4">
        <f t="shared" si="12"/>
        <v>0</v>
      </c>
      <c r="Y196" s="5">
        <f>SUMIFS('XBS '!T:T,'XBS '!H:H,' General Stock Summary View  '!$Y$2,'XBS '!B:B,' General Stock Summary View  '!C196,'XBS '!L:L,' General Stock Summary View  '!B196)</f>
        <v>0</v>
      </c>
      <c r="Z196" s="3">
        <f>SUMIFS('PowerApp_Physical count'!H:H,'PowerApp_Physical count'!B:B,' General Stock Summary View  '!$Y$2,'PowerApp_Physical count'!C:C,' General Stock Summary View  '!C196,'PowerApp_Physical count'!A:A,' General Stock Summary View  '!B196)</f>
        <v>0</v>
      </c>
      <c r="AA196" s="4">
        <f t="shared" si="13"/>
        <v>0</v>
      </c>
      <c r="AB196" s="5">
        <f>SUMIFS('XBS '!T:T,'XBS '!H:H,' General Stock Summary View  '!$AB$2,'XBS '!B:B,' General Stock Summary View  '!C196,'XBS '!L:L,' General Stock Summary View  '!B196)</f>
        <v>0</v>
      </c>
      <c r="AC196" s="3">
        <f>SUMIFS('PowerApp_Physical count'!H:H,'PowerApp_Physical count'!B:B,' General Stock Summary View  '!$AB$2,'PowerApp_Physical count'!C:C,' General Stock Summary View  '!C196,'PowerApp_Physical count'!A:A,' General Stock Summary View  '!B196)</f>
        <v>0</v>
      </c>
      <c r="AD196" s="6">
        <f t="shared" si="14"/>
        <v>0</v>
      </c>
      <c r="AE196" s="7">
        <f t="shared" si="8"/>
        <v>0</v>
      </c>
      <c r="AF196" s="8">
        <f t="shared" si="9"/>
        <v>-66</v>
      </c>
      <c r="AG196" s="112"/>
    </row>
    <row r="197" spans="2:33" s="113" customFormat="1" ht="61.15">
      <c r="B197" s="117" t="s">
        <v>52</v>
      </c>
      <c r="C197" s="111" t="s">
        <v>197</v>
      </c>
      <c r="D197" s="11">
        <f>SUMIFS('XBS '!T:T,'XBS '!C:C,' General Stock Summary View  '!C197,'XBS '!L:L,' General Stock Summary View  '!B197)</f>
        <v>18.215</v>
      </c>
      <c r="E197" s="2">
        <f>SUMIFS('Blocked for Processing'!P:P,'Blocked for Processing'!I:I,' General Stock Summary View  '!B197,'Blocked for Processing'!C:C,' General Stock Summary View  '!C197)</f>
        <v>0</v>
      </c>
      <c r="F197" s="122">
        <f t="shared" si="0"/>
        <v>18.215</v>
      </c>
      <c r="G197" s="148">
        <f>SUMIFS('XBS '!T:T,'XBS '!H:H,' General Stock Summary View  '!$G$2,'XBS '!L:L,' General Stock Summary View  '!B197,'XBS '!C:C,' General Stock Summary View  '!C197)</f>
        <v>18.215</v>
      </c>
      <c r="H197" s="3">
        <f>SUMIFS('PowerApp_Physical count'!H:H,'PowerApp_Physical count'!B:B,' General Stock Summary View  '!$G$2,'PowerApp_Physical count'!C:C,' General Stock Summary View  '!C197,'PowerApp_Physical count'!A:A,' General Stock Summary View  '!B197)</f>
        <v>18.266666666666666</v>
      </c>
      <c r="I197" s="154">
        <f t="shared" si="41"/>
        <v>5.1666666666665861E-2</v>
      </c>
      <c r="J197" s="11">
        <f>SUMIFS('XBS '!T:T,'XBS '!H:H,' General Stock Summary View  '!$J$2,'XBS '!L:L,' General Stock Summary View  '!B197,'XBS '!C:C,' General Stock Summary View  '!C197)</f>
        <v>0</v>
      </c>
      <c r="K197" s="157">
        <f>SUMIFS('PowerApp_Physical count'!H:H,'PowerApp_Physical count'!B:B,' General Stock Summary View  '!$J$2,'PowerApp_Physical count'!C:C,' General Stock Summary View  '!C197,'PowerApp_Physical count'!A:A,' General Stock Summary View  '!B197)</f>
        <v>0</v>
      </c>
      <c r="L197" s="127">
        <f t="shared" si="15"/>
        <v>0</v>
      </c>
      <c r="M197" s="126">
        <f t="shared" si="2"/>
        <v>18.215</v>
      </c>
      <c r="N197" s="11">
        <f t="shared" si="3"/>
        <v>18.266666666666666</v>
      </c>
      <c r="O197" s="144">
        <f t="shared" si="10"/>
        <v>5.1666666666665861E-2</v>
      </c>
      <c r="P197" s="2">
        <f>SUMIFS('XBS '!T:T,'XBS '!H:H,' General Stock Summary View  '!$P$2,'XBS '!L:L,' General Stock Summary View  '!B197,'XBS '!C:C,' General Stock Summary View  '!C197)</f>
        <v>0</v>
      </c>
      <c r="Q197" s="3">
        <f>SUMIFS('PowerApp_Physical count'!H:H,'PowerApp_Physical count'!B:B,' General Stock Summary View  '!$P$2,'PowerApp_Physical count'!C:C,' General Stock Summary View  '!C197,'PowerApp_Physical count'!A:A,' General Stock Summary View  '!B197)</f>
        <v>0</v>
      </c>
      <c r="R197" s="4">
        <f t="shared" si="11"/>
        <v>0</v>
      </c>
      <c r="S197" s="5">
        <f>SUMIFS('XBS '!T:T,'XBS '!L:L,' General Stock Summary View  '!B197,'XBS '!H:H,' General Stock Summary View  '!$S$2,'XBS '!C:C,' General Stock Summary View  '!C197)</f>
        <v>0</v>
      </c>
      <c r="T197" s="3">
        <f>SUMIFS('PowerApp_Physical count'!H:H,'PowerApp_Physical count'!B:B,' General Stock Summary View  '!$S$2,'PowerApp_Physical count'!C:C,' General Stock Summary View  '!C197,'PowerApp_Physical count'!A:A,' General Stock Summary View  '!B197)</f>
        <v>0</v>
      </c>
      <c r="U197" s="4">
        <f t="shared" si="4"/>
        <v>0</v>
      </c>
      <c r="V197" s="2">
        <f>SUMIFS('XBS '!T:T,'XBS '!H:H,' General Stock Summary View  '!$V$2,'XBS '!B:B,' General Stock Summary View  '!C197,'XBS '!L:L,' General Stock Summary View  '!B197)</f>
        <v>0</v>
      </c>
      <c r="W197" s="3">
        <f>SUMIFS('PowerApp_Physical count'!H:H,'PowerApp_Physical count'!B:B,' General Stock Summary View  '!$V$2,'PowerApp_Physical count'!C:C,' General Stock Summary View  '!C197,'PowerApp_Physical count'!A:A,' General Stock Summary View  '!B197)</f>
        <v>0</v>
      </c>
      <c r="X197" s="4">
        <f t="shared" si="12"/>
        <v>0</v>
      </c>
      <c r="Y197" s="5">
        <f>SUMIFS('XBS '!T:T,'XBS '!H:H,' General Stock Summary View  '!$Y$2,'XBS '!B:B,' General Stock Summary View  '!C197,'XBS '!L:L,' General Stock Summary View  '!B197)</f>
        <v>0</v>
      </c>
      <c r="Z197" s="3">
        <f>SUMIFS('PowerApp_Physical count'!H:H,'PowerApp_Physical count'!B:B,' General Stock Summary View  '!$Y$2,'PowerApp_Physical count'!C:C,' General Stock Summary View  '!C197,'PowerApp_Physical count'!A:A,' General Stock Summary View  '!B197)</f>
        <v>0</v>
      </c>
      <c r="AA197" s="4">
        <f t="shared" si="13"/>
        <v>0</v>
      </c>
      <c r="AB197" s="5">
        <f>SUMIFS('XBS '!T:T,'XBS '!H:H,' General Stock Summary View  '!$AB$2,'XBS '!B:B,' General Stock Summary View  '!C197,'XBS '!L:L,' General Stock Summary View  '!B197)</f>
        <v>0</v>
      </c>
      <c r="AC197" s="3">
        <f>SUMIFS('PowerApp_Physical count'!H:H,'PowerApp_Physical count'!B:B,' General Stock Summary View  '!$AB$2,'PowerApp_Physical count'!C:C,' General Stock Summary View  '!C197,'PowerApp_Physical count'!A:A,' General Stock Summary View  '!B197)</f>
        <v>0</v>
      </c>
      <c r="AD197" s="6">
        <f t="shared" si="14"/>
        <v>0</v>
      </c>
      <c r="AE197" s="7">
        <f t="shared" si="8"/>
        <v>18.266666666666666</v>
      </c>
      <c r="AF197" s="8">
        <f t="shared" si="9"/>
        <v>5.1666666666665861E-2</v>
      </c>
      <c r="AG197" s="112"/>
    </row>
    <row r="198" spans="2:33" s="113" customFormat="1" ht="61.15">
      <c r="B198" s="117" t="s">
        <v>39</v>
      </c>
      <c r="C198" s="111" t="s">
        <v>197</v>
      </c>
      <c r="D198" s="11">
        <f>SUMIFS('XBS '!T:T,'XBS '!C:C,' General Stock Summary View  '!C198,'XBS '!L:L,' General Stock Summary View  '!B198)</f>
        <v>27.263333333333332</v>
      </c>
      <c r="E198" s="2">
        <f>SUMIFS('Blocked for Processing'!P:P,'Blocked for Processing'!I:I,' General Stock Summary View  '!B198,'Blocked for Processing'!C:C,' General Stock Summary View  '!C198)</f>
        <v>0</v>
      </c>
      <c r="F198" s="122">
        <f t="shared" si="0"/>
        <v>27.263333333333332</v>
      </c>
      <c r="G198" s="148">
        <f>SUMIFS('XBS '!T:T,'XBS '!H:H,' General Stock Summary View  '!$G$2,'XBS '!L:L,' General Stock Summary View  '!B198,'XBS '!C:C,' General Stock Summary View  '!C198)</f>
        <v>27.263333333333332</v>
      </c>
      <c r="H198" s="3">
        <f>SUMIFS('PowerApp_Physical count'!H:H,'PowerApp_Physical count'!B:B,' General Stock Summary View  '!$G$2,'PowerApp_Physical count'!C:C,' General Stock Summary View  '!C198,'PowerApp_Physical count'!A:A,' General Stock Summary View  '!B198)</f>
        <v>27.366666666666667</v>
      </c>
      <c r="I198" s="154">
        <f t="shared" si="41"/>
        <v>0.10333333333333528</v>
      </c>
      <c r="J198" s="11">
        <f>SUMIFS('XBS '!T:T,'XBS '!H:H,' General Stock Summary View  '!$J$2,'XBS '!L:L,' General Stock Summary View  '!B198,'XBS '!C:C,' General Stock Summary View  '!C198)</f>
        <v>0</v>
      </c>
      <c r="K198" s="157">
        <f>SUMIFS('PowerApp_Physical count'!H:H,'PowerApp_Physical count'!B:B,' General Stock Summary View  '!$J$2,'PowerApp_Physical count'!C:C,' General Stock Summary View  '!C198,'PowerApp_Physical count'!A:A,' General Stock Summary View  '!B198)</f>
        <v>0</v>
      </c>
      <c r="L198" s="127">
        <f t="shared" si="15"/>
        <v>0</v>
      </c>
      <c r="M198" s="126">
        <f t="shared" si="2"/>
        <v>27.263333333333332</v>
      </c>
      <c r="N198" s="11">
        <f t="shared" si="3"/>
        <v>27.366666666666667</v>
      </c>
      <c r="O198" s="144">
        <f t="shared" si="10"/>
        <v>0.10333333333333528</v>
      </c>
      <c r="P198" s="2">
        <f>SUMIFS('XBS '!T:T,'XBS '!H:H,' General Stock Summary View  '!$P$2,'XBS '!L:L,' General Stock Summary View  '!B198,'XBS '!C:C,' General Stock Summary View  '!C198)</f>
        <v>0</v>
      </c>
      <c r="Q198" s="3">
        <f>SUMIFS('PowerApp_Physical count'!H:H,'PowerApp_Physical count'!B:B,' General Stock Summary View  '!$P$2,'PowerApp_Physical count'!C:C,' General Stock Summary View  '!C198,'PowerApp_Physical count'!A:A,' General Stock Summary View  '!B198)</f>
        <v>0</v>
      </c>
      <c r="R198" s="4">
        <f t="shared" si="11"/>
        <v>0</v>
      </c>
      <c r="S198" s="5">
        <f>SUMIFS('XBS '!T:T,'XBS '!L:L,' General Stock Summary View  '!B198,'XBS '!H:H,' General Stock Summary View  '!$S$2,'XBS '!C:C,' General Stock Summary View  '!C198)</f>
        <v>0</v>
      </c>
      <c r="T198" s="3">
        <f>SUMIFS('PowerApp_Physical count'!H:H,'PowerApp_Physical count'!B:B,' General Stock Summary View  '!$S$2,'PowerApp_Physical count'!C:C,' General Stock Summary View  '!C198,'PowerApp_Physical count'!A:A,' General Stock Summary View  '!B198)</f>
        <v>0</v>
      </c>
      <c r="U198" s="4">
        <f t="shared" si="4"/>
        <v>0</v>
      </c>
      <c r="V198" s="2">
        <f>SUMIFS('XBS '!T:T,'XBS '!H:H,' General Stock Summary View  '!$V$2,'XBS '!B:B,' General Stock Summary View  '!C198,'XBS '!L:L,' General Stock Summary View  '!B198)</f>
        <v>0</v>
      </c>
      <c r="W198" s="3">
        <f>SUMIFS('PowerApp_Physical count'!H:H,'PowerApp_Physical count'!B:B,' General Stock Summary View  '!$V$2,'PowerApp_Physical count'!C:C,' General Stock Summary View  '!C198,'PowerApp_Physical count'!A:A,' General Stock Summary View  '!B198)</f>
        <v>0</v>
      </c>
      <c r="X198" s="4">
        <f t="shared" si="12"/>
        <v>0</v>
      </c>
      <c r="Y198" s="5">
        <f>SUMIFS('XBS '!T:T,'XBS '!H:H,' General Stock Summary View  '!$Y$2,'XBS '!B:B,' General Stock Summary View  '!C198,'XBS '!L:L,' General Stock Summary View  '!B198)</f>
        <v>0</v>
      </c>
      <c r="Z198" s="3">
        <f>SUMIFS('PowerApp_Physical count'!H:H,'PowerApp_Physical count'!B:B,' General Stock Summary View  '!$Y$2,'PowerApp_Physical count'!C:C,' General Stock Summary View  '!C198,'PowerApp_Physical count'!A:A,' General Stock Summary View  '!B198)</f>
        <v>0</v>
      </c>
      <c r="AA198" s="4">
        <f t="shared" si="13"/>
        <v>0</v>
      </c>
      <c r="AB198" s="5">
        <f>SUMIFS('XBS '!T:T,'XBS '!H:H,' General Stock Summary View  '!$AB$2,'XBS '!B:B,' General Stock Summary View  '!C198,'XBS '!L:L,' General Stock Summary View  '!B198)</f>
        <v>0</v>
      </c>
      <c r="AC198" s="3">
        <f>SUMIFS('PowerApp_Physical count'!H:H,'PowerApp_Physical count'!B:B,' General Stock Summary View  '!$AB$2,'PowerApp_Physical count'!C:C,' General Stock Summary View  '!C198,'PowerApp_Physical count'!A:A,' General Stock Summary View  '!B198)</f>
        <v>0</v>
      </c>
      <c r="AD198" s="6">
        <f t="shared" si="14"/>
        <v>0</v>
      </c>
      <c r="AE198" s="7">
        <f t="shared" si="8"/>
        <v>27.366666666666667</v>
      </c>
      <c r="AF198" s="8">
        <f t="shared" si="9"/>
        <v>0.10333333333333528</v>
      </c>
      <c r="AG198" s="112"/>
    </row>
    <row r="199" spans="2:33" s="113" customFormat="1" ht="61.15">
      <c r="B199" s="117" t="s">
        <v>38</v>
      </c>
      <c r="C199" s="111" t="s">
        <v>197</v>
      </c>
      <c r="D199" s="11">
        <f>SUMIFS('XBS '!T:T,'XBS '!C:C,' General Stock Summary View  '!C199,'XBS '!L:L,' General Stock Summary View  '!B199)</f>
        <v>21.303333333333335</v>
      </c>
      <c r="E199" s="2">
        <f>SUMIFS('Blocked for Processing'!P:P,'Blocked for Processing'!I:I,' General Stock Summary View  '!B199,'Blocked for Processing'!C:C,' General Stock Summary View  '!C199)</f>
        <v>0</v>
      </c>
      <c r="F199" s="122">
        <f t="shared" si="0"/>
        <v>21.303333333333335</v>
      </c>
      <c r="G199" s="148">
        <f>SUMIFS('XBS '!T:T,'XBS '!H:H,' General Stock Summary View  '!$G$2,'XBS '!L:L,' General Stock Summary View  '!B199,'XBS '!C:C,' General Stock Summary View  '!C199)</f>
        <v>21.303333333333335</v>
      </c>
      <c r="H199" s="3">
        <f>SUMIFS('PowerApp_Physical count'!H:H,'PowerApp_Physical count'!B:B,' General Stock Summary View  '!$G$2,'PowerApp_Physical count'!C:C,' General Stock Summary View  '!C199,'PowerApp_Physical count'!A:A,' General Stock Summary View  '!B199)</f>
        <v>21.366666666666667</v>
      </c>
      <c r="I199" s="154">
        <f t="shared" si="41"/>
        <v>6.3333333333332575E-2</v>
      </c>
      <c r="J199" s="11">
        <f>SUMIFS('XBS '!T:T,'XBS '!H:H,' General Stock Summary View  '!$J$2,'XBS '!L:L,' General Stock Summary View  '!B199,'XBS '!C:C,' General Stock Summary View  '!C199)</f>
        <v>0</v>
      </c>
      <c r="K199" s="157">
        <f>SUMIFS('PowerApp_Physical count'!H:H,'PowerApp_Physical count'!B:B,' General Stock Summary View  '!$J$2,'PowerApp_Physical count'!C:C,' General Stock Summary View  '!C199,'PowerApp_Physical count'!A:A,' General Stock Summary View  '!B199)</f>
        <v>0</v>
      </c>
      <c r="L199" s="127">
        <f t="shared" si="15"/>
        <v>0</v>
      </c>
      <c r="M199" s="126">
        <f t="shared" si="2"/>
        <v>21.303333333333335</v>
      </c>
      <c r="N199" s="11">
        <f t="shared" si="3"/>
        <v>21.366666666666667</v>
      </c>
      <c r="O199" s="144">
        <f t="shared" si="10"/>
        <v>6.3333333333332575E-2</v>
      </c>
      <c r="P199" s="2">
        <f>SUMIFS('XBS '!T:T,'XBS '!H:H,' General Stock Summary View  '!$P$2,'XBS '!L:L,' General Stock Summary View  '!B199,'XBS '!C:C,' General Stock Summary View  '!C199)</f>
        <v>0</v>
      </c>
      <c r="Q199" s="3">
        <f>SUMIFS('PowerApp_Physical count'!H:H,'PowerApp_Physical count'!B:B,' General Stock Summary View  '!$P$2,'PowerApp_Physical count'!C:C,' General Stock Summary View  '!C199,'PowerApp_Physical count'!A:A,' General Stock Summary View  '!B199)</f>
        <v>0</v>
      </c>
      <c r="R199" s="4">
        <f t="shared" si="11"/>
        <v>0</v>
      </c>
      <c r="S199" s="5">
        <f>SUMIFS('XBS '!T:T,'XBS '!L:L,' General Stock Summary View  '!B199,'XBS '!H:H,' General Stock Summary View  '!$S$2,'XBS '!C:C,' General Stock Summary View  '!C199)</f>
        <v>0</v>
      </c>
      <c r="T199" s="3">
        <f>SUMIFS('PowerApp_Physical count'!H:H,'PowerApp_Physical count'!B:B,' General Stock Summary View  '!$S$2,'PowerApp_Physical count'!C:C,' General Stock Summary View  '!C199,'PowerApp_Physical count'!A:A,' General Stock Summary View  '!B199)</f>
        <v>0</v>
      </c>
      <c r="U199" s="4">
        <f t="shared" si="4"/>
        <v>0</v>
      </c>
      <c r="V199" s="2">
        <f>SUMIFS('XBS '!T:T,'XBS '!H:H,' General Stock Summary View  '!$V$2,'XBS '!B:B,' General Stock Summary View  '!C199,'XBS '!L:L,' General Stock Summary View  '!B199)</f>
        <v>0</v>
      </c>
      <c r="W199" s="3">
        <f>SUMIFS('PowerApp_Physical count'!H:H,'PowerApp_Physical count'!B:B,' General Stock Summary View  '!$V$2,'PowerApp_Physical count'!C:C,' General Stock Summary View  '!C199,'PowerApp_Physical count'!A:A,' General Stock Summary View  '!B199)</f>
        <v>0</v>
      </c>
      <c r="X199" s="4">
        <f t="shared" si="12"/>
        <v>0</v>
      </c>
      <c r="Y199" s="5">
        <f>SUMIFS('XBS '!T:T,'XBS '!H:H,' General Stock Summary View  '!$Y$2,'XBS '!B:B,' General Stock Summary View  '!C199,'XBS '!L:L,' General Stock Summary View  '!B199)</f>
        <v>0</v>
      </c>
      <c r="Z199" s="3">
        <f>SUMIFS('PowerApp_Physical count'!H:H,'PowerApp_Physical count'!B:B,' General Stock Summary View  '!$Y$2,'PowerApp_Physical count'!C:C,' General Stock Summary View  '!C199,'PowerApp_Physical count'!A:A,' General Stock Summary View  '!B199)</f>
        <v>0</v>
      </c>
      <c r="AA199" s="4">
        <f t="shared" si="13"/>
        <v>0</v>
      </c>
      <c r="AB199" s="5">
        <f>SUMIFS('XBS '!T:T,'XBS '!H:H,' General Stock Summary View  '!$AB$2,'XBS '!B:B,' General Stock Summary View  '!C199,'XBS '!L:L,' General Stock Summary View  '!B199)</f>
        <v>0</v>
      </c>
      <c r="AC199" s="3">
        <f>SUMIFS('PowerApp_Physical count'!H:H,'PowerApp_Physical count'!B:B,' General Stock Summary View  '!$AB$2,'PowerApp_Physical count'!C:C,' General Stock Summary View  '!C199,'PowerApp_Physical count'!A:A,' General Stock Summary View  '!B199)</f>
        <v>0</v>
      </c>
      <c r="AD199" s="6">
        <f t="shared" si="14"/>
        <v>0</v>
      </c>
      <c r="AE199" s="7">
        <f t="shared" si="8"/>
        <v>21.366666666666667</v>
      </c>
      <c r="AF199" s="8">
        <f t="shared" si="9"/>
        <v>6.3333333333332575E-2</v>
      </c>
      <c r="AG199" s="112"/>
    </row>
    <row r="200" spans="2:33" s="113" customFormat="1" ht="61.15">
      <c r="B200" s="117" t="s">
        <v>213</v>
      </c>
      <c r="C200" s="111" t="s">
        <v>197</v>
      </c>
      <c r="D200" s="11">
        <f>SUMIFS('XBS '!T:T,'XBS '!C:C,' General Stock Summary View  '!C200,'XBS '!L:L,' General Stock Summary View  '!B200)</f>
        <v>31.001666666666665</v>
      </c>
      <c r="E200" s="2">
        <f>SUMIFS('Blocked for Processing'!P:P,'Blocked for Processing'!I:I,' General Stock Summary View  '!B200,'Blocked for Processing'!C:C,' General Stock Summary View  '!C200)</f>
        <v>0</v>
      </c>
      <c r="F200" s="122">
        <f t="shared" si="0"/>
        <v>31.001666666666665</v>
      </c>
      <c r="G200" s="148">
        <f>SUMIFS('XBS '!T:T,'XBS '!H:H,' General Stock Summary View  '!$G$2,'XBS '!L:L,' General Stock Summary View  '!B200,'XBS '!C:C,' General Stock Summary View  '!C200)</f>
        <v>31.001666666666665</v>
      </c>
      <c r="H200" s="3">
        <f>SUMIFS('PowerApp_Physical count'!H:H,'PowerApp_Physical count'!B:B,' General Stock Summary View  '!$G$2,'PowerApp_Physical count'!C:C,' General Stock Summary View  '!C200,'PowerApp_Physical count'!A:A,' General Stock Summary View  '!B200)</f>
        <v>31.1</v>
      </c>
      <c r="I200" s="154">
        <f t="shared" si="41"/>
        <v>9.833333333333627E-2</v>
      </c>
      <c r="J200" s="11">
        <f>SUMIFS('XBS '!T:T,'XBS '!H:H,' General Stock Summary View  '!$J$2,'XBS '!L:L,' General Stock Summary View  '!B200,'XBS '!C:C,' General Stock Summary View  '!C200)</f>
        <v>0</v>
      </c>
      <c r="K200" s="157">
        <f>SUMIFS('PowerApp_Physical count'!H:H,'PowerApp_Physical count'!B:B,' General Stock Summary View  '!$J$2,'PowerApp_Physical count'!C:C,' General Stock Summary View  '!C200,'PowerApp_Physical count'!A:A,' General Stock Summary View  '!B200)</f>
        <v>0</v>
      </c>
      <c r="L200" s="127">
        <f t="shared" si="15"/>
        <v>0</v>
      </c>
      <c r="M200" s="126">
        <f t="shared" si="2"/>
        <v>31.001666666666665</v>
      </c>
      <c r="N200" s="11">
        <f t="shared" si="3"/>
        <v>31.1</v>
      </c>
      <c r="O200" s="144">
        <f t="shared" si="10"/>
        <v>9.833333333333627E-2</v>
      </c>
      <c r="P200" s="2">
        <f>SUMIFS('XBS '!T:T,'XBS '!H:H,' General Stock Summary View  '!$P$2,'XBS '!L:L,' General Stock Summary View  '!B200,'XBS '!C:C,' General Stock Summary View  '!C200)</f>
        <v>0</v>
      </c>
      <c r="Q200" s="3">
        <f>SUMIFS('PowerApp_Physical count'!H:H,'PowerApp_Physical count'!B:B,' General Stock Summary View  '!$P$2,'PowerApp_Physical count'!C:C,' General Stock Summary View  '!C200,'PowerApp_Physical count'!A:A,' General Stock Summary View  '!B200)</f>
        <v>0</v>
      </c>
      <c r="R200" s="4">
        <f t="shared" si="11"/>
        <v>0</v>
      </c>
      <c r="S200" s="5">
        <f>SUMIFS('XBS '!T:T,'XBS '!L:L,' General Stock Summary View  '!B200,'XBS '!H:H,' General Stock Summary View  '!$S$2,'XBS '!C:C,' General Stock Summary View  '!C200)</f>
        <v>0</v>
      </c>
      <c r="T200" s="3">
        <f>SUMIFS('PowerApp_Physical count'!H:H,'PowerApp_Physical count'!B:B,' General Stock Summary View  '!$S$2,'PowerApp_Physical count'!C:C,' General Stock Summary View  '!C200,'PowerApp_Physical count'!A:A,' General Stock Summary View  '!B200)</f>
        <v>0</v>
      </c>
      <c r="U200" s="4">
        <f t="shared" si="4"/>
        <v>0</v>
      </c>
      <c r="V200" s="2">
        <f>SUMIFS('XBS '!T:T,'XBS '!H:H,' General Stock Summary View  '!$V$2,'XBS '!B:B,' General Stock Summary View  '!C200,'XBS '!L:L,' General Stock Summary View  '!B200)</f>
        <v>0</v>
      </c>
      <c r="W200" s="3">
        <f>SUMIFS('PowerApp_Physical count'!H:H,'PowerApp_Physical count'!B:B,' General Stock Summary View  '!$V$2,'PowerApp_Physical count'!C:C,' General Stock Summary View  '!C200,'PowerApp_Physical count'!A:A,' General Stock Summary View  '!B200)</f>
        <v>0</v>
      </c>
      <c r="X200" s="4">
        <f t="shared" si="12"/>
        <v>0</v>
      </c>
      <c r="Y200" s="5">
        <f>SUMIFS('XBS '!T:T,'XBS '!H:H,' General Stock Summary View  '!$Y$2,'XBS '!B:B,' General Stock Summary View  '!C200,'XBS '!L:L,' General Stock Summary View  '!B200)</f>
        <v>0</v>
      </c>
      <c r="Z200" s="3">
        <f>SUMIFS('PowerApp_Physical count'!H:H,'PowerApp_Physical count'!B:B,' General Stock Summary View  '!$Y$2,'PowerApp_Physical count'!C:C,' General Stock Summary View  '!C200,'PowerApp_Physical count'!A:A,' General Stock Summary View  '!B200)</f>
        <v>0</v>
      </c>
      <c r="AA200" s="4">
        <f t="shared" si="13"/>
        <v>0</v>
      </c>
      <c r="AB200" s="5">
        <f>SUMIFS('XBS '!T:T,'XBS '!H:H,' General Stock Summary View  '!$AB$2,'XBS '!B:B,' General Stock Summary View  '!C200,'XBS '!L:L,' General Stock Summary View  '!B200)</f>
        <v>0</v>
      </c>
      <c r="AC200" s="3">
        <f>SUMIFS('PowerApp_Physical count'!H:H,'PowerApp_Physical count'!B:B,' General Stock Summary View  '!$AB$2,'PowerApp_Physical count'!C:C,' General Stock Summary View  '!C200,'PowerApp_Physical count'!A:A,' General Stock Summary View  '!B200)</f>
        <v>0</v>
      </c>
      <c r="AD200" s="6">
        <f t="shared" si="14"/>
        <v>0</v>
      </c>
      <c r="AE200" s="7">
        <f t="shared" si="8"/>
        <v>31.1</v>
      </c>
      <c r="AF200" s="8">
        <f t="shared" si="9"/>
        <v>9.833333333333627E-2</v>
      </c>
      <c r="AG200" s="112"/>
    </row>
    <row r="201" spans="2:33" s="113" customFormat="1" ht="61.15">
      <c r="B201" s="117" t="s">
        <v>37</v>
      </c>
      <c r="C201" s="111" t="s">
        <v>197</v>
      </c>
      <c r="D201" s="11">
        <f>SUMIFS('XBS '!T:T,'XBS '!C:C,' General Stock Summary View  '!C201,'XBS '!L:L,' General Stock Summary View  '!B201)</f>
        <v>20.618333333333332</v>
      </c>
      <c r="E201" s="2">
        <f>SUMIFS('Blocked for Processing'!P:P,'Blocked for Processing'!I:I,' General Stock Summary View  '!B201,'Blocked for Processing'!C:C,' General Stock Summary View  '!C201)</f>
        <v>0</v>
      </c>
      <c r="F201" s="122">
        <f t="shared" si="0"/>
        <v>20.618333333333332</v>
      </c>
      <c r="G201" s="148">
        <f>SUMIFS('XBS '!T:T,'XBS '!H:H,' General Stock Summary View  '!$G$2,'XBS '!L:L,' General Stock Summary View  '!B201,'XBS '!C:C,' General Stock Summary View  '!C201)</f>
        <v>20.618333333333332</v>
      </c>
      <c r="H201" s="3">
        <f>SUMIFS('PowerApp_Physical count'!H:H,'PowerApp_Physical count'!B:B,' General Stock Summary View  '!$G$2,'PowerApp_Physical count'!C:C,' General Stock Summary View  '!C201,'PowerApp_Physical count'!A:A,' General Stock Summary View  '!B201)</f>
        <v>20.683333333333334</v>
      </c>
      <c r="I201" s="154">
        <f t="shared" si="41"/>
        <v>6.5000000000001279E-2</v>
      </c>
      <c r="J201" s="11">
        <f>SUMIFS('XBS '!T:T,'XBS '!H:H,' General Stock Summary View  '!$J$2,'XBS '!L:L,' General Stock Summary View  '!B201,'XBS '!C:C,' General Stock Summary View  '!C201)</f>
        <v>0</v>
      </c>
      <c r="K201" s="157">
        <f>SUMIFS('PowerApp_Physical count'!H:H,'PowerApp_Physical count'!B:B,' General Stock Summary View  '!$J$2,'PowerApp_Physical count'!C:C,' General Stock Summary View  '!C201,'PowerApp_Physical count'!A:A,' General Stock Summary View  '!B201)</f>
        <v>0</v>
      </c>
      <c r="L201" s="127">
        <f t="shared" si="15"/>
        <v>0</v>
      </c>
      <c r="M201" s="126">
        <f t="shared" si="2"/>
        <v>20.618333333333332</v>
      </c>
      <c r="N201" s="11">
        <f t="shared" si="3"/>
        <v>20.683333333333334</v>
      </c>
      <c r="O201" s="144">
        <f t="shared" si="10"/>
        <v>6.5000000000001279E-2</v>
      </c>
      <c r="P201" s="2">
        <f>SUMIFS('XBS '!T:T,'XBS '!H:H,' General Stock Summary View  '!$P$2,'XBS '!L:L,' General Stock Summary View  '!B201,'XBS '!C:C,' General Stock Summary View  '!C201)</f>
        <v>0</v>
      </c>
      <c r="Q201" s="3">
        <f>SUMIFS('PowerApp_Physical count'!H:H,'PowerApp_Physical count'!B:B,' General Stock Summary View  '!$P$2,'PowerApp_Physical count'!C:C,' General Stock Summary View  '!C201,'PowerApp_Physical count'!A:A,' General Stock Summary View  '!B201)</f>
        <v>0</v>
      </c>
      <c r="R201" s="4">
        <f t="shared" si="11"/>
        <v>0</v>
      </c>
      <c r="S201" s="5">
        <f>SUMIFS('XBS '!T:T,'XBS '!L:L,' General Stock Summary View  '!B201,'XBS '!H:H,' General Stock Summary View  '!$S$2,'XBS '!C:C,' General Stock Summary View  '!C201)</f>
        <v>0</v>
      </c>
      <c r="T201" s="3">
        <f>SUMIFS('PowerApp_Physical count'!H:H,'PowerApp_Physical count'!B:B,' General Stock Summary View  '!$S$2,'PowerApp_Physical count'!C:C,' General Stock Summary View  '!C201,'PowerApp_Physical count'!A:A,' General Stock Summary View  '!B201)</f>
        <v>0</v>
      </c>
      <c r="U201" s="4">
        <f t="shared" si="4"/>
        <v>0</v>
      </c>
      <c r="V201" s="2">
        <f>SUMIFS('XBS '!T:T,'XBS '!H:H,' General Stock Summary View  '!$V$2,'XBS '!B:B,' General Stock Summary View  '!C201,'XBS '!L:L,' General Stock Summary View  '!B201)</f>
        <v>0</v>
      </c>
      <c r="W201" s="3">
        <f>SUMIFS('PowerApp_Physical count'!H:H,'PowerApp_Physical count'!B:B,' General Stock Summary View  '!$V$2,'PowerApp_Physical count'!C:C,' General Stock Summary View  '!C201,'PowerApp_Physical count'!A:A,' General Stock Summary View  '!B201)</f>
        <v>0</v>
      </c>
      <c r="X201" s="4">
        <f t="shared" si="12"/>
        <v>0</v>
      </c>
      <c r="Y201" s="5">
        <f>SUMIFS('XBS '!T:T,'XBS '!H:H,' General Stock Summary View  '!$Y$2,'XBS '!B:B,' General Stock Summary View  '!C201,'XBS '!L:L,' General Stock Summary View  '!B201)</f>
        <v>0</v>
      </c>
      <c r="Z201" s="3">
        <f>SUMIFS('PowerApp_Physical count'!H:H,'PowerApp_Physical count'!B:B,' General Stock Summary View  '!$Y$2,'PowerApp_Physical count'!C:C,' General Stock Summary View  '!C201,'PowerApp_Physical count'!A:A,' General Stock Summary View  '!B201)</f>
        <v>0</v>
      </c>
      <c r="AA201" s="4">
        <f t="shared" si="13"/>
        <v>0</v>
      </c>
      <c r="AB201" s="5">
        <f>SUMIFS('XBS '!T:T,'XBS '!H:H,' General Stock Summary View  '!$AB$2,'XBS '!B:B,' General Stock Summary View  '!C201,'XBS '!L:L,' General Stock Summary View  '!B201)</f>
        <v>0</v>
      </c>
      <c r="AC201" s="3">
        <f>SUMIFS('PowerApp_Physical count'!H:H,'PowerApp_Physical count'!B:B,' General Stock Summary View  '!$AB$2,'PowerApp_Physical count'!C:C,' General Stock Summary View  '!C201,'PowerApp_Physical count'!A:A,' General Stock Summary View  '!B201)</f>
        <v>0</v>
      </c>
      <c r="AD201" s="6">
        <f t="shared" si="14"/>
        <v>0</v>
      </c>
      <c r="AE201" s="7">
        <f t="shared" si="8"/>
        <v>20.683333333333334</v>
      </c>
      <c r="AF201" s="8">
        <f t="shared" si="9"/>
        <v>6.5000000000001279E-2</v>
      </c>
      <c r="AG201" s="112"/>
    </row>
    <row r="202" spans="2:33" s="113" customFormat="1" ht="61.15">
      <c r="B202" s="117" t="s">
        <v>214</v>
      </c>
      <c r="C202" s="111" t="s">
        <v>197</v>
      </c>
      <c r="D202" s="11">
        <f>SUMIFS('XBS '!T:T,'XBS '!C:C,' General Stock Summary View  '!C202,'XBS '!L:L,' General Stock Summary View  '!B202)</f>
        <v>18.063333333333333</v>
      </c>
      <c r="E202" s="2">
        <f>SUMIFS('Blocked for Processing'!P:P,'Blocked for Processing'!I:I,' General Stock Summary View  '!B202,'Blocked for Processing'!C:C,' General Stock Summary View  '!C202)</f>
        <v>0</v>
      </c>
      <c r="F202" s="122">
        <f t="shared" si="0"/>
        <v>18.063333333333333</v>
      </c>
      <c r="G202" s="148">
        <f>SUMIFS('XBS '!T:T,'XBS '!H:H,' General Stock Summary View  '!$G$2,'XBS '!L:L,' General Stock Summary View  '!B202,'XBS '!C:C,' General Stock Summary View  '!C202)</f>
        <v>18.063333333333333</v>
      </c>
      <c r="H202" s="3">
        <f>SUMIFS('PowerApp_Physical count'!H:H,'PowerApp_Physical count'!B:B,' General Stock Summary View  '!$G$2,'PowerApp_Physical count'!C:C,' General Stock Summary View  '!C202,'PowerApp_Physical count'!A:A,' General Stock Summary View  '!B202)</f>
        <v>18.116666666666667</v>
      </c>
      <c r="I202" s="154">
        <f t="shared" si="41"/>
        <v>5.3333333333334565E-2</v>
      </c>
      <c r="J202" s="11">
        <f>SUMIFS('XBS '!T:T,'XBS '!H:H,' General Stock Summary View  '!$J$2,'XBS '!L:L,' General Stock Summary View  '!B202,'XBS '!C:C,' General Stock Summary View  '!C202)</f>
        <v>0</v>
      </c>
      <c r="K202" s="157">
        <f>SUMIFS('PowerApp_Physical count'!H:H,'PowerApp_Physical count'!B:B,' General Stock Summary View  '!$J$2,'PowerApp_Physical count'!C:C,' General Stock Summary View  '!C202,'PowerApp_Physical count'!A:A,' General Stock Summary View  '!B202)</f>
        <v>0</v>
      </c>
      <c r="L202" s="127">
        <f t="shared" si="15"/>
        <v>0</v>
      </c>
      <c r="M202" s="126">
        <f t="shared" si="2"/>
        <v>18.063333333333333</v>
      </c>
      <c r="N202" s="11">
        <f t="shared" si="3"/>
        <v>18.116666666666667</v>
      </c>
      <c r="O202" s="144">
        <f t="shared" si="10"/>
        <v>5.3333333333334565E-2</v>
      </c>
      <c r="P202" s="2">
        <f>SUMIFS('XBS '!T:T,'XBS '!H:H,' General Stock Summary View  '!$P$2,'XBS '!L:L,' General Stock Summary View  '!B202,'XBS '!C:C,' General Stock Summary View  '!C202)</f>
        <v>0</v>
      </c>
      <c r="Q202" s="3">
        <f>SUMIFS('PowerApp_Physical count'!H:H,'PowerApp_Physical count'!B:B,' General Stock Summary View  '!$P$2,'PowerApp_Physical count'!C:C,' General Stock Summary View  '!C202,'PowerApp_Physical count'!A:A,' General Stock Summary View  '!B202)</f>
        <v>0</v>
      </c>
      <c r="R202" s="4">
        <f t="shared" si="11"/>
        <v>0</v>
      </c>
      <c r="S202" s="5">
        <f>SUMIFS('XBS '!T:T,'XBS '!L:L,' General Stock Summary View  '!B202,'XBS '!H:H,' General Stock Summary View  '!$S$2,'XBS '!C:C,' General Stock Summary View  '!C202)</f>
        <v>0</v>
      </c>
      <c r="T202" s="3">
        <f>SUMIFS('PowerApp_Physical count'!H:H,'PowerApp_Physical count'!B:B,' General Stock Summary View  '!$S$2,'PowerApp_Physical count'!C:C,' General Stock Summary View  '!C202,'PowerApp_Physical count'!A:A,' General Stock Summary View  '!B202)</f>
        <v>0</v>
      </c>
      <c r="U202" s="4">
        <f t="shared" si="4"/>
        <v>0</v>
      </c>
      <c r="V202" s="2">
        <f>SUMIFS('XBS '!T:T,'XBS '!H:H,' General Stock Summary View  '!$V$2,'XBS '!B:B,' General Stock Summary View  '!C202,'XBS '!L:L,' General Stock Summary View  '!B202)</f>
        <v>0</v>
      </c>
      <c r="W202" s="3">
        <f>SUMIFS('PowerApp_Physical count'!H:H,'PowerApp_Physical count'!B:B,' General Stock Summary View  '!$V$2,'PowerApp_Physical count'!C:C,' General Stock Summary View  '!C202,'PowerApp_Physical count'!A:A,' General Stock Summary View  '!B202)</f>
        <v>0</v>
      </c>
      <c r="X202" s="4">
        <f t="shared" si="12"/>
        <v>0</v>
      </c>
      <c r="Y202" s="5">
        <f>SUMIFS('XBS '!T:T,'XBS '!H:H,' General Stock Summary View  '!$Y$2,'XBS '!B:B,' General Stock Summary View  '!C202,'XBS '!L:L,' General Stock Summary View  '!B202)</f>
        <v>0</v>
      </c>
      <c r="Z202" s="3">
        <f>SUMIFS('PowerApp_Physical count'!H:H,'PowerApp_Physical count'!B:B,' General Stock Summary View  '!$Y$2,'PowerApp_Physical count'!C:C,' General Stock Summary View  '!C202,'PowerApp_Physical count'!A:A,' General Stock Summary View  '!B202)</f>
        <v>0</v>
      </c>
      <c r="AA202" s="4">
        <f t="shared" si="13"/>
        <v>0</v>
      </c>
      <c r="AB202" s="5">
        <f>SUMIFS('XBS '!T:T,'XBS '!H:H,' General Stock Summary View  '!$AB$2,'XBS '!B:B,' General Stock Summary View  '!C202,'XBS '!L:L,' General Stock Summary View  '!B202)</f>
        <v>0</v>
      </c>
      <c r="AC202" s="3">
        <f>SUMIFS('PowerApp_Physical count'!H:H,'PowerApp_Physical count'!B:B,' General Stock Summary View  '!$AB$2,'PowerApp_Physical count'!C:C,' General Stock Summary View  '!C202,'PowerApp_Physical count'!A:A,' General Stock Summary View  '!B202)</f>
        <v>0</v>
      </c>
      <c r="AD202" s="6">
        <f t="shared" si="14"/>
        <v>0</v>
      </c>
      <c r="AE202" s="7">
        <f t="shared" si="8"/>
        <v>18.116666666666667</v>
      </c>
      <c r="AF202" s="8">
        <f t="shared" si="9"/>
        <v>5.3333333333334565E-2</v>
      </c>
      <c r="AG202" s="112"/>
    </row>
    <row r="203" spans="2:33" s="113" customFormat="1" ht="61.15">
      <c r="B203" s="117" t="s">
        <v>215</v>
      </c>
      <c r="C203" s="111" t="s">
        <v>197</v>
      </c>
      <c r="D203" s="11">
        <f>SUMIFS('XBS '!T:T,'XBS '!C:C,' General Stock Summary View  '!C203,'XBS '!L:L,' General Stock Summary View  '!B203)</f>
        <v>2.1</v>
      </c>
      <c r="E203" s="2">
        <f>SUMIFS('Blocked for Processing'!P:P,'Blocked for Processing'!I:I,' General Stock Summary View  '!B203,'Blocked for Processing'!C:C,' General Stock Summary View  '!C203)</f>
        <v>0</v>
      </c>
      <c r="F203" s="122">
        <f t="shared" si="0"/>
        <v>2.1</v>
      </c>
      <c r="G203" s="148">
        <f>SUMIFS('XBS '!T:T,'XBS '!H:H,' General Stock Summary View  '!$G$2,'XBS '!L:L,' General Stock Summary View  '!B203,'XBS '!C:C,' General Stock Summary View  '!C203)</f>
        <v>0</v>
      </c>
      <c r="H203" s="3">
        <f>SUMIFS('PowerApp_Physical count'!H:H,'PowerApp_Physical count'!B:B,' General Stock Summary View  '!$G$2,'PowerApp_Physical count'!C:C,' General Stock Summary View  '!C203,'PowerApp_Physical count'!A:A,' General Stock Summary View  '!B203)</f>
        <v>0</v>
      </c>
      <c r="I203" s="154">
        <f t="shared" si="41"/>
        <v>0</v>
      </c>
      <c r="J203" s="11">
        <f>SUMIFS('XBS '!T:T,'XBS '!H:H,' General Stock Summary View  '!$J$2,'XBS '!L:L,' General Stock Summary View  '!B203,'XBS '!C:C,' General Stock Summary View  '!C203)</f>
        <v>0</v>
      </c>
      <c r="K203" s="157">
        <f>SUMIFS('PowerApp_Physical count'!H:H,'PowerApp_Physical count'!B:B,' General Stock Summary View  '!$J$2,'PowerApp_Physical count'!C:C,' General Stock Summary View  '!C203,'PowerApp_Physical count'!A:A,' General Stock Summary View  '!B203)</f>
        <v>0</v>
      </c>
      <c r="L203" s="127">
        <f t="shared" si="15"/>
        <v>0</v>
      </c>
      <c r="M203" s="126">
        <f t="shared" si="2"/>
        <v>0</v>
      </c>
      <c r="N203" s="11">
        <f t="shared" si="3"/>
        <v>0</v>
      </c>
      <c r="O203" s="144">
        <f t="shared" si="10"/>
        <v>0</v>
      </c>
      <c r="P203" s="2">
        <f>SUMIFS('XBS '!T:T,'XBS '!H:H,' General Stock Summary View  '!$P$2,'XBS '!L:L,' General Stock Summary View  '!B203,'XBS '!C:C,' General Stock Summary View  '!C203)</f>
        <v>0</v>
      </c>
      <c r="Q203" s="3">
        <f>SUMIFS('PowerApp_Physical count'!H:H,'PowerApp_Physical count'!B:B,' General Stock Summary View  '!$P$2,'PowerApp_Physical count'!C:C,' General Stock Summary View  '!C203,'PowerApp_Physical count'!A:A,' General Stock Summary View  '!B203)</f>
        <v>0</v>
      </c>
      <c r="R203" s="4">
        <f t="shared" si="11"/>
        <v>0</v>
      </c>
      <c r="S203" s="5">
        <f>SUMIFS('XBS '!T:T,'XBS '!L:L,' General Stock Summary View  '!B203,'XBS '!H:H,' General Stock Summary View  '!$S$2,'XBS '!C:C,' General Stock Summary View  '!C203)</f>
        <v>0</v>
      </c>
      <c r="T203" s="3">
        <f>SUMIFS('PowerApp_Physical count'!H:H,'PowerApp_Physical count'!B:B,' General Stock Summary View  '!$S$2,'PowerApp_Physical count'!C:C,' General Stock Summary View  '!C203,'PowerApp_Physical count'!A:A,' General Stock Summary View  '!B203)</f>
        <v>0</v>
      </c>
      <c r="U203" s="4">
        <f t="shared" si="4"/>
        <v>0</v>
      </c>
      <c r="V203" s="2">
        <f>SUMIFS('XBS '!T:T,'XBS '!H:H,' General Stock Summary View  '!$V$2,'XBS '!B:B,' General Stock Summary View  '!C203,'XBS '!L:L,' General Stock Summary View  '!B203)</f>
        <v>0</v>
      </c>
      <c r="W203" s="3">
        <f>SUMIFS('PowerApp_Physical count'!H:H,'PowerApp_Physical count'!B:B,' General Stock Summary View  '!$V$2,'PowerApp_Physical count'!C:C,' General Stock Summary View  '!C203,'PowerApp_Physical count'!A:A,' General Stock Summary View  '!B203)</f>
        <v>0</v>
      </c>
      <c r="X203" s="4">
        <f t="shared" si="12"/>
        <v>0</v>
      </c>
      <c r="Y203" s="5">
        <f>SUMIFS('XBS '!T:T,'XBS '!H:H,' General Stock Summary View  '!$Y$2,'XBS '!B:B,' General Stock Summary View  '!C203,'XBS '!L:L,' General Stock Summary View  '!B203)</f>
        <v>0</v>
      </c>
      <c r="Z203" s="3">
        <f>SUMIFS('PowerApp_Physical count'!H:H,'PowerApp_Physical count'!B:B,' General Stock Summary View  '!$Y$2,'PowerApp_Physical count'!C:C,' General Stock Summary View  '!C203,'PowerApp_Physical count'!A:A,' General Stock Summary View  '!B203)</f>
        <v>0</v>
      </c>
      <c r="AA203" s="4">
        <f t="shared" si="13"/>
        <v>0</v>
      </c>
      <c r="AB203" s="5">
        <f>SUMIFS('XBS '!T:T,'XBS '!H:H,' General Stock Summary View  '!$AB$2,'XBS '!B:B,' General Stock Summary View  '!C203,'XBS '!L:L,' General Stock Summary View  '!B203)</f>
        <v>2.1</v>
      </c>
      <c r="AC203" s="3">
        <f>SUMIFS('PowerApp_Physical count'!H:H,'PowerApp_Physical count'!B:B,' General Stock Summary View  '!$AB$2,'PowerApp_Physical count'!C:C,' General Stock Summary View  '!C203,'PowerApp_Physical count'!A:A,' General Stock Summary View  '!B203)</f>
        <v>0</v>
      </c>
      <c r="AD203" s="6">
        <f t="shared" si="14"/>
        <v>-2.1</v>
      </c>
      <c r="AE203" s="7">
        <f t="shared" si="8"/>
        <v>0</v>
      </c>
      <c r="AF203" s="8">
        <f t="shared" si="9"/>
        <v>-2.1</v>
      </c>
      <c r="AG203" s="112"/>
    </row>
    <row r="204" spans="2:33" s="113" customFormat="1" ht="61.15">
      <c r="B204" s="117" t="s">
        <v>216</v>
      </c>
      <c r="C204" s="111" t="s">
        <v>197</v>
      </c>
      <c r="D204" s="11">
        <f>SUMIFS('XBS '!T:T,'XBS '!C:C,' General Stock Summary View  '!C204,'XBS '!L:L,' General Stock Summary View  '!B204)</f>
        <v>8.3166666666666664</v>
      </c>
      <c r="E204" s="2">
        <f>SUMIFS('Blocked for Processing'!P:P,'Blocked for Processing'!I:I,' General Stock Summary View  '!B204,'Blocked for Processing'!C:C,' General Stock Summary View  '!C204)</f>
        <v>0</v>
      </c>
      <c r="F204" s="122">
        <f t="shared" si="0"/>
        <v>8.3166666666666664</v>
      </c>
      <c r="G204" s="148">
        <f>SUMIFS('XBS '!T:T,'XBS '!H:H,' General Stock Summary View  '!$G$2,'XBS '!L:L,' General Stock Summary View  '!B204,'XBS '!C:C,' General Stock Summary View  '!C204)</f>
        <v>0</v>
      </c>
      <c r="H204" s="3">
        <f>SUMIFS('PowerApp_Physical count'!H:H,'PowerApp_Physical count'!B:B,' General Stock Summary View  '!$G$2,'PowerApp_Physical count'!C:C,' General Stock Summary View  '!C204,'PowerApp_Physical count'!A:A,' General Stock Summary View  '!B204)</f>
        <v>0</v>
      </c>
      <c r="I204" s="154">
        <f t="shared" si="41"/>
        <v>0</v>
      </c>
      <c r="J204" s="11">
        <f>SUMIFS('XBS '!T:T,'XBS '!H:H,' General Stock Summary View  '!$J$2,'XBS '!L:L,' General Stock Summary View  '!B204,'XBS '!C:C,' General Stock Summary View  '!C204)</f>
        <v>0</v>
      </c>
      <c r="K204" s="157">
        <f>SUMIFS('PowerApp_Physical count'!H:H,'PowerApp_Physical count'!B:B,' General Stock Summary View  '!$J$2,'PowerApp_Physical count'!C:C,' General Stock Summary View  '!C204,'PowerApp_Physical count'!A:A,' General Stock Summary View  '!B204)</f>
        <v>0</v>
      </c>
      <c r="L204" s="127">
        <f t="shared" si="15"/>
        <v>0</v>
      </c>
      <c r="M204" s="126">
        <f t="shared" si="2"/>
        <v>0</v>
      </c>
      <c r="N204" s="11">
        <f t="shared" si="3"/>
        <v>0</v>
      </c>
      <c r="O204" s="144">
        <f t="shared" si="10"/>
        <v>0</v>
      </c>
      <c r="P204" s="2">
        <f>SUMIFS('XBS '!T:T,'XBS '!H:H,' General Stock Summary View  '!$P$2,'XBS '!L:L,' General Stock Summary View  '!B204,'XBS '!C:C,' General Stock Summary View  '!C204)</f>
        <v>0</v>
      </c>
      <c r="Q204" s="3">
        <f>SUMIFS('PowerApp_Physical count'!H:H,'PowerApp_Physical count'!B:B,' General Stock Summary View  '!$P$2,'PowerApp_Physical count'!C:C,' General Stock Summary View  '!C204,'PowerApp_Physical count'!A:A,' General Stock Summary View  '!B204)</f>
        <v>0</v>
      </c>
      <c r="R204" s="4">
        <f t="shared" si="11"/>
        <v>0</v>
      </c>
      <c r="S204" s="5">
        <f>SUMIFS('XBS '!T:T,'XBS '!L:L,' General Stock Summary View  '!B204,'XBS '!H:H,' General Stock Summary View  '!$S$2,'XBS '!C:C,' General Stock Summary View  '!C204)</f>
        <v>0</v>
      </c>
      <c r="T204" s="3">
        <f>SUMIFS('PowerApp_Physical count'!H:H,'PowerApp_Physical count'!B:B,' General Stock Summary View  '!$S$2,'PowerApp_Physical count'!C:C,' General Stock Summary View  '!C204,'PowerApp_Physical count'!A:A,' General Stock Summary View  '!B204)</f>
        <v>0</v>
      </c>
      <c r="U204" s="4">
        <f t="shared" si="4"/>
        <v>0</v>
      </c>
      <c r="V204" s="2">
        <f>SUMIFS('XBS '!T:T,'XBS '!H:H,' General Stock Summary View  '!$V$2,'XBS '!B:B,' General Stock Summary View  '!C204,'XBS '!L:L,' General Stock Summary View  '!B204)</f>
        <v>0</v>
      </c>
      <c r="W204" s="3">
        <f>SUMIFS('PowerApp_Physical count'!H:H,'PowerApp_Physical count'!B:B,' General Stock Summary View  '!$V$2,'PowerApp_Physical count'!C:C,' General Stock Summary View  '!C204,'PowerApp_Physical count'!A:A,' General Stock Summary View  '!B204)</f>
        <v>0</v>
      </c>
      <c r="X204" s="4">
        <f t="shared" si="12"/>
        <v>0</v>
      </c>
      <c r="Y204" s="5">
        <f>SUMIFS('XBS '!T:T,'XBS '!H:H,' General Stock Summary View  '!$Y$2,'XBS '!B:B,' General Stock Summary View  '!C204,'XBS '!L:L,' General Stock Summary View  '!B204)</f>
        <v>0</v>
      </c>
      <c r="Z204" s="3">
        <f>SUMIFS('PowerApp_Physical count'!H:H,'PowerApp_Physical count'!B:B,' General Stock Summary View  '!$Y$2,'PowerApp_Physical count'!C:C,' General Stock Summary View  '!C204,'PowerApp_Physical count'!A:A,' General Stock Summary View  '!B204)</f>
        <v>0</v>
      </c>
      <c r="AA204" s="4">
        <f t="shared" si="13"/>
        <v>0</v>
      </c>
      <c r="AB204" s="5">
        <f>SUMIFS('XBS '!T:T,'XBS '!H:H,' General Stock Summary View  '!$AB$2,'XBS '!B:B,' General Stock Summary View  '!C204,'XBS '!L:L,' General Stock Summary View  '!B204)</f>
        <v>8.3166666666666664</v>
      </c>
      <c r="AC204" s="3">
        <f>SUMIFS('PowerApp_Physical count'!H:H,'PowerApp_Physical count'!B:B,' General Stock Summary View  '!$AB$2,'PowerApp_Physical count'!C:C,' General Stock Summary View  '!C204,'PowerApp_Physical count'!A:A,' General Stock Summary View  '!B204)</f>
        <v>0</v>
      </c>
      <c r="AD204" s="6">
        <f t="shared" si="14"/>
        <v>-8.3166666666666664</v>
      </c>
      <c r="AE204" s="7">
        <f t="shared" si="8"/>
        <v>0</v>
      </c>
      <c r="AF204" s="8">
        <f t="shared" si="9"/>
        <v>-8.3166666666666664</v>
      </c>
      <c r="AG204" s="112"/>
    </row>
    <row r="205" spans="2:33" s="113" customFormat="1" ht="61.15">
      <c r="B205" s="117" t="s">
        <v>217</v>
      </c>
      <c r="C205" s="111" t="s">
        <v>197</v>
      </c>
      <c r="D205" s="11">
        <f>SUMIFS('XBS '!T:T,'XBS '!C:C,' General Stock Summary View  '!C205,'XBS '!L:L,' General Stock Summary View  '!B205)</f>
        <v>14.55</v>
      </c>
      <c r="E205" s="2">
        <f>SUMIFS('Blocked for Processing'!P:P,'Blocked for Processing'!I:I,' General Stock Summary View  '!B205,'Blocked for Processing'!C:C,' General Stock Summary View  '!C205)</f>
        <v>0</v>
      </c>
      <c r="F205" s="122">
        <f t="shared" si="0"/>
        <v>14.55</v>
      </c>
      <c r="G205" s="148">
        <f>SUMIFS('XBS '!T:T,'XBS '!H:H,' General Stock Summary View  '!$G$2,'XBS '!L:L,' General Stock Summary View  '!B205,'XBS '!C:C,' General Stock Summary View  '!C205)</f>
        <v>0</v>
      </c>
      <c r="H205" s="3">
        <f>SUMIFS('PowerApp_Physical count'!H:H,'PowerApp_Physical count'!B:B,' General Stock Summary View  '!$G$2,'PowerApp_Physical count'!C:C,' General Stock Summary View  '!C205,'PowerApp_Physical count'!A:A,' General Stock Summary View  '!B205)</f>
        <v>0</v>
      </c>
      <c r="I205" s="154">
        <f t="shared" si="41"/>
        <v>0</v>
      </c>
      <c r="J205" s="11">
        <f>SUMIFS('XBS '!T:T,'XBS '!H:H,' General Stock Summary View  '!$J$2,'XBS '!L:L,' General Stock Summary View  '!B205,'XBS '!C:C,' General Stock Summary View  '!C205)</f>
        <v>0</v>
      </c>
      <c r="K205" s="157">
        <f>SUMIFS('PowerApp_Physical count'!H:H,'PowerApp_Physical count'!B:B,' General Stock Summary View  '!$J$2,'PowerApp_Physical count'!C:C,' General Stock Summary View  '!C205,'PowerApp_Physical count'!A:A,' General Stock Summary View  '!B205)</f>
        <v>0</v>
      </c>
      <c r="L205" s="127">
        <f t="shared" si="15"/>
        <v>0</v>
      </c>
      <c r="M205" s="126">
        <f t="shared" si="2"/>
        <v>0</v>
      </c>
      <c r="N205" s="11">
        <f t="shared" si="3"/>
        <v>0</v>
      </c>
      <c r="O205" s="144">
        <f t="shared" si="10"/>
        <v>0</v>
      </c>
      <c r="P205" s="2">
        <f>SUMIFS('XBS '!T:T,'XBS '!H:H,' General Stock Summary View  '!$P$2,'XBS '!L:L,' General Stock Summary View  '!B205,'XBS '!C:C,' General Stock Summary View  '!C205)</f>
        <v>0</v>
      </c>
      <c r="Q205" s="3">
        <f>SUMIFS('PowerApp_Physical count'!H:H,'PowerApp_Physical count'!B:B,' General Stock Summary View  '!$P$2,'PowerApp_Physical count'!C:C,' General Stock Summary View  '!C205,'PowerApp_Physical count'!A:A,' General Stock Summary View  '!B205)</f>
        <v>0</v>
      </c>
      <c r="R205" s="4">
        <f t="shared" si="11"/>
        <v>0</v>
      </c>
      <c r="S205" s="5">
        <f>SUMIFS('XBS '!T:T,'XBS '!L:L,' General Stock Summary View  '!B205,'XBS '!H:H,' General Stock Summary View  '!$S$2,'XBS '!C:C,' General Stock Summary View  '!C205)</f>
        <v>0</v>
      </c>
      <c r="T205" s="3">
        <f>SUMIFS('PowerApp_Physical count'!H:H,'PowerApp_Physical count'!B:B,' General Stock Summary View  '!$S$2,'PowerApp_Physical count'!C:C,' General Stock Summary View  '!C205,'PowerApp_Physical count'!A:A,' General Stock Summary View  '!B205)</f>
        <v>0</v>
      </c>
      <c r="U205" s="4">
        <f t="shared" si="4"/>
        <v>0</v>
      </c>
      <c r="V205" s="2">
        <f>SUMIFS('XBS '!T:T,'XBS '!H:H,' General Stock Summary View  '!$V$2,'XBS '!B:B,' General Stock Summary View  '!C205,'XBS '!L:L,' General Stock Summary View  '!B205)</f>
        <v>0</v>
      </c>
      <c r="W205" s="3">
        <f>SUMIFS('PowerApp_Physical count'!H:H,'PowerApp_Physical count'!B:B,' General Stock Summary View  '!$V$2,'PowerApp_Physical count'!C:C,' General Stock Summary View  '!C205,'PowerApp_Physical count'!A:A,' General Stock Summary View  '!B205)</f>
        <v>0</v>
      </c>
      <c r="X205" s="4">
        <f t="shared" si="12"/>
        <v>0</v>
      </c>
      <c r="Y205" s="5">
        <f>SUMIFS('XBS '!T:T,'XBS '!H:H,' General Stock Summary View  '!$Y$2,'XBS '!B:B,' General Stock Summary View  '!C205,'XBS '!L:L,' General Stock Summary View  '!B205)</f>
        <v>0</v>
      </c>
      <c r="Z205" s="3">
        <f>SUMIFS('PowerApp_Physical count'!H:H,'PowerApp_Physical count'!B:B,' General Stock Summary View  '!$Y$2,'PowerApp_Physical count'!C:C,' General Stock Summary View  '!C205,'PowerApp_Physical count'!A:A,' General Stock Summary View  '!B205)</f>
        <v>0</v>
      </c>
      <c r="AA205" s="4">
        <f t="shared" si="13"/>
        <v>0</v>
      </c>
      <c r="AB205" s="5">
        <f>SUMIFS('XBS '!T:T,'XBS '!H:H,' General Stock Summary View  '!$AB$2,'XBS '!B:B,' General Stock Summary View  '!C205,'XBS '!L:L,' General Stock Summary View  '!B205)</f>
        <v>14.55</v>
      </c>
      <c r="AC205" s="3">
        <f>SUMIFS('PowerApp_Physical count'!H:H,'PowerApp_Physical count'!B:B,' General Stock Summary View  '!$AB$2,'PowerApp_Physical count'!C:C,' General Stock Summary View  '!C205,'PowerApp_Physical count'!A:A,' General Stock Summary View  '!B205)</f>
        <v>0</v>
      </c>
      <c r="AD205" s="6">
        <f t="shared" si="14"/>
        <v>-14.55</v>
      </c>
      <c r="AE205" s="7">
        <f t="shared" si="8"/>
        <v>0</v>
      </c>
      <c r="AF205" s="8">
        <f t="shared" si="9"/>
        <v>-14.55</v>
      </c>
      <c r="AG205" s="112"/>
    </row>
    <row r="206" spans="2:33" s="113" customFormat="1" ht="61.15">
      <c r="B206" s="117" t="s">
        <v>218</v>
      </c>
      <c r="C206" s="111" t="s">
        <v>197</v>
      </c>
      <c r="D206" s="11">
        <f>SUMIFS('XBS '!T:T,'XBS '!C:C,' General Stock Summary View  '!C206,'XBS '!L:L,' General Stock Summary View  '!B206)</f>
        <v>7.2166666666666668</v>
      </c>
      <c r="E206" s="2">
        <f>SUMIFS('Blocked for Processing'!P:P,'Blocked for Processing'!I:I,' General Stock Summary View  '!B206,'Blocked for Processing'!C:C,' General Stock Summary View  '!C206)</f>
        <v>0</v>
      </c>
      <c r="F206" s="122">
        <f t="shared" si="0"/>
        <v>7.2166666666666668</v>
      </c>
      <c r="G206" s="148">
        <f>SUMIFS('XBS '!T:T,'XBS '!H:H,' General Stock Summary View  '!$G$2,'XBS '!L:L,' General Stock Summary View  '!B206,'XBS '!C:C,' General Stock Summary View  '!C206)</f>
        <v>0</v>
      </c>
      <c r="H206" s="3">
        <f>SUMIFS('PowerApp_Physical count'!H:H,'PowerApp_Physical count'!B:B,' General Stock Summary View  '!$G$2,'PowerApp_Physical count'!C:C,' General Stock Summary View  '!C206,'PowerApp_Physical count'!A:A,' General Stock Summary View  '!B206)</f>
        <v>0</v>
      </c>
      <c r="I206" s="154">
        <f t="shared" si="41"/>
        <v>0</v>
      </c>
      <c r="J206" s="11">
        <f>SUMIFS('XBS '!T:T,'XBS '!H:H,' General Stock Summary View  '!$J$2,'XBS '!L:L,' General Stock Summary View  '!B206,'XBS '!C:C,' General Stock Summary View  '!C206)</f>
        <v>0</v>
      </c>
      <c r="K206" s="157">
        <f>SUMIFS('PowerApp_Physical count'!H:H,'PowerApp_Physical count'!B:B,' General Stock Summary View  '!$J$2,'PowerApp_Physical count'!C:C,' General Stock Summary View  '!C206,'PowerApp_Physical count'!A:A,' General Stock Summary View  '!B206)</f>
        <v>0</v>
      </c>
      <c r="L206" s="127">
        <f t="shared" si="15"/>
        <v>0</v>
      </c>
      <c r="M206" s="126">
        <f t="shared" si="2"/>
        <v>0</v>
      </c>
      <c r="N206" s="11">
        <f t="shared" si="3"/>
        <v>0</v>
      </c>
      <c r="O206" s="144">
        <f t="shared" si="10"/>
        <v>0</v>
      </c>
      <c r="P206" s="2">
        <f>SUMIFS('XBS '!T:T,'XBS '!H:H,' General Stock Summary View  '!$P$2,'XBS '!L:L,' General Stock Summary View  '!B206,'XBS '!C:C,' General Stock Summary View  '!C206)</f>
        <v>0</v>
      </c>
      <c r="Q206" s="3">
        <f>SUMIFS('PowerApp_Physical count'!H:H,'PowerApp_Physical count'!B:B,' General Stock Summary View  '!$P$2,'PowerApp_Physical count'!C:C,' General Stock Summary View  '!C206,'PowerApp_Physical count'!A:A,' General Stock Summary View  '!B206)</f>
        <v>0</v>
      </c>
      <c r="R206" s="4">
        <f t="shared" si="11"/>
        <v>0</v>
      </c>
      <c r="S206" s="5">
        <f>SUMIFS('XBS '!T:T,'XBS '!L:L,' General Stock Summary View  '!B206,'XBS '!H:H,' General Stock Summary View  '!$S$2,'XBS '!C:C,' General Stock Summary View  '!C206)</f>
        <v>0</v>
      </c>
      <c r="T206" s="3">
        <f>SUMIFS('PowerApp_Physical count'!H:H,'PowerApp_Physical count'!B:B,' General Stock Summary View  '!$S$2,'PowerApp_Physical count'!C:C,' General Stock Summary View  '!C206,'PowerApp_Physical count'!A:A,' General Stock Summary View  '!B206)</f>
        <v>0</v>
      </c>
      <c r="U206" s="4">
        <f t="shared" si="4"/>
        <v>0</v>
      </c>
      <c r="V206" s="2">
        <f>SUMIFS('XBS '!T:T,'XBS '!H:H,' General Stock Summary View  '!$V$2,'XBS '!B:B,' General Stock Summary View  '!C206,'XBS '!L:L,' General Stock Summary View  '!B206)</f>
        <v>0</v>
      </c>
      <c r="W206" s="3">
        <f>SUMIFS('PowerApp_Physical count'!H:H,'PowerApp_Physical count'!B:B,' General Stock Summary View  '!$V$2,'PowerApp_Physical count'!C:C,' General Stock Summary View  '!C206,'PowerApp_Physical count'!A:A,' General Stock Summary View  '!B206)</f>
        <v>0</v>
      </c>
      <c r="X206" s="4">
        <f t="shared" si="12"/>
        <v>0</v>
      </c>
      <c r="Y206" s="5">
        <f>SUMIFS('XBS '!T:T,'XBS '!H:H,' General Stock Summary View  '!$Y$2,'XBS '!B:B,' General Stock Summary View  '!C206,'XBS '!L:L,' General Stock Summary View  '!B206)</f>
        <v>7.2166666666666668</v>
      </c>
      <c r="Z206" s="3">
        <f>SUMIFS('PowerApp_Physical count'!H:H,'PowerApp_Physical count'!B:B,' General Stock Summary View  '!$Y$2,'PowerApp_Physical count'!C:C,' General Stock Summary View  '!C206,'PowerApp_Physical count'!A:A,' General Stock Summary View  '!B206)</f>
        <v>0</v>
      </c>
      <c r="AA206" s="4">
        <f t="shared" si="13"/>
        <v>-7.2166666666666668</v>
      </c>
      <c r="AB206" s="5">
        <f>SUMIFS('XBS '!T:T,'XBS '!H:H,' General Stock Summary View  '!$AB$2,'XBS '!B:B,' General Stock Summary View  '!C206,'XBS '!L:L,' General Stock Summary View  '!B206)</f>
        <v>0</v>
      </c>
      <c r="AC206" s="3">
        <f>SUMIFS('PowerApp_Physical count'!H:H,'PowerApp_Physical count'!B:B,' General Stock Summary View  '!$AB$2,'PowerApp_Physical count'!C:C,' General Stock Summary View  '!C206,'PowerApp_Physical count'!A:A,' General Stock Summary View  '!B206)</f>
        <v>0</v>
      </c>
      <c r="AD206" s="6">
        <f t="shared" si="14"/>
        <v>0</v>
      </c>
      <c r="AE206" s="7">
        <f t="shared" si="8"/>
        <v>0</v>
      </c>
      <c r="AF206" s="8">
        <f t="shared" si="9"/>
        <v>-7.2166666666666668</v>
      </c>
      <c r="AG206" s="112"/>
    </row>
    <row r="207" spans="2:33" s="113" customFormat="1" ht="61.15">
      <c r="B207" s="117" t="s">
        <v>219</v>
      </c>
      <c r="C207" s="111" t="s">
        <v>197</v>
      </c>
      <c r="D207" s="11">
        <f>SUMIFS('XBS '!T:T,'XBS '!C:C,' General Stock Summary View  '!C207,'XBS '!L:L,' General Stock Summary View  '!B207)</f>
        <v>51.283333333333331</v>
      </c>
      <c r="E207" s="2">
        <f>SUMIFS('Blocked for Processing'!P:P,'Blocked for Processing'!I:I,' General Stock Summary View  '!B207,'Blocked for Processing'!C:C,' General Stock Summary View  '!C207)</f>
        <v>0</v>
      </c>
      <c r="F207" s="122">
        <f t="shared" si="0"/>
        <v>51.283333333333331</v>
      </c>
      <c r="G207" s="148">
        <f>SUMIFS('XBS '!T:T,'XBS '!H:H,' General Stock Summary View  '!$G$2,'XBS '!L:L,' General Stock Summary View  '!B207,'XBS '!C:C,' General Stock Summary View  '!C207)</f>
        <v>0</v>
      </c>
      <c r="H207" s="3">
        <f>SUMIFS('PowerApp_Physical count'!H:H,'PowerApp_Physical count'!B:B,' General Stock Summary View  '!$G$2,'PowerApp_Physical count'!C:C,' General Stock Summary View  '!C207,'PowerApp_Physical count'!A:A,' General Stock Summary View  '!B207)</f>
        <v>0</v>
      </c>
      <c r="I207" s="154">
        <f t="shared" si="41"/>
        <v>0</v>
      </c>
      <c r="J207" s="11">
        <f>SUMIFS('XBS '!T:T,'XBS '!H:H,' General Stock Summary View  '!$J$2,'XBS '!L:L,' General Stock Summary View  '!B207,'XBS '!C:C,' General Stock Summary View  '!C207)</f>
        <v>0</v>
      </c>
      <c r="K207" s="157">
        <f>SUMIFS('PowerApp_Physical count'!H:H,'PowerApp_Physical count'!B:B,' General Stock Summary View  '!$J$2,'PowerApp_Physical count'!C:C,' General Stock Summary View  '!C207,'PowerApp_Physical count'!A:A,' General Stock Summary View  '!B207)</f>
        <v>0</v>
      </c>
      <c r="L207" s="127">
        <f t="shared" si="15"/>
        <v>0</v>
      </c>
      <c r="M207" s="126">
        <f t="shared" si="2"/>
        <v>0</v>
      </c>
      <c r="N207" s="11">
        <f t="shared" si="3"/>
        <v>0</v>
      </c>
      <c r="O207" s="144">
        <f t="shared" si="10"/>
        <v>0</v>
      </c>
      <c r="P207" s="2">
        <f>SUMIFS('XBS '!T:T,'XBS '!H:H,' General Stock Summary View  '!$P$2,'XBS '!L:L,' General Stock Summary View  '!B207,'XBS '!C:C,' General Stock Summary View  '!C207)</f>
        <v>0</v>
      </c>
      <c r="Q207" s="3">
        <f>SUMIFS('PowerApp_Physical count'!H:H,'PowerApp_Physical count'!B:B,' General Stock Summary View  '!$P$2,'PowerApp_Physical count'!C:C,' General Stock Summary View  '!C207,'PowerApp_Physical count'!A:A,' General Stock Summary View  '!B207)</f>
        <v>0</v>
      </c>
      <c r="R207" s="4">
        <f t="shared" si="11"/>
        <v>0</v>
      </c>
      <c r="S207" s="5">
        <f>SUMIFS('XBS '!T:T,'XBS '!L:L,' General Stock Summary View  '!B207,'XBS '!H:H,' General Stock Summary View  '!$S$2,'XBS '!C:C,' General Stock Summary View  '!C207)</f>
        <v>51.283333333333331</v>
      </c>
      <c r="T207" s="3">
        <f>SUMIFS('PowerApp_Physical count'!H:H,'PowerApp_Physical count'!B:B,' General Stock Summary View  '!$S$2,'PowerApp_Physical count'!C:C,' General Stock Summary View  '!C207,'PowerApp_Physical count'!A:A,' General Stock Summary View  '!B207)</f>
        <v>0</v>
      </c>
      <c r="U207" s="4">
        <f t="shared" si="4"/>
        <v>-51.283333333333331</v>
      </c>
      <c r="V207" s="2">
        <f>SUMIFS('XBS '!T:T,'XBS '!H:H,' General Stock Summary View  '!$V$2,'XBS '!B:B,' General Stock Summary View  '!C207,'XBS '!L:L,' General Stock Summary View  '!B207)</f>
        <v>0</v>
      </c>
      <c r="W207" s="3">
        <f>SUMIFS('PowerApp_Physical count'!H:H,'PowerApp_Physical count'!B:B,' General Stock Summary View  '!$V$2,'PowerApp_Physical count'!C:C,' General Stock Summary View  '!C207,'PowerApp_Physical count'!A:A,' General Stock Summary View  '!B207)</f>
        <v>0</v>
      </c>
      <c r="X207" s="4">
        <f t="shared" si="12"/>
        <v>0</v>
      </c>
      <c r="Y207" s="5">
        <f>SUMIFS('XBS '!T:T,'XBS '!H:H,' General Stock Summary View  '!$Y$2,'XBS '!B:B,' General Stock Summary View  '!C207,'XBS '!L:L,' General Stock Summary View  '!B207)</f>
        <v>0</v>
      </c>
      <c r="Z207" s="3">
        <f>SUMIFS('PowerApp_Physical count'!H:H,'PowerApp_Physical count'!B:B,' General Stock Summary View  '!$Y$2,'PowerApp_Physical count'!C:C,' General Stock Summary View  '!C207,'PowerApp_Physical count'!A:A,' General Stock Summary View  '!B207)</f>
        <v>0</v>
      </c>
      <c r="AA207" s="4">
        <f t="shared" si="13"/>
        <v>0</v>
      </c>
      <c r="AB207" s="5">
        <f>SUMIFS('XBS '!T:T,'XBS '!H:H,' General Stock Summary View  '!$AB$2,'XBS '!B:B,' General Stock Summary View  '!C207,'XBS '!L:L,' General Stock Summary View  '!B207)</f>
        <v>0</v>
      </c>
      <c r="AC207" s="3">
        <f>SUMIFS('PowerApp_Physical count'!H:H,'PowerApp_Physical count'!B:B,' General Stock Summary View  '!$AB$2,'PowerApp_Physical count'!C:C,' General Stock Summary View  '!C207,'PowerApp_Physical count'!A:A,' General Stock Summary View  '!B207)</f>
        <v>0</v>
      </c>
      <c r="AD207" s="6">
        <f t="shared" si="14"/>
        <v>0</v>
      </c>
      <c r="AE207" s="7">
        <f t="shared" si="8"/>
        <v>0</v>
      </c>
      <c r="AF207" s="8">
        <f t="shared" si="9"/>
        <v>-51.283333333333331</v>
      </c>
      <c r="AG207" s="112"/>
    </row>
    <row r="208" spans="2:33" s="113" customFormat="1" ht="61.15">
      <c r="B208" s="117" t="s">
        <v>112</v>
      </c>
      <c r="C208" s="111" t="s">
        <v>197</v>
      </c>
      <c r="D208" s="11">
        <f>SUMIFS('XBS '!T:T,'XBS '!C:C,' General Stock Summary View  '!C208,'XBS '!L:L,' General Stock Summary View  '!B208)</f>
        <v>16.7</v>
      </c>
      <c r="E208" s="2">
        <f>SUMIFS('Blocked for Processing'!P:P,'Blocked for Processing'!I:I,' General Stock Summary View  '!B208,'Blocked for Processing'!C:C,' General Stock Summary View  '!C208)</f>
        <v>0</v>
      </c>
      <c r="F208" s="122">
        <f t="shared" si="0"/>
        <v>16.7</v>
      </c>
      <c r="G208" s="148">
        <f>SUMIFS('XBS '!T:T,'XBS '!H:H,' General Stock Summary View  '!$G$2,'XBS '!L:L,' General Stock Summary View  '!B208,'XBS '!C:C,' General Stock Summary View  '!C208)</f>
        <v>0</v>
      </c>
      <c r="H208" s="3">
        <f>SUMIFS('PowerApp_Physical count'!H:H,'PowerApp_Physical count'!B:B,' General Stock Summary View  '!$G$2,'PowerApp_Physical count'!C:C,' General Stock Summary View  '!C208,'PowerApp_Physical count'!A:A,' General Stock Summary View  '!B208)</f>
        <v>0</v>
      </c>
      <c r="I208" s="154">
        <f t="shared" si="41"/>
        <v>0</v>
      </c>
      <c r="J208" s="11">
        <f>SUMIFS('XBS '!T:T,'XBS '!H:H,' General Stock Summary View  '!$J$2,'XBS '!L:L,' General Stock Summary View  '!B208,'XBS '!C:C,' General Stock Summary View  '!C208)</f>
        <v>0</v>
      </c>
      <c r="K208" s="157">
        <f>SUMIFS('PowerApp_Physical count'!H:H,'PowerApp_Physical count'!B:B,' General Stock Summary View  '!$J$2,'PowerApp_Physical count'!C:C,' General Stock Summary View  '!C208,'PowerApp_Physical count'!A:A,' General Stock Summary View  '!B208)</f>
        <v>0</v>
      </c>
      <c r="L208" s="127">
        <f t="shared" si="15"/>
        <v>0</v>
      </c>
      <c r="M208" s="126">
        <f t="shared" si="2"/>
        <v>0</v>
      </c>
      <c r="N208" s="11">
        <f t="shared" si="3"/>
        <v>0</v>
      </c>
      <c r="O208" s="144">
        <f t="shared" si="10"/>
        <v>0</v>
      </c>
      <c r="P208" s="2">
        <f>SUMIFS('XBS '!T:T,'XBS '!H:H,' General Stock Summary View  '!$P$2,'XBS '!L:L,' General Stock Summary View  '!B208,'XBS '!C:C,' General Stock Summary View  '!C208)</f>
        <v>0</v>
      </c>
      <c r="Q208" s="3">
        <f>SUMIFS('PowerApp_Physical count'!H:H,'PowerApp_Physical count'!B:B,' General Stock Summary View  '!$P$2,'PowerApp_Physical count'!C:C,' General Stock Summary View  '!C208,'PowerApp_Physical count'!A:A,' General Stock Summary View  '!B208)</f>
        <v>0</v>
      </c>
      <c r="R208" s="4">
        <f t="shared" si="11"/>
        <v>0</v>
      </c>
      <c r="S208" s="5">
        <f>SUMIFS('XBS '!T:T,'XBS '!L:L,' General Stock Summary View  '!B208,'XBS '!H:H,' General Stock Summary View  '!$S$2,'XBS '!C:C,' General Stock Summary View  '!C208)</f>
        <v>16.7</v>
      </c>
      <c r="T208" s="3">
        <f>SUMIFS('PowerApp_Physical count'!H:H,'PowerApp_Physical count'!B:B,' General Stock Summary View  '!$S$2,'PowerApp_Physical count'!C:C,' General Stock Summary View  '!C208,'PowerApp_Physical count'!A:A,' General Stock Summary View  '!B208)</f>
        <v>0</v>
      </c>
      <c r="U208" s="4">
        <f t="shared" si="4"/>
        <v>-16.7</v>
      </c>
      <c r="V208" s="2">
        <f>SUMIFS('XBS '!T:T,'XBS '!H:H,' General Stock Summary View  '!$V$2,'XBS '!B:B,' General Stock Summary View  '!C208,'XBS '!L:L,' General Stock Summary View  '!B208)</f>
        <v>0</v>
      </c>
      <c r="W208" s="3">
        <f>SUMIFS('PowerApp_Physical count'!H:H,'PowerApp_Physical count'!B:B,' General Stock Summary View  '!$V$2,'PowerApp_Physical count'!C:C,' General Stock Summary View  '!C208,'PowerApp_Physical count'!A:A,' General Stock Summary View  '!B208)</f>
        <v>0</v>
      </c>
      <c r="X208" s="4">
        <f t="shared" si="12"/>
        <v>0</v>
      </c>
      <c r="Y208" s="5">
        <f>SUMIFS('XBS '!T:T,'XBS '!H:H,' General Stock Summary View  '!$Y$2,'XBS '!B:B,' General Stock Summary View  '!C208,'XBS '!L:L,' General Stock Summary View  '!B208)</f>
        <v>0</v>
      </c>
      <c r="Z208" s="3">
        <f>SUMIFS('PowerApp_Physical count'!H:H,'PowerApp_Physical count'!B:B,' General Stock Summary View  '!$Y$2,'PowerApp_Physical count'!C:C,' General Stock Summary View  '!C208,'PowerApp_Physical count'!A:A,' General Stock Summary View  '!B208)</f>
        <v>0</v>
      </c>
      <c r="AA208" s="4">
        <f t="shared" si="13"/>
        <v>0</v>
      </c>
      <c r="AB208" s="5">
        <f>SUMIFS('XBS '!T:T,'XBS '!H:H,' General Stock Summary View  '!$AB$2,'XBS '!B:B,' General Stock Summary View  '!C208,'XBS '!L:L,' General Stock Summary View  '!B208)</f>
        <v>0</v>
      </c>
      <c r="AC208" s="3">
        <f>SUMIFS('PowerApp_Physical count'!H:H,'PowerApp_Physical count'!B:B,' General Stock Summary View  '!$AB$2,'PowerApp_Physical count'!C:C,' General Stock Summary View  '!C208,'PowerApp_Physical count'!A:A,' General Stock Summary View  '!B208)</f>
        <v>0</v>
      </c>
      <c r="AD208" s="6">
        <f t="shared" si="14"/>
        <v>0</v>
      </c>
      <c r="AE208" s="7">
        <f t="shared" si="8"/>
        <v>0</v>
      </c>
      <c r="AF208" s="8">
        <f t="shared" si="9"/>
        <v>-16.7</v>
      </c>
      <c r="AG208" s="112"/>
    </row>
    <row r="209" spans="2:33" s="113" customFormat="1" ht="61.15">
      <c r="B209" s="117" t="s">
        <v>53</v>
      </c>
      <c r="C209" s="111" t="s">
        <v>197</v>
      </c>
      <c r="D209" s="11">
        <f>SUMIFS('XBS '!T:T,'XBS '!C:C,' General Stock Summary View  '!C209,'XBS '!L:L,' General Stock Summary View  '!B209)</f>
        <v>25.766666666666666</v>
      </c>
      <c r="E209" s="2">
        <f>SUMIFS('Blocked for Processing'!P:P,'Blocked for Processing'!I:I,' General Stock Summary View  '!B209,'Blocked for Processing'!C:C,' General Stock Summary View  '!C209)</f>
        <v>0</v>
      </c>
      <c r="F209" s="122">
        <f t="shared" si="0"/>
        <v>25.766666666666666</v>
      </c>
      <c r="G209" s="148">
        <f>SUMIFS('XBS '!T:T,'XBS '!H:H,' General Stock Summary View  '!$G$2,'XBS '!L:L,' General Stock Summary View  '!B209,'XBS '!C:C,' General Stock Summary View  '!C209)</f>
        <v>0</v>
      </c>
      <c r="H209" s="3">
        <f>SUMIFS('PowerApp_Physical count'!H:H,'PowerApp_Physical count'!B:B,' General Stock Summary View  '!$G$2,'PowerApp_Physical count'!C:C,' General Stock Summary View  '!C209,'PowerApp_Physical count'!A:A,' General Stock Summary View  '!B209)</f>
        <v>0</v>
      </c>
      <c r="I209" s="154">
        <f t="shared" si="41"/>
        <v>0</v>
      </c>
      <c r="J209" s="11">
        <f>SUMIFS('XBS '!T:T,'XBS '!H:H,' General Stock Summary View  '!$J$2,'XBS '!L:L,' General Stock Summary View  '!B209,'XBS '!C:C,' General Stock Summary View  '!C209)</f>
        <v>0</v>
      </c>
      <c r="K209" s="157">
        <f>SUMIFS('PowerApp_Physical count'!H:H,'PowerApp_Physical count'!B:B,' General Stock Summary View  '!$J$2,'PowerApp_Physical count'!C:C,' General Stock Summary View  '!C209,'PowerApp_Physical count'!A:A,' General Stock Summary View  '!B209)</f>
        <v>0</v>
      </c>
      <c r="L209" s="127">
        <f t="shared" si="15"/>
        <v>0</v>
      </c>
      <c r="M209" s="126">
        <f t="shared" si="2"/>
        <v>0</v>
      </c>
      <c r="N209" s="11">
        <f t="shared" si="3"/>
        <v>0</v>
      </c>
      <c r="O209" s="144">
        <f t="shared" si="10"/>
        <v>0</v>
      </c>
      <c r="P209" s="2">
        <f>SUMIFS('XBS '!T:T,'XBS '!H:H,' General Stock Summary View  '!$P$2,'XBS '!L:L,' General Stock Summary View  '!B209,'XBS '!C:C,' General Stock Summary View  '!C209)</f>
        <v>0</v>
      </c>
      <c r="Q209" s="3">
        <f>SUMIFS('PowerApp_Physical count'!H:H,'PowerApp_Physical count'!B:B,' General Stock Summary View  '!$P$2,'PowerApp_Physical count'!C:C,' General Stock Summary View  '!C209,'PowerApp_Physical count'!A:A,' General Stock Summary View  '!B209)</f>
        <v>0</v>
      </c>
      <c r="R209" s="4">
        <f t="shared" si="11"/>
        <v>0</v>
      </c>
      <c r="S209" s="5">
        <f>SUMIFS('XBS '!T:T,'XBS '!L:L,' General Stock Summary View  '!B209,'XBS '!H:H,' General Stock Summary View  '!$S$2,'XBS '!C:C,' General Stock Summary View  '!C209)</f>
        <v>25.766666666666666</v>
      </c>
      <c r="T209" s="3">
        <f>SUMIFS('PowerApp_Physical count'!H:H,'PowerApp_Physical count'!B:B,' General Stock Summary View  '!$S$2,'PowerApp_Physical count'!C:C,' General Stock Summary View  '!C209,'PowerApp_Physical count'!A:A,' General Stock Summary View  '!B209)</f>
        <v>0</v>
      </c>
      <c r="U209" s="4">
        <f t="shared" si="4"/>
        <v>-25.766666666666666</v>
      </c>
      <c r="V209" s="2">
        <f>SUMIFS('XBS '!T:T,'XBS '!H:H,' General Stock Summary View  '!$V$2,'XBS '!B:B,' General Stock Summary View  '!C209,'XBS '!L:L,' General Stock Summary View  '!B209)</f>
        <v>0</v>
      </c>
      <c r="W209" s="3">
        <f>SUMIFS('PowerApp_Physical count'!H:H,'PowerApp_Physical count'!B:B,' General Stock Summary View  '!$V$2,'PowerApp_Physical count'!C:C,' General Stock Summary View  '!C209,'PowerApp_Physical count'!A:A,' General Stock Summary View  '!B209)</f>
        <v>0</v>
      </c>
      <c r="X209" s="4">
        <f t="shared" si="12"/>
        <v>0</v>
      </c>
      <c r="Y209" s="5">
        <f>SUMIFS('XBS '!T:T,'XBS '!H:H,' General Stock Summary View  '!$Y$2,'XBS '!B:B,' General Stock Summary View  '!C209,'XBS '!L:L,' General Stock Summary View  '!B209)</f>
        <v>0</v>
      </c>
      <c r="Z209" s="3">
        <f>SUMIFS('PowerApp_Physical count'!H:H,'PowerApp_Physical count'!B:B,' General Stock Summary View  '!$Y$2,'PowerApp_Physical count'!C:C,' General Stock Summary View  '!C209,'PowerApp_Physical count'!A:A,' General Stock Summary View  '!B209)</f>
        <v>0</v>
      </c>
      <c r="AA209" s="4">
        <f t="shared" si="13"/>
        <v>0</v>
      </c>
      <c r="AB209" s="5">
        <f>SUMIFS('XBS '!T:T,'XBS '!H:H,' General Stock Summary View  '!$AB$2,'XBS '!B:B,' General Stock Summary View  '!C209,'XBS '!L:L,' General Stock Summary View  '!B209)</f>
        <v>0</v>
      </c>
      <c r="AC209" s="3">
        <f>SUMIFS('PowerApp_Physical count'!H:H,'PowerApp_Physical count'!B:B,' General Stock Summary View  '!$AB$2,'PowerApp_Physical count'!C:C,' General Stock Summary View  '!C209,'PowerApp_Physical count'!A:A,' General Stock Summary View  '!B209)</f>
        <v>0</v>
      </c>
      <c r="AD209" s="6">
        <f t="shared" si="14"/>
        <v>0</v>
      </c>
      <c r="AE209" s="7">
        <f t="shared" si="8"/>
        <v>0</v>
      </c>
      <c r="AF209" s="8">
        <f t="shared" si="9"/>
        <v>-25.766666666666666</v>
      </c>
      <c r="AG209" s="112"/>
    </row>
    <row r="210" spans="2:33" s="113" customFormat="1" ht="61.15">
      <c r="B210" s="117" t="s">
        <v>220</v>
      </c>
      <c r="C210" s="111" t="s">
        <v>197</v>
      </c>
      <c r="D210" s="11">
        <f>SUMIFS('XBS '!T:T,'XBS '!C:C,' General Stock Summary View  '!C210,'XBS '!L:L,' General Stock Summary View  '!B210)</f>
        <v>16.033333333333335</v>
      </c>
      <c r="E210" s="2">
        <f>SUMIFS('Blocked for Processing'!P:P,'Blocked for Processing'!I:I,' General Stock Summary View  '!B210,'Blocked for Processing'!C:C,' General Stock Summary View  '!C210)</f>
        <v>0</v>
      </c>
      <c r="F210" s="122">
        <f t="shared" si="0"/>
        <v>16.033333333333335</v>
      </c>
      <c r="G210" s="148">
        <f>SUMIFS('XBS '!T:T,'XBS '!H:H,' General Stock Summary View  '!$G$2,'XBS '!L:L,' General Stock Summary View  '!B210,'XBS '!C:C,' General Stock Summary View  '!C210)</f>
        <v>0</v>
      </c>
      <c r="H210" s="3">
        <f>SUMIFS('PowerApp_Physical count'!H:H,'PowerApp_Physical count'!B:B,' General Stock Summary View  '!$G$2,'PowerApp_Physical count'!C:C,' General Stock Summary View  '!C210,'PowerApp_Physical count'!A:A,' General Stock Summary View  '!B210)</f>
        <v>0</v>
      </c>
      <c r="I210" s="154">
        <f t="shared" si="41"/>
        <v>0</v>
      </c>
      <c r="J210" s="11">
        <f>SUMIFS('XBS '!T:T,'XBS '!H:H,' General Stock Summary View  '!$J$2,'XBS '!L:L,' General Stock Summary View  '!B210,'XBS '!C:C,' General Stock Summary View  '!C210)</f>
        <v>0</v>
      </c>
      <c r="K210" s="157">
        <f>SUMIFS('PowerApp_Physical count'!H:H,'PowerApp_Physical count'!B:B,' General Stock Summary View  '!$J$2,'PowerApp_Physical count'!C:C,' General Stock Summary View  '!C210,'PowerApp_Physical count'!A:A,' General Stock Summary View  '!B210)</f>
        <v>0</v>
      </c>
      <c r="L210" s="127">
        <f t="shared" si="15"/>
        <v>0</v>
      </c>
      <c r="M210" s="126">
        <f t="shared" si="2"/>
        <v>0</v>
      </c>
      <c r="N210" s="11">
        <f t="shared" si="3"/>
        <v>0</v>
      </c>
      <c r="O210" s="144">
        <f t="shared" si="10"/>
        <v>0</v>
      </c>
      <c r="P210" s="2">
        <f>SUMIFS('XBS '!T:T,'XBS '!H:H,' General Stock Summary View  '!$P$2,'XBS '!L:L,' General Stock Summary View  '!B210,'XBS '!C:C,' General Stock Summary View  '!C210)</f>
        <v>0</v>
      </c>
      <c r="Q210" s="3">
        <f>SUMIFS('PowerApp_Physical count'!H:H,'PowerApp_Physical count'!B:B,' General Stock Summary View  '!$P$2,'PowerApp_Physical count'!C:C,' General Stock Summary View  '!C210,'PowerApp_Physical count'!A:A,' General Stock Summary View  '!B210)</f>
        <v>0</v>
      </c>
      <c r="R210" s="4">
        <f t="shared" si="11"/>
        <v>0</v>
      </c>
      <c r="S210" s="5">
        <f>SUMIFS('XBS '!T:T,'XBS '!L:L,' General Stock Summary View  '!B210,'XBS '!H:H,' General Stock Summary View  '!$S$2,'XBS '!C:C,' General Stock Summary View  '!C210)</f>
        <v>16.033333333333335</v>
      </c>
      <c r="T210" s="3">
        <f>SUMIFS('PowerApp_Physical count'!H:H,'PowerApp_Physical count'!B:B,' General Stock Summary View  '!$S$2,'PowerApp_Physical count'!C:C,' General Stock Summary View  '!C210,'PowerApp_Physical count'!A:A,' General Stock Summary View  '!B210)</f>
        <v>0</v>
      </c>
      <c r="U210" s="4">
        <f t="shared" si="4"/>
        <v>-16.033333333333335</v>
      </c>
      <c r="V210" s="2">
        <f>SUMIFS('XBS '!T:T,'XBS '!H:H,' General Stock Summary View  '!$V$2,'XBS '!B:B,' General Stock Summary View  '!C210,'XBS '!L:L,' General Stock Summary View  '!B210)</f>
        <v>0</v>
      </c>
      <c r="W210" s="3">
        <f>SUMIFS('PowerApp_Physical count'!H:H,'PowerApp_Physical count'!B:B,' General Stock Summary View  '!$V$2,'PowerApp_Physical count'!C:C,' General Stock Summary View  '!C210,'PowerApp_Physical count'!A:A,' General Stock Summary View  '!B210)</f>
        <v>0</v>
      </c>
      <c r="X210" s="4">
        <f t="shared" si="12"/>
        <v>0</v>
      </c>
      <c r="Y210" s="5">
        <f>SUMIFS('XBS '!T:T,'XBS '!H:H,' General Stock Summary View  '!$Y$2,'XBS '!B:B,' General Stock Summary View  '!C210,'XBS '!L:L,' General Stock Summary View  '!B210)</f>
        <v>0</v>
      </c>
      <c r="Z210" s="3">
        <f>SUMIFS('PowerApp_Physical count'!H:H,'PowerApp_Physical count'!B:B,' General Stock Summary View  '!$Y$2,'PowerApp_Physical count'!C:C,' General Stock Summary View  '!C210,'PowerApp_Physical count'!A:A,' General Stock Summary View  '!B210)</f>
        <v>0</v>
      </c>
      <c r="AA210" s="4">
        <f t="shared" si="13"/>
        <v>0</v>
      </c>
      <c r="AB210" s="5">
        <f>SUMIFS('XBS '!T:T,'XBS '!H:H,' General Stock Summary View  '!$AB$2,'XBS '!B:B,' General Stock Summary View  '!C210,'XBS '!L:L,' General Stock Summary View  '!B210)</f>
        <v>0</v>
      </c>
      <c r="AC210" s="3">
        <f>SUMIFS('PowerApp_Physical count'!H:H,'PowerApp_Physical count'!B:B,' General Stock Summary View  '!$AB$2,'PowerApp_Physical count'!C:C,' General Stock Summary View  '!C210,'PowerApp_Physical count'!A:A,' General Stock Summary View  '!B210)</f>
        <v>0</v>
      </c>
      <c r="AD210" s="6">
        <f t="shared" si="14"/>
        <v>0</v>
      </c>
      <c r="AE210" s="7">
        <f t="shared" si="8"/>
        <v>0</v>
      </c>
      <c r="AF210" s="8">
        <f t="shared" si="9"/>
        <v>-16.033333333333335</v>
      </c>
      <c r="AG210" s="112"/>
    </row>
    <row r="211" spans="2:33" s="113" customFormat="1" ht="61.15">
      <c r="B211" s="117" t="s">
        <v>221</v>
      </c>
      <c r="C211" s="111" t="s">
        <v>197</v>
      </c>
      <c r="D211" s="11">
        <f>SUMIFS('XBS '!T:T,'XBS '!C:C,' General Stock Summary View  '!C211,'XBS '!L:L,' General Stock Summary View  '!B211)</f>
        <v>1.0166666666666666</v>
      </c>
      <c r="E211" s="2">
        <f>SUMIFS('Blocked for Processing'!P:P,'Blocked for Processing'!I:I,' General Stock Summary View  '!B211,'Blocked for Processing'!C:C,' General Stock Summary View  '!C211)</f>
        <v>0</v>
      </c>
      <c r="F211" s="122">
        <f t="shared" si="0"/>
        <v>1.0166666666666666</v>
      </c>
      <c r="G211" s="148">
        <f>SUMIFS('XBS '!T:T,'XBS '!H:H,' General Stock Summary View  '!$G$2,'XBS '!L:L,' General Stock Summary View  '!B211,'XBS '!C:C,' General Stock Summary View  '!C211)</f>
        <v>0</v>
      </c>
      <c r="H211" s="3">
        <f>SUMIFS('PowerApp_Physical count'!H:H,'PowerApp_Physical count'!B:B,' General Stock Summary View  '!$G$2,'PowerApp_Physical count'!C:C,' General Stock Summary View  '!C211,'PowerApp_Physical count'!A:A,' General Stock Summary View  '!B211)</f>
        <v>0</v>
      </c>
      <c r="I211" s="154">
        <f t="shared" si="41"/>
        <v>0</v>
      </c>
      <c r="J211" s="11">
        <f>SUMIFS('XBS '!T:T,'XBS '!H:H,' General Stock Summary View  '!$J$2,'XBS '!L:L,' General Stock Summary View  '!B211,'XBS '!C:C,' General Stock Summary View  '!C211)</f>
        <v>0</v>
      </c>
      <c r="K211" s="157">
        <f>SUMIFS('PowerApp_Physical count'!H:H,'PowerApp_Physical count'!B:B,' General Stock Summary View  '!$J$2,'PowerApp_Physical count'!C:C,' General Stock Summary View  '!C211,'PowerApp_Physical count'!A:A,' General Stock Summary View  '!B211)</f>
        <v>0</v>
      </c>
      <c r="L211" s="127">
        <f t="shared" si="15"/>
        <v>0</v>
      </c>
      <c r="M211" s="126">
        <f t="shared" si="2"/>
        <v>0</v>
      </c>
      <c r="N211" s="11">
        <f t="shared" si="3"/>
        <v>0</v>
      </c>
      <c r="O211" s="144">
        <f t="shared" si="10"/>
        <v>0</v>
      </c>
      <c r="P211" s="2">
        <f>SUMIFS('XBS '!T:T,'XBS '!H:H,' General Stock Summary View  '!$P$2,'XBS '!L:L,' General Stock Summary View  '!B211,'XBS '!C:C,' General Stock Summary View  '!C211)</f>
        <v>1.0166666666666666</v>
      </c>
      <c r="Q211" s="3">
        <f>SUMIFS('PowerApp_Physical count'!H:H,'PowerApp_Physical count'!B:B,' General Stock Summary View  '!$P$2,'PowerApp_Physical count'!C:C,' General Stock Summary View  '!C211,'PowerApp_Physical count'!A:A,' General Stock Summary View  '!B211)</f>
        <v>0</v>
      </c>
      <c r="R211" s="4">
        <f t="shared" si="11"/>
        <v>-1.0166666666666666</v>
      </c>
      <c r="S211" s="5">
        <f>SUMIFS('XBS '!T:T,'XBS '!L:L,' General Stock Summary View  '!B211,'XBS '!H:H,' General Stock Summary View  '!$S$2,'XBS '!C:C,' General Stock Summary View  '!C211)</f>
        <v>0</v>
      </c>
      <c r="T211" s="3">
        <f>SUMIFS('PowerApp_Physical count'!H:H,'PowerApp_Physical count'!B:B,' General Stock Summary View  '!$S$2,'PowerApp_Physical count'!C:C,' General Stock Summary View  '!C211,'PowerApp_Physical count'!A:A,' General Stock Summary View  '!B211)</f>
        <v>0</v>
      </c>
      <c r="U211" s="4">
        <f t="shared" si="4"/>
        <v>0</v>
      </c>
      <c r="V211" s="2">
        <f>SUMIFS('XBS '!T:T,'XBS '!H:H,' General Stock Summary View  '!$V$2,'XBS '!B:B,' General Stock Summary View  '!C211,'XBS '!L:L,' General Stock Summary View  '!B211)</f>
        <v>0</v>
      </c>
      <c r="W211" s="3">
        <f>SUMIFS('PowerApp_Physical count'!H:H,'PowerApp_Physical count'!B:B,' General Stock Summary View  '!$V$2,'PowerApp_Physical count'!C:C,' General Stock Summary View  '!C211,'PowerApp_Physical count'!A:A,' General Stock Summary View  '!B211)</f>
        <v>0</v>
      </c>
      <c r="X211" s="4">
        <f t="shared" si="12"/>
        <v>0</v>
      </c>
      <c r="Y211" s="5">
        <f>SUMIFS('XBS '!T:T,'XBS '!H:H,' General Stock Summary View  '!$Y$2,'XBS '!B:B,' General Stock Summary View  '!C211,'XBS '!L:L,' General Stock Summary View  '!B211)</f>
        <v>0</v>
      </c>
      <c r="Z211" s="3">
        <f>SUMIFS('PowerApp_Physical count'!H:H,'PowerApp_Physical count'!B:B,' General Stock Summary View  '!$Y$2,'PowerApp_Physical count'!C:C,' General Stock Summary View  '!C211,'PowerApp_Physical count'!A:A,' General Stock Summary View  '!B211)</f>
        <v>0</v>
      </c>
      <c r="AA211" s="4">
        <f t="shared" si="13"/>
        <v>0</v>
      </c>
      <c r="AB211" s="5">
        <f>SUMIFS('XBS '!T:T,'XBS '!H:H,' General Stock Summary View  '!$AB$2,'XBS '!B:B,' General Stock Summary View  '!C211,'XBS '!L:L,' General Stock Summary View  '!B211)</f>
        <v>0</v>
      </c>
      <c r="AC211" s="3">
        <f>SUMIFS('PowerApp_Physical count'!H:H,'PowerApp_Physical count'!B:B,' General Stock Summary View  '!$AB$2,'PowerApp_Physical count'!C:C,' General Stock Summary View  '!C211,'PowerApp_Physical count'!A:A,' General Stock Summary View  '!B211)</f>
        <v>0</v>
      </c>
      <c r="AD211" s="6">
        <f t="shared" si="14"/>
        <v>0</v>
      </c>
      <c r="AE211" s="7">
        <f t="shared" si="8"/>
        <v>0</v>
      </c>
      <c r="AF211" s="8">
        <f t="shared" si="9"/>
        <v>-1.0166666666666666</v>
      </c>
      <c r="AG211" s="112"/>
    </row>
    <row r="212" spans="2:33" s="113" customFormat="1" ht="61.15">
      <c r="B212" s="117" t="s">
        <v>222</v>
      </c>
      <c r="C212" s="111" t="s">
        <v>197</v>
      </c>
      <c r="D212" s="11">
        <f>SUMIFS('XBS '!T:T,'XBS '!C:C,' General Stock Summary View  '!C212,'XBS '!L:L,' General Stock Summary View  '!B212)</f>
        <v>9</v>
      </c>
      <c r="E212" s="2">
        <f>SUMIFS('Blocked for Processing'!P:P,'Blocked for Processing'!I:I,' General Stock Summary View  '!B212,'Blocked for Processing'!C:C,' General Stock Summary View  '!C212)</f>
        <v>0</v>
      </c>
      <c r="F212" s="122">
        <f t="shared" si="0"/>
        <v>9</v>
      </c>
      <c r="G212" s="148">
        <f>SUMIFS('XBS '!T:T,'XBS '!H:H,' General Stock Summary View  '!$G$2,'XBS '!L:L,' General Stock Summary View  '!B212,'XBS '!C:C,' General Stock Summary View  '!C212)</f>
        <v>0</v>
      </c>
      <c r="H212" s="3">
        <f>SUMIFS('PowerApp_Physical count'!H:H,'PowerApp_Physical count'!B:B,' General Stock Summary View  '!$G$2,'PowerApp_Physical count'!C:C,' General Stock Summary View  '!C212,'PowerApp_Physical count'!A:A,' General Stock Summary View  '!B212)</f>
        <v>0</v>
      </c>
      <c r="I212" s="154">
        <f t="shared" si="41"/>
        <v>0</v>
      </c>
      <c r="J212" s="11">
        <f>SUMIFS('XBS '!T:T,'XBS '!H:H,' General Stock Summary View  '!$J$2,'XBS '!L:L,' General Stock Summary View  '!B212,'XBS '!C:C,' General Stock Summary View  '!C212)</f>
        <v>0</v>
      </c>
      <c r="K212" s="157">
        <f>SUMIFS('PowerApp_Physical count'!H:H,'PowerApp_Physical count'!B:B,' General Stock Summary View  '!$J$2,'PowerApp_Physical count'!C:C,' General Stock Summary View  '!C212,'PowerApp_Physical count'!A:A,' General Stock Summary View  '!B212)</f>
        <v>0</v>
      </c>
      <c r="L212" s="127">
        <f t="shared" si="15"/>
        <v>0</v>
      </c>
      <c r="M212" s="126">
        <f t="shared" si="2"/>
        <v>0</v>
      </c>
      <c r="N212" s="11">
        <f t="shared" si="3"/>
        <v>0</v>
      </c>
      <c r="O212" s="144">
        <f t="shared" si="10"/>
        <v>0</v>
      </c>
      <c r="P212" s="2">
        <f>SUMIFS('XBS '!T:T,'XBS '!H:H,' General Stock Summary View  '!$P$2,'XBS '!L:L,' General Stock Summary View  '!B212,'XBS '!C:C,' General Stock Summary View  '!C212)</f>
        <v>9</v>
      </c>
      <c r="Q212" s="3">
        <f>SUMIFS('PowerApp_Physical count'!H:H,'PowerApp_Physical count'!B:B,' General Stock Summary View  '!$P$2,'PowerApp_Physical count'!C:C,' General Stock Summary View  '!C212,'PowerApp_Physical count'!A:A,' General Stock Summary View  '!B212)</f>
        <v>0</v>
      </c>
      <c r="R212" s="4">
        <f t="shared" si="11"/>
        <v>-9</v>
      </c>
      <c r="S212" s="5">
        <f>SUMIFS('XBS '!T:T,'XBS '!L:L,' General Stock Summary View  '!B212,'XBS '!H:H,' General Stock Summary View  '!$S$2,'XBS '!C:C,' General Stock Summary View  '!C212)</f>
        <v>0</v>
      </c>
      <c r="T212" s="3">
        <f>SUMIFS('PowerApp_Physical count'!H:H,'PowerApp_Physical count'!B:B,' General Stock Summary View  '!$S$2,'PowerApp_Physical count'!C:C,' General Stock Summary View  '!C212,'PowerApp_Physical count'!A:A,' General Stock Summary View  '!B212)</f>
        <v>0</v>
      </c>
      <c r="U212" s="4">
        <f t="shared" si="4"/>
        <v>0</v>
      </c>
      <c r="V212" s="2">
        <f>SUMIFS('XBS '!T:T,'XBS '!H:H,' General Stock Summary View  '!$V$2,'XBS '!B:B,' General Stock Summary View  '!C212,'XBS '!L:L,' General Stock Summary View  '!B212)</f>
        <v>0</v>
      </c>
      <c r="W212" s="3">
        <f>SUMIFS('PowerApp_Physical count'!H:H,'PowerApp_Physical count'!B:B,' General Stock Summary View  '!$V$2,'PowerApp_Physical count'!C:C,' General Stock Summary View  '!C212,'PowerApp_Physical count'!A:A,' General Stock Summary View  '!B212)</f>
        <v>0</v>
      </c>
      <c r="X212" s="4">
        <f t="shared" si="12"/>
        <v>0</v>
      </c>
      <c r="Y212" s="5">
        <f>SUMIFS('XBS '!T:T,'XBS '!H:H,' General Stock Summary View  '!$Y$2,'XBS '!B:B,' General Stock Summary View  '!C212,'XBS '!L:L,' General Stock Summary View  '!B212)</f>
        <v>0</v>
      </c>
      <c r="Z212" s="3">
        <f>SUMIFS('PowerApp_Physical count'!H:H,'PowerApp_Physical count'!B:B,' General Stock Summary View  '!$Y$2,'PowerApp_Physical count'!C:C,' General Stock Summary View  '!C212,'PowerApp_Physical count'!A:A,' General Stock Summary View  '!B212)</f>
        <v>0</v>
      </c>
      <c r="AA212" s="4">
        <f t="shared" si="13"/>
        <v>0</v>
      </c>
      <c r="AB212" s="5">
        <f>SUMIFS('XBS '!T:T,'XBS '!H:H,' General Stock Summary View  '!$AB$2,'XBS '!B:B,' General Stock Summary View  '!C212,'XBS '!L:L,' General Stock Summary View  '!B212)</f>
        <v>0</v>
      </c>
      <c r="AC212" s="3">
        <f>SUMIFS('PowerApp_Physical count'!H:H,'PowerApp_Physical count'!B:B,' General Stock Summary View  '!$AB$2,'PowerApp_Physical count'!C:C,' General Stock Summary View  '!C212,'PowerApp_Physical count'!A:A,' General Stock Summary View  '!B212)</f>
        <v>0</v>
      </c>
      <c r="AD212" s="6">
        <f t="shared" si="14"/>
        <v>0</v>
      </c>
      <c r="AE212" s="7">
        <f t="shared" si="8"/>
        <v>0</v>
      </c>
      <c r="AF212" s="8">
        <f t="shared" si="9"/>
        <v>-9</v>
      </c>
      <c r="AG212" s="112"/>
    </row>
    <row r="213" spans="2:33" s="113" customFormat="1" ht="61.15">
      <c r="B213" s="117" t="s">
        <v>223</v>
      </c>
      <c r="C213" s="111" t="s">
        <v>197</v>
      </c>
      <c r="D213" s="11">
        <f>SUMIFS('XBS '!T:T,'XBS '!C:C,' General Stock Summary View  '!C213,'XBS '!L:L,' General Stock Summary View  '!B213)</f>
        <v>12.366666666666667</v>
      </c>
      <c r="E213" s="2">
        <f>SUMIFS('Blocked for Processing'!P:P,'Blocked for Processing'!I:I,' General Stock Summary View  '!B213,'Blocked for Processing'!C:C,' General Stock Summary View  '!C213)</f>
        <v>0</v>
      </c>
      <c r="F213" s="122">
        <f t="shared" si="0"/>
        <v>12.366666666666667</v>
      </c>
      <c r="G213" s="148">
        <f>SUMIFS('XBS '!T:T,'XBS '!H:H,' General Stock Summary View  '!$G$2,'XBS '!L:L,' General Stock Summary View  '!B213,'XBS '!C:C,' General Stock Summary View  '!C213)</f>
        <v>0</v>
      </c>
      <c r="H213" s="3">
        <f>SUMIFS('PowerApp_Physical count'!H:H,'PowerApp_Physical count'!B:B,' General Stock Summary View  '!$G$2,'PowerApp_Physical count'!C:C,' General Stock Summary View  '!C213,'PowerApp_Physical count'!A:A,' General Stock Summary View  '!B213)</f>
        <v>0</v>
      </c>
      <c r="I213" s="154">
        <f t="shared" si="41"/>
        <v>0</v>
      </c>
      <c r="J213" s="11">
        <f>SUMIFS('XBS '!T:T,'XBS '!H:H,' General Stock Summary View  '!$J$2,'XBS '!L:L,' General Stock Summary View  '!B213,'XBS '!C:C,' General Stock Summary View  '!C213)</f>
        <v>0</v>
      </c>
      <c r="K213" s="157">
        <f>SUMIFS('PowerApp_Physical count'!H:H,'PowerApp_Physical count'!B:B,' General Stock Summary View  '!$J$2,'PowerApp_Physical count'!C:C,' General Stock Summary View  '!C213,'PowerApp_Physical count'!A:A,' General Stock Summary View  '!B213)</f>
        <v>0</v>
      </c>
      <c r="L213" s="127">
        <f t="shared" si="15"/>
        <v>0</v>
      </c>
      <c r="M213" s="126">
        <f t="shared" si="2"/>
        <v>0</v>
      </c>
      <c r="N213" s="11">
        <f t="shared" si="3"/>
        <v>0</v>
      </c>
      <c r="O213" s="144">
        <f t="shared" si="10"/>
        <v>0</v>
      </c>
      <c r="P213" s="2">
        <f>SUMIFS('XBS '!T:T,'XBS '!H:H,' General Stock Summary View  '!$P$2,'XBS '!L:L,' General Stock Summary View  '!B213,'XBS '!C:C,' General Stock Summary View  '!C213)</f>
        <v>12.366666666666667</v>
      </c>
      <c r="Q213" s="3">
        <f>SUMIFS('PowerApp_Physical count'!H:H,'PowerApp_Physical count'!B:B,' General Stock Summary View  '!$P$2,'PowerApp_Physical count'!C:C,' General Stock Summary View  '!C213,'PowerApp_Physical count'!A:A,' General Stock Summary View  '!B213)</f>
        <v>0</v>
      </c>
      <c r="R213" s="4">
        <f t="shared" si="11"/>
        <v>-12.366666666666667</v>
      </c>
      <c r="S213" s="5">
        <f>SUMIFS('XBS '!T:T,'XBS '!L:L,' General Stock Summary View  '!B213,'XBS '!H:H,' General Stock Summary View  '!$S$2,'XBS '!C:C,' General Stock Summary View  '!C213)</f>
        <v>0</v>
      </c>
      <c r="T213" s="3">
        <f>SUMIFS('PowerApp_Physical count'!H:H,'PowerApp_Physical count'!B:B,' General Stock Summary View  '!$S$2,'PowerApp_Physical count'!C:C,' General Stock Summary View  '!C213,'PowerApp_Physical count'!A:A,' General Stock Summary View  '!B213)</f>
        <v>0</v>
      </c>
      <c r="U213" s="4">
        <f t="shared" si="4"/>
        <v>0</v>
      </c>
      <c r="V213" s="2">
        <f>SUMIFS('XBS '!T:T,'XBS '!H:H,' General Stock Summary View  '!$V$2,'XBS '!B:B,' General Stock Summary View  '!C213,'XBS '!L:L,' General Stock Summary View  '!B213)</f>
        <v>0</v>
      </c>
      <c r="W213" s="3">
        <f>SUMIFS('PowerApp_Physical count'!H:H,'PowerApp_Physical count'!B:B,' General Stock Summary View  '!$V$2,'PowerApp_Physical count'!C:C,' General Stock Summary View  '!C213,'PowerApp_Physical count'!A:A,' General Stock Summary View  '!B213)</f>
        <v>0</v>
      </c>
      <c r="X213" s="4">
        <f t="shared" si="12"/>
        <v>0</v>
      </c>
      <c r="Y213" s="5">
        <f>SUMIFS('XBS '!T:T,'XBS '!H:H,' General Stock Summary View  '!$Y$2,'XBS '!B:B,' General Stock Summary View  '!C213,'XBS '!L:L,' General Stock Summary View  '!B213)</f>
        <v>0</v>
      </c>
      <c r="Z213" s="3">
        <f>SUMIFS('PowerApp_Physical count'!H:H,'PowerApp_Physical count'!B:B,' General Stock Summary View  '!$Y$2,'PowerApp_Physical count'!C:C,' General Stock Summary View  '!C213,'PowerApp_Physical count'!A:A,' General Stock Summary View  '!B213)</f>
        <v>0</v>
      </c>
      <c r="AA213" s="4">
        <f t="shared" si="13"/>
        <v>0</v>
      </c>
      <c r="AB213" s="5">
        <f>SUMIFS('XBS '!T:T,'XBS '!H:H,' General Stock Summary View  '!$AB$2,'XBS '!B:B,' General Stock Summary View  '!C213,'XBS '!L:L,' General Stock Summary View  '!B213)</f>
        <v>0</v>
      </c>
      <c r="AC213" s="3">
        <f>SUMIFS('PowerApp_Physical count'!H:H,'PowerApp_Physical count'!B:B,' General Stock Summary View  '!$AB$2,'PowerApp_Physical count'!C:C,' General Stock Summary View  '!C213,'PowerApp_Physical count'!A:A,' General Stock Summary View  '!B213)</f>
        <v>0</v>
      </c>
      <c r="AD213" s="6">
        <f t="shared" si="14"/>
        <v>0</v>
      </c>
      <c r="AE213" s="7">
        <f t="shared" si="8"/>
        <v>0</v>
      </c>
      <c r="AF213" s="8">
        <f t="shared" si="9"/>
        <v>-12.366666666666667</v>
      </c>
      <c r="AG213" s="112"/>
    </row>
    <row r="214" spans="2:33" s="113" customFormat="1" ht="61.15">
      <c r="B214" s="117" t="s">
        <v>224</v>
      </c>
      <c r="C214" s="111" t="s">
        <v>197</v>
      </c>
      <c r="D214" s="11">
        <f>SUMIFS('XBS '!T:T,'XBS '!C:C,' General Stock Summary View  '!C214,'XBS '!L:L,' General Stock Summary View  '!B214)</f>
        <v>8.35</v>
      </c>
      <c r="E214" s="2">
        <f>SUMIFS('Blocked for Processing'!P:P,'Blocked for Processing'!I:I,' General Stock Summary View  '!B214,'Blocked for Processing'!C:C,' General Stock Summary View  '!C214)</f>
        <v>0</v>
      </c>
      <c r="F214" s="122">
        <f t="shared" si="0"/>
        <v>8.35</v>
      </c>
      <c r="G214" s="148">
        <f>SUMIFS('XBS '!T:T,'XBS '!H:H,' General Stock Summary View  '!$G$2,'XBS '!L:L,' General Stock Summary View  '!B214,'XBS '!C:C,' General Stock Summary View  '!C214)</f>
        <v>0</v>
      </c>
      <c r="H214" s="3">
        <f>SUMIFS('PowerApp_Physical count'!H:H,'PowerApp_Physical count'!B:B,' General Stock Summary View  '!$G$2,'PowerApp_Physical count'!C:C,' General Stock Summary View  '!C214,'PowerApp_Physical count'!A:A,' General Stock Summary View  '!B214)</f>
        <v>0</v>
      </c>
      <c r="I214" s="154">
        <f t="shared" si="41"/>
        <v>0</v>
      </c>
      <c r="J214" s="11">
        <f>SUMIFS('XBS '!T:T,'XBS '!H:H,' General Stock Summary View  '!$J$2,'XBS '!L:L,' General Stock Summary View  '!B214,'XBS '!C:C,' General Stock Summary View  '!C214)</f>
        <v>0</v>
      </c>
      <c r="K214" s="157">
        <f>SUMIFS('PowerApp_Physical count'!H:H,'PowerApp_Physical count'!B:B,' General Stock Summary View  '!$J$2,'PowerApp_Physical count'!C:C,' General Stock Summary View  '!C214,'PowerApp_Physical count'!A:A,' General Stock Summary View  '!B214)</f>
        <v>0</v>
      </c>
      <c r="L214" s="127">
        <f t="shared" si="15"/>
        <v>0</v>
      </c>
      <c r="M214" s="126">
        <f t="shared" si="2"/>
        <v>0</v>
      </c>
      <c r="N214" s="11">
        <f t="shared" si="3"/>
        <v>0</v>
      </c>
      <c r="O214" s="144">
        <f t="shared" si="10"/>
        <v>0</v>
      </c>
      <c r="P214" s="2">
        <f>SUMIFS('XBS '!T:T,'XBS '!H:H,' General Stock Summary View  '!$P$2,'XBS '!L:L,' General Stock Summary View  '!B214,'XBS '!C:C,' General Stock Summary View  '!C214)</f>
        <v>8.35</v>
      </c>
      <c r="Q214" s="3">
        <f>SUMIFS('PowerApp_Physical count'!H:H,'PowerApp_Physical count'!B:B,' General Stock Summary View  '!$P$2,'PowerApp_Physical count'!C:C,' General Stock Summary View  '!C214,'PowerApp_Physical count'!A:A,' General Stock Summary View  '!B214)</f>
        <v>0</v>
      </c>
      <c r="R214" s="4">
        <f t="shared" si="11"/>
        <v>-8.35</v>
      </c>
      <c r="S214" s="5">
        <f>SUMIFS('XBS '!T:T,'XBS '!L:L,' General Stock Summary View  '!B214,'XBS '!H:H,' General Stock Summary View  '!$S$2,'XBS '!C:C,' General Stock Summary View  '!C214)</f>
        <v>0</v>
      </c>
      <c r="T214" s="3">
        <f>SUMIFS('PowerApp_Physical count'!H:H,'PowerApp_Physical count'!B:B,' General Stock Summary View  '!$S$2,'PowerApp_Physical count'!C:C,' General Stock Summary View  '!C214,'PowerApp_Physical count'!A:A,' General Stock Summary View  '!B214)</f>
        <v>0</v>
      </c>
      <c r="U214" s="4">
        <f t="shared" si="4"/>
        <v>0</v>
      </c>
      <c r="V214" s="2">
        <f>SUMIFS('XBS '!T:T,'XBS '!H:H,' General Stock Summary View  '!$V$2,'XBS '!B:B,' General Stock Summary View  '!C214,'XBS '!L:L,' General Stock Summary View  '!B214)</f>
        <v>0</v>
      </c>
      <c r="W214" s="3">
        <f>SUMIFS('PowerApp_Physical count'!H:H,'PowerApp_Physical count'!B:B,' General Stock Summary View  '!$V$2,'PowerApp_Physical count'!C:C,' General Stock Summary View  '!C214,'PowerApp_Physical count'!A:A,' General Stock Summary View  '!B214)</f>
        <v>0</v>
      </c>
      <c r="X214" s="4">
        <f t="shared" si="12"/>
        <v>0</v>
      </c>
      <c r="Y214" s="5">
        <f>SUMIFS('XBS '!T:T,'XBS '!H:H,' General Stock Summary View  '!$Y$2,'XBS '!B:B,' General Stock Summary View  '!C214,'XBS '!L:L,' General Stock Summary View  '!B214)</f>
        <v>0</v>
      </c>
      <c r="Z214" s="3">
        <f>SUMIFS('PowerApp_Physical count'!H:H,'PowerApp_Physical count'!B:B,' General Stock Summary View  '!$Y$2,'PowerApp_Physical count'!C:C,' General Stock Summary View  '!C214,'PowerApp_Physical count'!A:A,' General Stock Summary View  '!B214)</f>
        <v>0</v>
      </c>
      <c r="AA214" s="4">
        <f t="shared" si="13"/>
        <v>0</v>
      </c>
      <c r="AB214" s="5">
        <f>SUMIFS('XBS '!T:T,'XBS '!H:H,' General Stock Summary View  '!$AB$2,'XBS '!B:B,' General Stock Summary View  '!C214,'XBS '!L:L,' General Stock Summary View  '!B214)</f>
        <v>0</v>
      </c>
      <c r="AC214" s="3">
        <f>SUMIFS('PowerApp_Physical count'!H:H,'PowerApp_Physical count'!B:B,' General Stock Summary View  '!$AB$2,'PowerApp_Physical count'!C:C,' General Stock Summary View  '!C214,'PowerApp_Physical count'!A:A,' General Stock Summary View  '!B214)</f>
        <v>0</v>
      </c>
      <c r="AD214" s="6">
        <f t="shared" si="14"/>
        <v>0</v>
      </c>
      <c r="AE214" s="7">
        <f t="shared" si="8"/>
        <v>0</v>
      </c>
      <c r="AF214" s="8">
        <f t="shared" si="9"/>
        <v>-8.35</v>
      </c>
      <c r="AG214" s="112"/>
    </row>
    <row r="215" spans="2:33" s="113" customFormat="1" ht="61.15">
      <c r="B215" s="117" t="s">
        <v>225</v>
      </c>
      <c r="C215" s="111" t="s">
        <v>197</v>
      </c>
      <c r="D215" s="11">
        <f>SUMIFS('XBS '!T:T,'XBS '!C:C,' General Stock Summary View  '!C215,'XBS '!L:L,' General Stock Summary View  '!B215)</f>
        <v>13.266666666666667</v>
      </c>
      <c r="E215" s="2">
        <f>SUMIFS('Blocked for Processing'!P:P,'Blocked for Processing'!I:I,' General Stock Summary View  '!B215,'Blocked for Processing'!C:C,' General Stock Summary View  '!C215)</f>
        <v>0</v>
      </c>
      <c r="F215" s="122">
        <f t="shared" si="0"/>
        <v>13.266666666666667</v>
      </c>
      <c r="G215" s="148">
        <f>SUMIFS('XBS '!T:T,'XBS '!H:H,' General Stock Summary View  '!$G$2,'XBS '!L:L,' General Stock Summary View  '!B215,'XBS '!C:C,' General Stock Summary View  '!C215)</f>
        <v>0</v>
      </c>
      <c r="H215" s="3">
        <f>SUMIFS('PowerApp_Physical count'!H:H,'PowerApp_Physical count'!B:B,' General Stock Summary View  '!$G$2,'PowerApp_Physical count'!C:C,' General Stock Summary View  '!C215,'PowerApp_Physical count'!A:A,' General Stock Summary View  '!B215)</f>
        <v>0</v>
      </c>
      <c r="I215" s="154">
        <f t="shared" si="41"/>
        <v>0</v>
      </c>
      <c r="J215" s="11">
        <f>SUMIFS('XBS '!T:T,'XBS '!H:H,' General Stock Summary View  '!$J$2,'XBS '!L:L,' General Stock Summary View  '!B215,'XBS '!C:C,' General Stock Summary View  '!C215)</f>
        <v>0</v>
      </c>
      <c r="K215" s="157">
        <f>SUMIFS('PowerApp_Physical count'!H:H,'PowerApp_Physical count'!B:B,' General Stock Summary View  '!$J$2,'PowerApp_Physical count'!C:C,' General Stock Summary View  '!C215,'PowerApp_Physical count'!A:A,' General Stock Summary View  '!B215)</f>
        <v>0</v>
      </c>
      <c r="L215" s="127">
        <f t="shared" si="15"/>
        <v>0</v>
      </c>
      <c r="M215" s="126">
        <f t="shared" si="2"/>
        <v>0</v>
      </c>
      <c r="N215" s="11">
        <f t="shared" si="3"/>
        <v>0</v>
      </c>
      <c r="O215" s="144">
        <f t="shared" si="10"/>
        <v>0</v>
      </c>
      <c r="P215" s="2">
        <f>SUMIFS('XBS '!T:T,'XBS '!H:H,' General Stock Summary View  '!$P$2,'XBS '!L:L,' General Stock Summary View  '!B215,'XBS '!C:C,' General Stock Summary View  '!C215)</f>
        <v>13.266666666666667</v>
      </c>
      <c r="Q215" s="3">
        <f>SUMIFS('PowerApp_Physical count'!H:H,'PowerApp_Physical count'!B:B,' General Stock Summary View  '!$P$2,'PowerApp_Physical count'!C:C,' General Stock Summary View  '!C215,'PowerApp_Physical count'!A:A,' General Stock Summary View  '!B215)</f>
        <v>0</v>
      </c>
      <c r="R215" s="4">
        <f t="shared" si="11"/>
        <v>-13.266666666666667</v>
      </c>
      <c r="S215" s="5">
        <f>SUMIFS('XBS '!T:T,'XBS '!L:L,' General Stock Summary View  '!B215,'XBS '!H:H,' General Stock Summary View  '!$S$2,'XBS '!C:C,' General Stock Summary View  '!C215)</f>
        <v>0</v>
      </c>
      <c r="T215" s="3">
        <f>SUMIFS('PowerApp_Physical count'!H:H,'PowerApp_Physical count'!B:B,' General Stock Summary View  '!$S$2,'PowerApp_Physical count'!C:C,' General Stock Summary View  '!C215,'PowerApp_Physical count'!A:A,' General Stock Summary View  '!B215)</f>
        <v>0</v>
      </c>
      <c r="U215" s="4">
        <f t="shared" si="4"/>
        <v>0</v>
      </c>
      <c r="V215" s="2">
        <f>SUMIFS('XBS '!T:T,'XBS '!H:H,' General Stock Summary View  '!$V$2,'XBS '!B:B,' General Stock Summary View  '!C215,'XBS '!L:L,' General Stock Summary View  '!B215)</f>
        <v>0</v>
      </c>
      <c r="W215" s="3">
        <f>SUMIFS('PowerApp_Physical count'!H:H,'PowerApp_Physical count'!B:B,' General Stock Summary View  '!$V$2,'PowerApp_Physical count'!C:C,' General Stock Summary View  '!C215,'PowerApp_Physical count'!A:A,' General Stock Summary View  '!B215)</f>
        <v>0</v>
      </c>
      <c r="X215" s="4">
        <f t="shared" si="12"/>
        <v>0</v>
      </c>
      <c r="Y215" s="5">
        <f>SUMIFS('XBS '!T:T,'XBS '!H:H,' General Stock Summary View  '!$Y$2,'XBS '!B:B,' General Stock Summary View  '!C215,'XBS '!L:L,' General Stock Summary View  '!B215)</f>
        <v>0</v>
      </c>
      <c r="Z215" s="3">
        <f>SUMIFS('PowerApp_Physical count'!H:H,'PowerApp_Physical count'!B:B,' General Stock Summary View  '!$Y$2,'PowerApp_Physical count'!C:C,' General Stock Summary View  '!C215,'PowerApp_Physical count'!A:A,' General Stock Summary View  '!B215)</f>
        <v>0</v>
      </c>
      <c r="AA215" s="4">
        <f t="shared" si="13"/>
        <v>0</v>
      </c>
      <c r="AB215" s="5">
        <f>SUMIFS('XBS '!T:T,'XBS '!H:H,' General Stock Summary View  '!$AB$2,'XBS '!B:B,' General Stock Summary View  '!C215,'XBS '!L:L,' General Stock Summary View  '!B215)</f>
        <v>0</v>
      </c>
      <c r="AC215" s="3">
        <f>SUMIFS('PowerApp_Physical count'!H:H,'PowerApp_Physical count'!B:B,' General Stock Summary View  '!$AB$2,'PowerApp_Physical count'!C:C,' General Stock Summary View  '!C215,'PowerApp_Physical count'!A:A,' General Stock Summary View  '!B215)</f>
        <v>0</v>
      </c>
      <c r="AD215" s="6">
        <f t="shared" si="14"/>
        <v>0</v>
      </c>
      <c r="AE215" s="7">
        <f t="shared" si="8"/>
        <v>0</v>
      </c>
      <c r="AF215" s="8">
        <f t="shared" si="9"/>
        <v>-13.266666666666667</v>
      </c>
      <c r="AG215" s="112"/>
    </row>
    <row r="216" spans="2:33" s="113" customFormat="1" ht="61.15">
      <c r="B216" s="117" t="s">
        <v>46</v>
      </c>
      <c r="C216" s="111" t="s">
        <v>197</v>
      </c>
      <c r="D216" s="11">
        <f>SUMIFS('XBS '!T:T,'XBS '!C:C,' General Stock Summary View  '!C216,'XBS '!L:L,' General Stock Summary View  '!B216)</f>
        <v>11.966666666666667</v>
      </c>
      <c r="E216" s="2">
        <f>SUMIFS('Blocked for Processing'!P:P,'Blocked for Processing'!I:I,' General Stock Summary View  '!B216,'Blocked for Processing'!C:C,' General Stock Summary View  '!C216)</f>
        <v>0</v>
      </c>
      <c r="F216" s="122">
        <f t="shared" si="0"/>
        <v>11.966666666666667</v>
      </c>
      <c r="G216" s="148">
        <f>SUMIFS('XBS '!T:T,'XBS '!H:H,' General Stock Summary View  '!$G$2,'XBS '!L:L,' General Stock Summary View  '!B216,'XBS '!C:C,' General Stock Summary View  '!C216)</f>
        <v>0</v>
      </c>
      <c r="H216" s="3">
        <f>SUMIFS('PowerApp_Physical count'!H:H,'PowerApp_Physical count'!B:B,' General Stock Summary View  '!$G$2,'PowerApp_Physical count'!C:C,' General Stock Summary View  '!C216,'PowerApp_Physical count'!A:A,' General Stock Summary View  '!B216)</f>
        <v>0</v>
      </c>
      <c r="I216" s="154">
        <f t="shared" si="41"/>
        <v>0</v>
      </c>
      <c r="J216" s="11">
        <f>SUMIFS('XBS '!T:T,'XBS '!H:H,' General Stock Summary View  '!$J$2,'XBS '!L:L,' General Stock Summary View  '!B216,'XBS '!C:C,' General Stock Summary View  '!C216)</f>
        <v>0</v>
      </c>
      <c r="K216" s="157">
        <f>SUMIFS('PowerApp_Physical count'!H:H,'PowerApp_Physical count'!B:B,' General Stock Summary View  '!$J$2,'PowerApp_Physical count'!C:C,' General Stock Summary View  '!C216,'PowerApp_Physical count'!A:A,' General Stock Summary View  '!B216)</f>
        <v>0</v>
      </c>
      <c r="L216" s="127">
        <f t="shared" si="15"/>
        <v>0</v>
      </c>
      <c r="M216" s="126">
        <f t="shared" si="2"/>
        <v>0</v>
      </c>
      <c r="N216" s="11">
        <f t="shared" si="3"/>
        <v>0</v>
      </c>
      <c r="O216" s="144">
        <f t="shared" si="10"/>
        <v>0</v>
      </c>
      <c r="P216" s="2">
        <f>SUMIFS('XBS '!T:T,'XBS '!H:H,' General Stock Summary View  '!$P$2,'XBS '!L:L,' General Stock Summary View  '!B216,'XBS '!C:C,' General Stock Summary View  '!C216)</f>
        <v>11.966666666666667</v>
      </c>
      <c r="Q216" s="3">
        <f>SUMIFS('PowerApp_Physical count'!H:H,'PowerApp_Physical count'!B:B,' General Stock Summary View  '!$P$2,'PowerApp_Physical count'!C:C,' General Stock Summary View  '!C216,'PowerApp_Physical count'!A:A,' General Stock Summary View  '!B216)</f>
        <v>0</v>
      </c>
      <c r="R216" s="4">
        <f t="shared" si="11"/>
        <v>-11.966666666666667</v>
      </c>
      <c r="S216" s="5">
        <f>SUMIFS('XBS '!T:T,'XBS '!L:L,' General Stock Summary View  '!B216,'XBS '!H:H,' General Stock Summary View  '!$S$2,'XBS '!C:C,' General Stock Summary View  '!C216)</f>
        <v>0</v>
      </c>
      <c r="T216" s="3">
        <f>SUMIFS('PowerApp_Physical count'!H:H,'PowerApp_Physical count'!B:B,' General Stock Summary View  '!$S$2,'PowerApp_Physical count'!C:C,' General Stock Summary View  '!C216,'PowerApp_Physical count'!A:A,' General Stock Summary View  '!B216)</f>
        <v>0</v>
      </c>
      <c r="U216" s="4">
        <f t="shared" si="4"/>
        <v>0</v>
      </c>
      <c r="V216" s="2">
        <f>SUMIFS('XBS '!T:T,'XBS '!H:H,' General Stock Summary View  '!$V$2,'XBS '!B:B,' General Stock Summary View  '!C216,'XBS '!L:L,' General Stock Summary View  '!B216)</f>
        <v>0</v>
      </c>
      <c r="W216" s="3">
        <f>SUMIFS('PowerApp_Physical count'!H:H,'PowerApp_Physical count'!B:B,' General Stock Summary View  '!$V$2,'PowerApp_Physical count'!C:C,' General Stock Summary View  '!C216,'PowerApp_Physical count'!A:A,' General Stock Summary View  '!B216)</f>
        <v>0</v>
      </c>
      <c r="X216" s="4">
        <f t="shared" si="12"/>
        <v>0</v>
      </c>
      <c r="Y216" s="5">
        <f>SUMIFS('XBS '!T:T,'XBS '!H:H,' General Stock Summary View  '!$Y$2,'XBS '!B:B,' General Stock Summary View  '!C216,'XBS '!L:L,' General Stock Summary View  '!B216)</f>
        <v>0</v>
      </c>
      <c r="Z216" s="3">
        <f>SUMIFS('PowerApp_Physical count'!H:H,'PowerApp_Physical count'!B:B,' General Stock Summary View  '!$Y$2,'PowerApp_Physical count'!C:C,' General Stock Summary View  '!C216,'PowerApp_Physical count'!A:A,' General Stock Summary View  '!B216)</f>
        <v>0</v>
      </c>
      <c r="AA216" s="4">
        <f t="shared" si="13"/>
        <v>0</v>
      </c>
      <c r="AB216" s="5">
        <f>SUMIFS('XBS '!T:T,'XBS '!H:H,' General Stock Summary View  '!$AB$2,'XBS '!B:B,' General Stock Summary View  '!C216,'XBS '!L:L,' General Stock Summary View  '!B216)</f>
        <v>0</v>
      </c>
      <c r="AC216" s="3">
        <f>SUMIFS('PowerApp_Physical count'!H:H,'PowerApp_Physical count'!B:B,' General Stock Summary View  '!$AB$2,'PowerApp_Physical count'!C:C,' General Stock Summary View  '!C216,'PowerApp_Physical count'!A:A,' General Stock Summary View  '!B216)</f>
        <v>0</v>
      </c>
      <c r="AD216" s="6">
        <f t="shared" si="14"/>
        <v>0</v>
      </c>
      <c r="AE216" s="7">
        <f t="shared" si="8"/>
        <v>0</v>
      </c>
      <c r="AF216" s="8">
        <f t="shared" si="9"/>
        <v>-11.966666666666667</v>
      </c>
      <c r="AG216" s="112"/>
    </row>
    <row r="217" spans="2:33" s="113" customFormat="1" ht="61.15">
      <c r="B217" s="117" t="s">
        <v>226</v>
      </c>
      <c r="C217" s="111" t="s">
        <v>197</v>
      </c>
      <c r="D217" s="11">
        <f>SUMIFS('XBS '!T:T,'XBS '!C:C,' General Stock Summary View  '!C217,'XBS '!L:L,' General Stock Summary View  '!B217)</f>
        <v>8.4166666666666661</v>
      </c>
      <c r="E217" s="2">
        <f>SUMIFS('Blocked for Processing'!P:P,'Blocked for Processing'!I:I,' General Stock Summary View  '!B217,'Blocked for Processing'!C:C,' General Stock Summary View  '!C217)</f>
        <v>0</v>
      </c>
      <c r="F217" s="122">
        <f t="shared" si="0"/>
        <v>8.4166666666666661</v>
      </c>
      <c r="G217" s="148">
        <f>SUMIFS('XBS '!T:T,'XBS '!H:H,' General Stock Summary View  '!$G$2,'XBS '!L:L,' General Stock Summary View  '!B217,'XBS '!C:C,' General Stock Summary View  '!C217)</f>
        <v>0</v>
      </c>
      <c r="H217" s="3">
        <f>SUMIFS('PowerApp_Physical count'!H:H,'PowerApp_Physical count'!B:B,' General Stock Summary View  '!$G$2,'PowerApp_Physical count'!C:C,' General Stock Summary View  '!C217,'PowerApp_Physical count'!A:A,' General Stock Summary View  '!B217)</f>
        <v>0</v>
      </c>
      <c r="I217" s="154">
        <f t="shared" si="41"/>
        <v>0</v>
      </c>
      <c r="J217" s="11">
        <f>SUMIFS('XBS '!T:T,'XBS '!H:H,' General Stock Summary View  '!$J$2,'XBS '!L:L,' General Stock Summary View  '!B217,'XBS '!C:C,' General Stock Summary View  '!C217)</f>
        <v>0</v>
      </c>
      <c r="K217" s="157">
        <f>SUMIFS('PowerApp_Physical count'!H:H,'PowerApp_Physical count'!B:B,' General Stock Summary View  '!$J$2,'PowerApp_Physical count'!C:C,' General Stock Summary View  '!C217,'PowerApp_Physical count'!A:A,' General Stock Summary View  '!B217)</f>
        <v>0</v>
      </c>
      <c r="L217" s="127">
        <f t="shared" si="15"/>
        <v>0</v>
      </c>
      <c r="M217" s="126">
        <f t="shared" si="2"/>
        <v>0</v>
      </c>
      <c r="N217" s="11">
        <f t="shared" si="3"/>
        <v>0</v>
      </c>
      <c r="O217" s="144">
        <f t="shared" si="10"/>
        <v>0</v>
      </c>
      <c r="P217" s="2">
        <f>SUMIFS('XBS '!T:T,'XBS '!H:H,' General Stock Summary View  '!$P$2,'XBS '!L:L,' General Stock Summary View  '!B217,'XBS '!C:C,' General Stock Summary View  '!C217)</f>
        <v>8.4166666666666661</v>
      </c>
      <c r="Q217" s="3">
        <f>SUMIFS('PowerApp_Physical count'!H:H,'PowerApp_Physical count'!B:B,' General Stock Summary View  '!$P$2,'PowerApp_Physical count'!C:C,' General Stock Summary View  '!C217,'PowerApp_Physical count'!A:A,' General Stock Summary View  '!B217)</f>
        <v>0</v>
      </c>
      <c r="R217" s="4">
        <f t="shared" si="11"/>
        <v>-8.4166666666666661</v>
      </c>
      <c r="S217" s="5">
        <f>SUMIFS('XBS '!T:T,'XBS '!L:L,' General Stock Summary View  '!B217,'XBS '!H:H,' General Stock Summary View  '!$S$2,'XBS '!C:C,' General Stock Summary View  '!C217)</f>
        <v>0</v>
      </c>
      <c r="T217" s="3">
        <f>SUMIFS('PowerApp_Physical count'!H:H,'PowerApp_Physical count'!B:B,' General Stock Summary View  '!$S$2,'PowerApp_Physical count'!C:C,' General Stock Summary View  '!C217,'PowerApp_Physical count'!A:A,' General Stock Summary View  '!B217)</f>
        <v>0</v>
      </c>
      <c r="U217" s="4">
        <f t="shared" si="4"/>
        <v>0</v>
      </c>
      <c r="V217" s="2">
        <f>SUMIFS('XBS '!T:T,'XBS '!H:H,' General Stock Summary View  '!$V$2,'XBS '!B:B,' General Stock Summary View  '!C217,'XBS '!L:L,' General Stock Summary View  '!B217)</f>
        <v>0</v>
      </c>
      <c r="W217" s="3">
        <f>SUMIFS('PowerApp_Physical count'!H:H,'PowerApp_Physical count'!B:B,' General Stock Summary View  '!$V$2,'PowerApp_Physical count'!C:C,' General Stock Summary View  '!C217,'PowerApp_Physical count'!A:A,' General Stock Summary View  '!B217)</f>
        <v>0</v>
      </c>
      <c r="X217" s="4">
        <f t="shared" si="12"/>
        <v>0</v>
      </c>
      <c r="Y217" s="5">
        <f>SUMIFS('XBS '!T:T,'XBS '!H:H,' General Stock Summary View  '!$Y$2,'XBS '!B:B,' General Stock Summary View  '!C217,'XBS '!L:L,' General Stock Summary View  '!B217)</f>
        <v>0</v>
      </c>
      <c r="Z217" s="3">
        <f>SUMIFS('PowerApp_Physical count'!H:H,'PowerApp_Physical count'!B:B,' General Stock Summary View  '!$Y$2,'PowerApp_Physical count'!C:C,' General Stock Summary View  '!C217,'PowerApp_Physical count'!A:A,' General Stock Summary View  '!B217)</f>
        <v>0</v>
      </c>
      <c r="AA217" s="4">
        <f t="shared" si="13"/>
        <v>0</v>
      </c>
      <c r="AB217" s="5">
        <f>SUMIFS('XBS '!T:T,'XBS '!H:H,' General Stock Summary View  '!$AB$2,'XBS '!B:B,' General Stock Summary View  '!C217,'XBS '!L:L,' General Stock Summary View  '!B217)</f>
        <v>0</v>
      </c>
      <c r="AC217" s="3">
        <f>SUMIFS('PowerApp_Physical count'!H:H,'PowerApp_Physical count'!B:B,' General Stock Summary View  '!$AB$2,'PowerApp_Physical count'!C:C,' General Stock Summary View  '!C217,'PowerApp_Physical count'!A:A,' General Stock Summary View  '!B217)</f>
        <v>0</v>
      </c>
      <c r="AD217" s="6">
        <f t="shared" si="14"/>
        <v>0</v>
      </c>
      <c r="AE217" s="7">
        <f t="shared" si="8"/>
        <v>0</v>
      </c>
      <c r="AF217" s="8">
        <f t="shared" si="9"/>
        <v>-8.4166666666666661</v>
      </c>
      <c r="AG217" s="112"/>
    </row>
    <row r="218" spans="2:33" s="113" customFormat="1" ht="61.15">
      <c r="B218" s="117" t="s">
        <v>227</v>
      </c>
      <c r="C218" s="111" t="s">
        <v>197</v>
      </c>
      <c r="D218" s="11">
        <f>SUMIFS('XBS '!T:T,'XBS '!C:C,' General Stock Summary View  '!C218,'XBS '!L:L,' General Stock Summary View  '!B218)</f>
        <v>51.4</v>
      </c>
      <c r="E218" s="2">
        <f>SUMIFS('Blocked for Processing'!P:P,'Blocked for Processing'!I:I,' General Stock Summary View  '!B218,'Blocked for Processing'!C:C,' General Stock Summary View  '!C218)</f>
        <v>0</v>
      </c>
      <c r="F218" s="122">
        <f t="shared" si="0"/>
        <v>51.4</v>
      </c>
      <c r="G218" s="148">
        <f>SUMIFS('XBS '!T:T,'XBS '!H:H,' General Stock Summary View  '!$G$2,'XBS '!L:L,' General Stock Summary View  '!B218,'XBS '!C:C,' General Stock Summary View  '!C218)</f>
        <v>0</v>
      </c>
      <c r="H218" s="3">
        <f>SUMIFS('PowerApp_Physical count'!H:H,'PowerApp_Physical count'!B:B,' General Stock Summary View  '!$G$2,'PowerApp_Physical count'!C:C,' General Stock Summary View  '!C218,'PowerApp_Physical count'!A:A,' General Stock Summary View  '!B218)</f>
        <v>0</v>
      </c>
      <c r="I218" s="154">
        <f t="shared" si="41"/>
        <v>0</v>
      </c>
      <c r="J218" s="11">
        <f>SUMIFS('XBS '!T:T,'XBS '!H:H,' General Stock Summary View  '!$J$2,'XBS '!L:L,' General Stock Summary View  '!B218,'XBS '!C:C,' General Stock Summary View  '!C218)</f>
        <v>0</v>
      </c>
      <c r="K218" s="157">
        <f>SUMIFS('PowerApp_Physical count'!H:H,'PowerApp_Physical count'!B:B,' General Stock Summary View  '!$J$2,'PowerApp_Physical count'!C:C,' General Stock Summary View  '!C218,'PowerApp_Physical count'!A:A,' General Stock Summary View  '!B218)</f>
        <v>0</v>
      </c>
      <c r="L218" s="127">
        <f t="shared" si="15"/>
        <v>0</v>
      </c>
      <c r="M218" s="126">
        <f t="shared" si="2"/>
        <v>0</v>
      </c>
      <c r="N218" s="11">
        <f t="shared" si="3"/>
        <v>0</v>
      </c>
      <c r="O218" s="144">
        <f t="shared" si="10"/>
        <v>0</v>
      </c>
      <c r="P218" s="2">
        <f>SUMIFS('XBS '!T:T,'XBS '!H:H,' General Stock Summary View  '!$P$2,'XBS '!L:L,' General Stock Summary View  '!B218,'XBS '!C:C,' General Stock Summary View  '!C218)</f>
        <v>51.4</v>
      </c>
      <c r="Q218" s="3">
        <f>SUMIFS('PowerApp_Physical count'!H:H,'PowerApp_Physical count'!B:B,' General Stock Summary View  '!$P$2,'PowerApp_Physical count'!C:C,' General Stock Summary View  '!C218,'PowerApp_Physical count'!A:A,' General Stock Summary View  '!B218)</f>
        <v>0</v>
      </c>
      <c r="R218" s="4">
        <f t="shared" si="11"/>
        <v>-51.4</v>
      </c>
      <c r="S218" s="5">
        <f>SUMIFS('XBS '!T:T,'XBS '!L:L,' General Stock Summary View  '!B218,'XBS '!H:H,' General Stock Summary View  '!$S$2,'XBS '!C:C,' General Stock Summary View  '!C218)</f>
        <v>0</v>
      </c>
      <c r="T218" s="3">
        <f>SUMIFS('PowerApp_Physical count'!H:H,'PowerApp_Physical count'!B:B,' General Stock Summary View  '!$S$2,'PowerApp_Physical count'!C:C,' General Stock Summary View  '!C218,'PowerApp_Physical count'!A:A,' General Stock Summary View  '!B218)</f>
        <v>0</v>
      </c>
      <c r="U218" s="4">
        <f t="shared" si="4"/>
        <v>0</v>
      </c>
      <c r="V218" s="2">
        <f>SUMIFS('XBS '!T:T,'XBS '!H:H,' General Stock Summary View  '!$V$2,'XBS '!B:B,' General Stock Summary View  '!C218,'XBS '!L:L,' General Stock Summary View  '!B218)</f>
        <v>0</v>
      </c>
      <c r="W218" s="3">
        <f>SUMIFS('PowerApp_Physical count'!H:H,'PowerApp_Physical count'!B:B,' General Stock Summary View  '!$V$2,'PowerApp_Physical count'!C:C,' General Stock Summary View  '!C218,'PowerApp_Physical count'!A:A,' General Stock Summary View  '!B218)</f>
        <v>0</v>
      </c>
      <c r="X218" s="4">
        <f t="shared" si="12"/>
        <v>0</v>
      </c>
      <c r="Y218" s="5">
        <f>SUMIFS('XBS '!T:T,'XBS '!H:H,' General Stock Summary View  '!$Y$2,'XBS '!B:B,' General Stock Summary View  '!C218,'XBS '!L:L,' General Stock Summary View  '!B218)</f>
        <v>0</v>
      </c>
      <c r="Z218" s="3">
        <f>SUMIFS('PowerApp_Physical count'!H:H,'PowerApp_Physical count'!B:B,' General Stock Summary View  '!$Y$2,'PowerApp_Physical count'!C:C,' General Stock Summary View  '!C218,'PowerApp_Physical count'!A:A,' General Stock Summary View  '!B218)</f>
        <v>0</v>
      </c>
      <c r="AA218" s="4">
        <f t="shared" si="13"/>
        <v>0</v>
      </c>
      <c r="AB218" s="5">
        <f>SUMIFS('XBS '!T:T,'XBS '!H:H,' General Stock Summary View  '!$AB$2,'XBS '!B:B,' General Stock Summary View  '!C218,'XBS '!L:L,' General Stock Summary View  '!B218)</f>
        <v>0</v>
      </c>
      <c r="AC218" s="3">
        <f>SUMIFS('PowerApp_Physical count'!H:H,'PowerApp_Physical count'!B:B,' General Stock Summary View  '!$AB$2,'PowerApp_Physical count'!C:C,' General Stock Summary View  '!C218,'PowerApp_Physical count'!A:A,' General Stock Summary View  '!B218)</f>
        <v>0</v>
      </c>
      <c r="AD218" s="6">
        <f t="shared" si="14"/>
        <v>0</v>
      </c>
      <c r="AE218" s="7">
        <f t="shared" si="8"/>
        <v>0</v>
      </c>
      <c r="AF218" s="8">
        <f t="shared" si="9"/>
        <v>-51.4</v>
      </c>
      <c r="AG218" s="112"/>
    </row>
    <row r="219" spans="2:33" s="113" customFormat="1" ht="61.15">
      <c r="B219" s="117" t="s">
        <v>47</v>
      </c>
      <c r="C219" s="111" t="s">
        <v>197</v>
      </c>
      <c r="D219" s="11">
        <f>SUMIFS('XBS '!T:T,'XBS '!C:C,' General Stock Summary View  '!C219,'XBS '!L:L,' General Stock Summary View  '!B219)</f>
        <v>5.1333333333333337</v>
      </c>
      <c r="E219" s="2">
        <f>SUMIFS('Blocked for Processing'!P:P,'Blocked for Processing'!I:I,' General Stock Summary View  '!B219,'Blocked for Processing'!C:C,' General Stock Summary View  '!C219)</f>
        <v>0</v>
      </c>
      <c r="F219" s="122">
        <f t="shared" si="0"/>
        <v>5.1333333333333337</v>
      </c>
      <c r="G219" s="148">
        <f>SUMIFS('XBS '!T:T,'XBS '!H:H,' General Stock Summary View  '!$G$2,'XBS '!L:L,' General Stock Summary View  '!B219,'XBS '!C:C,' General Stock Summary View  '!C219)</f>
        <v>0</v>
      </c>
      <c r="H219" s="3">
        <f>SUMIFS('PowerApp_Physical count'!H:H,'PowerApp_Physical count'!B:B,' General Stock Summary View  '!$G$2,'PowerApp_Physical count'!C:C,' General Stock Summary View  '!C219,'PowerApp_Physical count'!A:A,' General Stock Summary View  '!B219)</f>
        <v>0</v>
      </c>
      <c r="I219" s="154">
        <f t="shared" si="41"/>
        <v>0</v>
      </c>
      <c r="J219" s="11">
        <f>SUMIFS('XBS '!T:T,'XBS '!H:H,' General Stock Summary View  '!$J$2,'XBS '!L:L,' General Stock Summary View  '!B219,'XBS '!C:C,' General Stock Summary View  '!C219)</f>
        <v>0</v>
      </c>
      <c r="K219" s="157">
        <f>SUMIFS('PowerApp_Physical count'!H:H,'PowerApp_Physical count'!B:B,' General Stock Summary View  '!$J$2,'PowerApp_Physical count'!C:C,' General Stock Summary View  '!C219,'PowerApp_Physical count'!A:A,' General Stock Summary View  '!B219)</f>
        <v>0</v>
      </c>
      <c r="L219" s="127">
        <f t="shared" si="15"/>
        <v>0</v>
      </c>
      <c r="M219" s="126">
        <f t="shared" si="2"/>
        <v>0</v>
      </c>
      <c r="N219" s="11">
        <f t="shared" si="3"/>
        <v>0</v>
      </c>
      <c r="O219" s="144">
        <f t="shared" si="10"/>
        <v>0</v>
      </c>
      <c r="P219" s="2">
        <f>SUMIFS('XBS '!T:T,'XBS '!H:H,' General Stock Summary View  '!$P$2,'XBS '!L:L,' General Stock Summary View  '!B219,'XBS '!C:C,' General Stock Summary View  '!C219)</f>
        <v>5.1333333333333337</v>
      </c>
      <c r="Q219" s="3">
        <f>SUMIFS('PowerApp_Physical count'!H:H,'PowerApp_Physical count'!B:B,' General Stock Summary View  '!$P$2,'PowerApp_Physical count'!C:C,' General Stock Summary View  '!C219,'PowerApp_Physical count'!A:A,' General Stock Summary View  '!B219)</f>
        <v>0</v>
      </c>
      <c r="R219" s="4">
        <f t="shared" si="11"/>
        <v>-5.1333333333333337</v>
      </c>
      <c r="S219" s="5">
        <f>SUMIFS('XBS '!T:T,'XBS '!L:L,' General Stock Summary View  '!B219,'XBS '!H:H,' General Stock Summary View  '!$S$2,'XBS '!C:C,' General Stock Summary View  '!C219)</f>
        <v>0</v>
      </c>
      <c r="T219" s="3">
        <f>SUMIFS('PowerApp_Physical count'!H:H,'PowerApp_Physical count'!B:B,' General Stock Summary View  '!$S$2,'PowerApp_Physical count'!C:C,' General Stock Summary View  '!C219,'PowerApp_Physical count'!A:A,' General Stock Summary View  '!B219)</f>
        <v>0</v>
      </c>
      <c r="U219" s="4">
        <f t="shared" si="4"/>
        <v>0</v>
      </c>
      <c r="V219" s="2">
        <f>SUMIFS('XBS '!T:T,'XBS '!H:H,' General Stock Summary View  '!$V$2,'XBS '!B:B,' General Stock Summary View  '!C219,'XBS '!L:L,' General Stock Summary View  '!B219)</f>
        <v>0</v>
      </c>
      <c r="W219" s="3">
        <f>SUMIFS('PowerApp_Physical count'!H:H,'PowerApp_Physical count'!B:B,' General Stock Summary View  '!$V$2,'PowerApp_Physical count'!C:C,' General Stock Summary View  '!C219,'PowerApp_Physical count'!A:A,' General Stock Summary View  '!B219)</f>
        <v>0</v>
      </c>
      <c r="X219" s="4">
        <f t="shared" si="12"/>
        <v>0</v>
      </c>
      <c r="Y219" s="5">
        <f>SUMIFS('XBS '!T:T,'XBS '!H:H,' General Stock Summary View  '!$Y$2,'XBS '!B:B,' General Stock Summary View  '!C219,'XBS '!L:L,' General Stock Summary View  '!B219)</f>
        <v>0</v>
      </c>
      <c r="Z219" s="3">
        <f>SUMIFS('PowerApp_Physical count'!H:H,'PowerApp_Physical count'!B:B,' General Stock Summary View  '!$Y$2,'PowerApp_Physical count'!C:C,' General Stock Summary View  '!C219,'PowerApp_Physical count'!A:A,' General Stock Summary View  '!B219)</f>
        <v>0</v>
      </c>
      <c r="AA219" s="4">
        <f t="shared" si="13"/>
        <v>0</v>
      </c>
      <c r="AB219" s="5">
        <f>SUMIFS('XBS '!T:T,'XBS '!H:H,' General Stock Summary View  '!$AB$2,'XBS '!B:B,' General Stock Summary View  '!C219,'XBS '!L:L,' General Stock Summary View  '!B219)</f>
        <v>0</v>
      </c>
      <c r="AC219" s="3">
        <f>SUMIFS('PowerApp_Physical count'!H:H,'PowerApp_Physical count'!B:B,' General Stock Summary View  '!$AB$2,'PowerApp_Physical count'!C:C,' General Stock Summary View  '!C219,'PowerApp_Physical count'!A:A,' General Stock Summary View  '!B219)</f>
        <v>0</v>
      </c>
      <c r="AD219" s="6">
        <f t="shared" si="14"/>
        <v>0</v>
      </c>
      <c r="AE219" s="7">
        <f t="shared" si="8"/>
        <v>0</v>
      </c>
      <c r="AF219" s="8">
        <f t="shared" si="9"/>
        <v>-5.1333333333333337</v>
      </c>
      <c r="AG219" s="112"/>
    </row>
    <row r="220" spans="2:33" s="113" customFormat="1" ht="61.15">
      <c r="B220" s="117" t="s">
        <v>48</v>
      </c>
      <c r="C220" s="111" t="s">
        <v>197</v>
      </c>
      <c r="D220" s="11">
        <f>SUMIFS('XBS '!T:T,'XBS '!C:C,' General Stock Summary View  '!C220,'XBS '!L:L,' General Stock Summary View  '!B220)</f>
        <v>13.9</v>
      </c>
      <c r="E220" s="2">
        <f>SUMIFS('Blocked for Processing'!P:P,'Blocked for Processing'!I:I,' General Stock Summary View  '!B220,'Blocked for Processing'!C:C,' General Stock Summary View  '!C220)</f>
        <v>0</v>
      </c>
      <c r="F220" s="122">
        <f t="shared" si="0"/>
        <v>13.9</v>
      </c>
      <c r="G220" s="148">
        <f>SUMIFS('XBS '!T:T,'XBS '!H:H,' General Stock Summary View  '!$G$2,'XBS '!L:L,' General Stock Summary View  '!B220,'XBS '!C:C,' General Stock Summary View  '!C220)</f>
        <v>0</v>
      </c>
      <c r="H220" s="3">
        <f>SUMIFS('PowerApp_Physical count'!H:H,'PowerApp_Physical count'!B:B,' General Stock Summary View  '!$G$2,'PowerApp_Physical count'!C:C,' General Stock Summary View  '!C220,'PowerApp_Physical count'!A:A,' General Stock Summary View  '!B220)</f>
        <v>0</v>
      </c>
      <c r="I220" s="154">
        <f t="shared" si="41"/>
        <v>0</v>
      </c>
      <c r="J220" s="11">
        <f>SUMIFS('XBS '!T:T,'XBS '!H:H,' General Stock Summary View  '!$J$2,'XBS '!L:L,' General Stock Summary View  '!B220,'XBS '!C:C,' General Stock Summary View  '!C220)</f>
        <v>0</v>
      </c>
      <c r="K220" s="157">
        <f>SUMIFS('PowerApp_Physical count'!H:H,'PowerApp_Physical count'!B:B,' General Stock Summary View  '!$J$2,'PowerApp_Physical count'!C:C,' General Stock Summary View  '!C220,'PowerApp_Physical count'!A:A,' General Stock Summary View  '!B220)</f>
        <v>0</v>
      </c>
      <c r="L220" s="127">
        <f t="shared" si="15"/>
        <v>0</v>
      </c>
      <c r="M220" s="126">
        <f t="shared" si="2"/>
        <v>0</v>
      </c>
      <c r="N220" s="11">
        <f t="shared" si="3"/>
        <v>0</v>
      </c>
      <c r="O220" s="144">
        <f t="shared" si="10"/>
        <v>0</v>
      </c>
      <c r="P220" s="2">
        <f>SUMIFS('XBS '!T:T,'XBS '!H:H,' General Stock Summary View  '!$P$2,'XBS '!L:L,' General Stock Summary View  '!B220,'XBS '!C:C,' General Stock Summary View  '!C220)</f>
        <v>13.9</v>
      </c>
      <c r="Q220" s="3">
        <f>SUMIFS('PowerApp_Physical count'!H:H,'PowerApp_Physical count'!B:B,' General Stock Summary View  '!$P$2,'PowerApp_Physical count'!C:C,' General Stock Summary View  '!C220,'PowerApp_Physical count'!A:A,' General Stock Summary View  '!B220)</f>
        <v>0</v>
      </c>
      <c r="R220" s="4">
        <f t="shared" si="11"/>
        <v>-13.9</v>
      </c>
      <c r="S220" s="5">
        <f>SUMIFS('XBS '!T:T,'XBS '!L:L,' General Stock Summary View  '!B220,'XBS '!H:H,' General Stock Summary View  '!$S$2,'XBS '!C:C,' General Stock Summary View  '!C220)</f>
        <v>0</v>
      </c>
      <c r="T220" s="3">
        <f>SUMIFS('PowerApp_Physical count'!H:H,'PowerApp_Physical count'!B:B,' General Stock Summary View  '!$S$2,'PowerApp_Physical count'!C:C,' General Stock Summary View  '!C220,'PowerApp_Physical count'!A:A,' General Stock Summary View  '!B220)</f>
        <v>0</v>
      </c>
      <c r="U220" s="4">
        <f t="shared" si="4"/>
        <v>0</v>
      </c>
      <c r="V220" s="2">
        <f>SUMIFS('XBS '!T:T,'XBS '!H:H,' General Stock Summary View  '!$V$2,'XBS '!B:B,' General Stock Summary View  '!C220,'XBS '!L:L,' General Stock Summary View  '!B220)</f>
        <v>0</v>
      </c>
      <c r="W220" s="3">
        <f>SUMIFS('PowerApp_Physical count'!H:H,'PowerApp_Physical count'!B:B,' General Stock Summary View  '!$V$2,'PowerApp_Physical count'!C:C,' General Stock Summary View  '!C220,'PowerApp_Physical count'!A:A,' General Stock Summary View  '!B220)</f>
        <v>0</v>
      </c>
      <c r="X220" s="4">
        <f t="shared" si="12"/>
        <v>0</v>
      </c>
      <c r="Y220" s="5">
        <f>SUMIFS('XBS '!T:T,'XBS '!H:H,' General Stock Summary View  '!$Y$2,'XBS '!B:B,' General Stock Summary View  '!C220,'XBS '!L:L,' General Stock Summary View  '!B220)</f>
        <v>0</v>
      </c>
      <c r="Z220" s="3">
        <f>SUMIFS('PowerApp_Physical count'!H:H,'PowerApp_Physical count'!B:B,' General Stock Summary View  '!$Y$2,'PowerApp_Physical count'!C:C,' General Stock Summary View  '!C220,'PowerApp_Physical count'!A:A,' General Stock Summary View  '!B220)</f>
        <v>0</v>
      </c>
      <c r="AA220" s="4">
        <f t="shared" si="13"/>
        <v>0</v>
      </c>
      <c r="AB220" s="5">
        <f>SUMIFS('XBS '!T:T,'XBS '!H:H,' General Stock Summary View  '!$AB$2,'XBS '!B:B,' General Stock Summary View  '!C220,'XBS '!L:L,' General Stock Summary View  '!B220)</f>
        <v>0</v>
      </c>
      <c r="AC220" s="3">
        <f>SUMIFS('PowerApp_Physical count'!H:H,'PowerApp_Physical count'!B:B,' General Stock Summary View  '!$AB$2,'PowerApp_Physical count'!C:C,' General Stock Summary View  '!C220,'PowerApp_Physical count'!A:A,' General Stock Summary View  '!B220)</f>
        <v>0</v>
      </c>
      <c r="AD220" s="6">
        <f t="shared" si="14"/>
        <v>0</v>
      </c>
      <c r="AE220" s="7">
        <f t="shared" si="8"/>
        <v>0</v>
      </c>
      <c r="AF220" s="8">
        <f t="shared" si="9"/>
        <v>-13.9</v>
      </c>
      <c r="AG220" s="112"/>
    </row>
    <row r="221" spans="2:33" s="113" customFormat="1" ht="61.15">
      <c r="B221" s="117" t="s">
        <v>121</v>
      </c>
      <c r="C221" s="111" t="s">
        <v>197</v>
      </c>
      <c r="D221" s="11">
        <f>SUMIFS('XBS '!T:T,'XBS '!C:C,' General Stock Summary View  '!C221,'XBS '!L:L,' General Stock Summary View  '!B221)</f>
        <v>20.45</v>
      </c>
      <c r="E221" s="2">
        <f>SUMIFS('Blocked for Processing'!P:P,'Blocked for Processing'!I:I,' General Stock Summary View  '!B221,'Blocked for Processing'!C:C,' General Stock Summary View  '!C221)</f>
        <v>0</v>
      </c>
      <c r="F221" s="122">
        <f t="shared" si="0"/>
        <v>20.45</v>
      </c>
      <c r="G221" s="148">
        <f>SUMIFS('XBS '!T:T,'XBS '!H:H,' General Stock Summary View  '!$G$2,'XBS '!L:L,' General Stock Summary View  '!B221,'XBS '!C:C,' General Stock Summary View  '!C221)</f>
        <v>0</v>
      </c>
      <c r="H221" s="3">
        <f>SUMIFS('PowerApp_Physical count'!H:H,'PowerApp_Physical count'!B:B,' General Stock Summary View  '!$G$2,'PowerApp_Physical count'!C:C,' General Stock Summary View  '!C221,'PowerApp_Physical count'!A:A,' General Stock Summary View  '!B221)</f>
        <v>0</v>
      </c>
      <c r="I221" s="154">
        <f t="shared" si="41"/>
        <v>0</v>
      </c>
      <c r="J221" s="11">
        <f>SUMIFS('XBS '!T:T,'XBS '!H:H,' General Stock Summary View  '!$J$2,'XBS '!L:L,' General Stock Summary View  '!B221,'XBS '!C:C,' General Stock Summary View  '!C221)</f>
        <v>0</v>
      </c>
      <c r="K221" s="157">
        <f>SUMIFS('PowerApp_Physical count'!H:H,'PowerApp_Physical count'!B:B,' General Stock Summary View  '!$J$2,'PowerApp_Physical count'!C:C,' General Stock Summary View  '!C221,'PowerApp_Physical count'!A:A,' General Stock Summary View  '!B221)</f>
        <v>0</v>
      </c>
      <c r="L221" s="127">
        <f t="shared" si="15"/>
        <v>0</v>
      </c>
      <c r="M221" s="126">
        <f t="shared" si="2"/>
        <v>0</v>
      </c>
      <c r="N221" s="11">
        <f t="shared" si="3"/>
        <v>0</v>
      </c>
      <c r="O221" s="144">
        <f t="shared" si="10"/>
        <v>0</v>
      </c>
      <c r="P221" s="2">
        <f>SUMIFS('XBS '!T:T,'XBS '!H:H,' General Stock Summary View  '!$P$2,'XBS '!L:L,' General Stock Summary View  '!B221,'XBS '!C:C,' General Stock Summary View  '!C221)</f>
        <v>20.45</v>
      </c>
      <c r="Q221" s="3">
        <f>SUMIFS('PowerApp_Physical count'!H:H,'PowerApp_Physical count'!B:B,' General Stock Summary View  '!$P$2,'PowerApp_Physical count'!C:C,' General Stock Summary View  '!C221,'PowerApp_Physical count'!A:A,' General Stock Summary View  '!B221)</f>
        <v>0</v>
      </c>
      <c r="R221" s="4">
        <f t="shared" si="11"/>
        <v>-20.45</v>
      </c>
      <c r="S221" s="5">
        <f>SUMIFS('XBS '!T:T,'XBS '!L:L,' General Stock Summary View  '!B221,'XBS '!H:H,' General Stock Summary View  '!$S$2,'XBS '!C:C,' General Stock Summary View  '!C221)</f>
        <v>0</v>
      </c>
      <c r="T221" s="3">
        <f>SUMIFS('PowerApp_Physical count'!H:H,'PowerApp_Physical count'!B:B,' General Stock Summary View  '!$S$2,'PowerApp_Physical count'!C:C,' General Stock Summary View  '!C221,'PowerApp_Physical count'!A:A,' General Stock Summary View  '!B221)</f>
        <v>0</v>
      </c>
      <c r="U221" s="4">
        <f t="shared" si="4"/>
        <v>0</v>
      </c>
      <c r="V221" s="2">
        <f>SUMIFS('XBS '!T:T,'XBS '!H:H,' General Stock Summary View  '!$V$2,'XBS '!B:B,' General Stock Summary View  '!C221,'XBS '!L:L,' General Stock Summary View  '!B221)</f>
        <v>0</v>
      </c>
      <c r="W221" s="3">
        <f>SUMIFS('PowerApp_Physical count'!H:H,'PowerApp_Physical count'!B:B,' General Stock Summary View  '!$V$2,'PowerApp_Physical count'!C:C,' General Stock Summary View  '!C221,'PowerApp_Physical count'!A:A,' General Stock Summary View  '!B221)</f>
        <v>0</v>
      </c>
      <c r="X221" s="4">
        <f t="shared" si="12"/>
        <v>0</v>
      </c>
      <c r="Y221" s="5">
        <f>SUMIFS('XBS '!T:T,'XBS '!H:H,' General Stock Summary View  '!$Y$2,'XBS '!B:B,' General Stock Summary View  '!C221,'XBS '!L:L,' General Stock Summary View  '!B221)</f>
        <v>0</v>
      </c>
      <c r="Z221" s="3">
        <f>SUMIFS('PowerApp_Physical count'!H:H,'PowerApp_Physical count'!B:B,' General Stock Summary View  '!$Y$2,'PowerApp_Physical count'!C:C,' General Stock Summary View  '!C221,'PowerApp_Physical count'!A:A,' General Stock Summary View  '!B221)</f>
        <v>0</v>
      </c>
      <c r="AA221" s="4">
        <f t="shared" si="13"/>
        <v>0</v>
      </c>
      <c r="AB221" s="5">
        <f>SUMIFS('XBS '!T:T,'XBS '!H:H,' General Stock Summary View  '!$AB$2,'XBS '!B:B,' General Stock Summary View  '!C221,'XBS '!L:L,' General Stock Summary View  '!B221)</f>
        <v>0</v>
      </c>
      <c r="AC221" s="3">
        <f>SUMIFS('PowerApp_Physical count'!H:H,'PowerApp_Physical count'!B:B,' General Stock Summary View  '!$AB$2,'PowerApp_Physical count'!C:C,' General Stock Summary View  '!C221,'PowerApp_Physical count'!A:A,' General Stock Summary View  '!B221)</f>
        <v>0</v>
      </c>
      <c r="AD221" s="6">
        <f t="shared" si="14"/>
        <v>0</v>
      </c>
      <c r="AE221" s="7">
        <f t="shared" si="8"/>
        <v>0</v>
      </c>
      <c r="AF221" s="8">
        <f t="shared" si="9"/>
        <v>-20.45</v>
      </c>
      <c r="AG221" s="112"/>
    </row>
    <row r="222" spans="2:33" s="113" customFormat="1" ht="61.15">
      <c r="B222" s="117" t="s">
        <v>228</v>
      </c>
      <c r="C222" s="111" t="s">
        <v>197</v>
      </c>
      <c r="D222" s="11">
        <f>SUMIFS('XBS '!T:T,'XBS '!C:C,' General Stock Summary View  '!C222,'XBS '!L:L,' General Stock Summary View  '!B222)</f>
        <v>9.8833333333333329</v>
      </c>
      <c r="E222" s="2">
        <f>SUMIFS('Blocked for Processing'!P:P,'Blocked for Processing'!I:I,' General Stock Summary View  '!B222,'Blocked for Processing'!C:C,' General Stock Summary View  '!C222)</f>
        <v>0</v>
      </c>
      <c r="F222" s="122">
        <f t="shared" si="0"/>
        <v>9.8833333333333329</v>
      </c>
      <c r="G222" s="148">
        <f>SUMIFS('XBS '!T:T,'XBS '!H:H,' General Stock Summary View  '!$G$2,'XBS '!L:L,' General Stock Summary View  '!B222,'XBS '!C:C,' General Stock Summary View  '!C222)</f>
        <v>0</v>
      </c>
      <c r="H222" s="3">
        <f>SUMIFS('PowerApp_Physical count'!H:H,'PowerApp_Physical count'!B:B,' General Stock Summary View  '!$G$2,'PowerApp_Physical count'!C:C,' General Stock Summary View  '!C222,'PowerApp_Physical count'!A:A,' General Stock Summary View  '!B222)</f>
        <v>0</v>
      </c>
      <c r="I222" s="154">
        <f t="shared" si="41"/>
        <v>0</v>
      </c>
      <c r="J222" s="11">
        <f>SUMIFS('XBS '!T:T,'XBS '!H:H,' General Stock Summary View  '!$J$2,'XBS '!L:L,' General Stock Summary View  '!B222,'XBS '!C:C,' General Stock Summary View  '!C222)</f>
        <v>0</v>
      </c>
      <c r="K222" s="157">
        <f>SUMIFS('PowerApp_Physical count'!H:H,'PowerApp_Physical count'!B:B,' General Stock Summary View  '!$J$2,'PowerApp_Physical count'!C:C,' General Stock Summary View  '!C222,'PowerApp_Physical count'!A:A,' General Stock Summary View  '!B222)</f>
        <v>0</v>
      </c>
      <c r="L222" s="127">
        <f t="shared" si="15"/>
        <v>0</v>
      </c>
      <c r="M222" s="126">
        <f t="shared" si="2"/>
        <v>0</v>
      </c>
      <c r="N222" s="11">
        <f t="shared" si="3"/>
        <v>0</v>
      </c>
      <c r="O222" s="144">
        <f t="shared" si="10"/>
        <v>0</v>
      </c>
      <c r="P222" s="2">
        <f>SUMIFS('XBS '!T:T,'XBS '!H:H,' General Stock Summary View  '!$P$2,'XBS '!L:L,' General Stock Summary View  '!B222,'XBS '!C:C,' General Stock Summary View  '!C222)</f>
        <v>0</v>
      </c>
      <c r="Q222" s="3">
        <f>SUMIFS('PowerApp_Physical count'!H:H,'PowerApp_Physical count'!B:B,' General Stock Summary View  '!$P$2,'PowerApp_Physical count'!C:C,' General Stock Summary View  '!C222,'PowerApp_Physical count'!A:A,' General Stock Summary View  '!B222)</f>
        <v>0</v>
      </c>
      <c r="R222" s="4">
        <f t="shared" si="11"/>
        <v>0</v>
      </c>
      <c r="S222" s="5">
        <f>SUMIFS('XBS '!T:T,'XBS '!L:L,' General Stock Summary View  '!B222,'XBS '!H:H,' General Stock Summary View  '!$S$2,'XBS '!C:C,' General Stock Summary View  '!C222)</f>
        <v>0</v>
      </c>
      <c r="T222" s="3">
        <f>SUMIFS('PowerApp_Physical count'!H:H,'PowerApp_Physical count'!B:B,' General Stock Summary View  '!$S$2,'PowerApp_Physical count'!C:C,' General Stock Summary View  '!C222,'PowerApp_Physical count'!A:A,' General Stock Summary View  '!B222)</f>
        <v>0</v>
      </c>
      <c r="U222" s="4">
        <f t="shared" si="4"/>
        <v>0</v>
      </c>
      <c r="V222" s="2">
        <f>SUMIFS('XBS '!T:T,'XBS '!H:H,' General Stock Summary View  '!$V$2,'XBS '!B:B,' General Stock Summary View  '!C222,'XBS '!L:L,' General Stock Summary View  '!B222)</f>
        <v>0</v>
      </c>
      <c r="W222" s="3">
        <f>SUMIFS('PowerApp_Physical count'!H:H,'PowerApp_Physical count'!B:B,' General Stock Summary View  '!$V$2,'PowerApp_Physical count'!C:C,' General Stock Summary View  '!C222,'PowerApp_Physical count'!A:A,' General Stock Summary View  '!B222)</f>
        <v>0</v>
      </c>
      <c r="X222" s="4">
        <f t="shared" si="12"/>
        <v>0</v>
      </c>
      <c r="Y222" s="5">
        <f>SUMIFS('XBS '!T:T,'XBS '!H:H,' General Stock Summary View  '!$Y$2,'XBS '!B:B,' General Stock Summary View  '!C222,'XBS '!L:L,' General Stock Summary View  '!B222)</f>
        <v>0</v>
      </c>
      <c r="Z222" s="3">
        <f>SUMIFS('PowerApp_Physical count'!H:H,'PowerApp_Physical count'!B:B,' General Stock Summary View  '!$Y$2,'PowerApp_Physical count'!C:C,' General Stock Summary View  '!C222,'PowerApp_Physical count'!A:A,' General Stock Summary View  '!B222)</f>
        <v>0</v>
      </c>
      <c r="AA222" s="4">
        <f t="shared" si="13"/>
        <v>0</v>
      </c>
      <c r="AB222" s="5">
        <f>SUMIFS('XBS '!T:T,'XBS '!H:H,' General Stock Summary View  '!$AB$2,'XBS '!B:B,' General Stock Summary View  '!C222,'XBS '!L:L,' General Stock Summary View  '!B222)</f>
        <v>9.8833333333333329</v>
      </c>
      <c r="AC222" s="3">
        <f>SUMIFS('PowerApp_Physical count'!H:H,'PowerApp_Physical count'!B:B,' General Stock Summary View  '!$AB$2,'PowerApp_Physical count'!C:C,' General Stock Summary View  '!C222,'PowerApp_Physical count'!A:A,' General Stock Summary View  '!B222)</f>
        <v>0</v>
      </c>
      <c r="AD222" s="6">
        <f t="shared" si="14"/>
        <v>-9.8833333333333329</v>
      </c>
      <c r="AE222" s="7">
        <f t="shared" si="8"/>
        <v>0</v>
      </c>
      <c r="AF222" s="8">
        <f t="shared" si="9"/>
        <v>-9.8833333333333329</v>
      </c>
      <c r="AG222" s="112"/>
    </row>
    <row r="223" spans="2:33" s="113" customFormat="1" ht="61.15">
      <c r="B223" s="117" t="s">
        <v>229</v>
      </c>
      <c r="C223" s="111" t="s">
        <v>197</v>
      </c>
      <c r="D223" s="11">
        <f>SUMIFS('XBS '!T:T,'XBS '!C:C,' General Stock Summary View  '!C223,'XBS '!L:L,' General Stock Summary View  '!B223)</f>
        <v>22.433333333333334</v>
      </c>
      <c r="E223" s="2">
        <f>SUMIFS('Blocked for Processing'!P:P,'Blocked for Processing'!I:I,' General Stock Summary View  '!B223,'Blocked for Processing'!C:C,' General Stock Summary View  '!C223)</f>
        <v>0</v>
      </c>
      <c r="F223" s="122">
        <f t="shared" si="0"/>
        <v>22.433333333333334</v>
      </c>
      <c r="G223" s="148">
        <f>SUMIFS('XBS '!T:T,'XBS '!H:H,' General Stock Summary View  '!$G$2,'XBS '!L:L,' General Stock Summary View  '!B223,'XBS '!C:C,' General Stock Summary View  '!C223)</f>
        <v>0</v>
      </c>
      <c r="H223" s="3">
        <f>SUMIFS('PowerApp_Physical count'!H:H,'PowerApp_Physical count'!B:B,' General Stock Summary View  '!$G$2,'PowerApp_Physical count'!C:C,' General Stock Summary View  '!C223,'PowerApp_Physical count'!A:A,' General Stock Summary View  '!B223)</f>
        <v>0</v>
      </c>
      <c r="I223" s="154">
        <f t="shared" si="41"/>
        <v>0</v>
      </c>
      <c r="J223" s="11">
        <f>SUMIFS('XBS '!T:T,'XBS '!H:H,' General Stock Summary View  '!$J$2,'XBS '!L:L,' General Stock Summary View  '!B223,'XBS '!C:C,' General Stock Summary View  '!C223)</f>
        <v>0</v>
      </c>
      <c r="K223" s="157">
        <f>SUMIFS('PowerApp_Physical count'!H:H,'PowerApp_Physical count'!B:B,' General Stock Summary View  '!$J$2,'PowerApp_Physical count'!C:C,' General Stock Summary View  '!C223,'PowerApp_Physical count'!A:A,' General Stock Summary View  '!B223)</f>
        <v>0</v>
      </c>
      <c r="L223" s="127">
        <f t="shared" si="15"/>
        <v>0</v>
      </c>
      <c r="M223" s="126">
        <f t="shared" si="2"/>
        <v>0</v>
      </c>
      <c r="N223" s="11">
        <f t="shared" si="3"/>
        <v>0</v>
      </c>
      <c r="O223" s="144">
        <f t="shared" si="10"/>
        <v>0</v>
      </c>
      <c r="P223" s="2">
        <f>SUMIFS('XBS '!T:T,'XBS '!H:H,' General Stock Summary View  '!$P$2,'XBS '!L:L,' General Stock Summary View  '!B223,'XBS '!C:C,' General Stock Summary View  '!C223)</f>
        <v>0</v>
      </c>
      <c r="Q223" s="3">
        <f>SUMIFS('PowerApp_Physical count'!H:H,'PowerApp_Physical count'!B:B,' General Stock Summary View  '!$P$2,'PowerApp_Physical count'!C:C,' General Stock Summary View  '!C223,'PowerApp_Physical count'!A:A,' General Stock Summary View  '!B223)</f>
        <v>0</v>
      </c>
      <c r="R223" s="4">
        <f t="shared" si="11"/>
        <v>0</v>
      </c>
      <c r="S223" s="5">
        <f>SUMIFS('XBS '!T:T,'XBS '!L:L,' General Stock Summary View  '!B223,'XBS '!H:H,' General Stock Summary View  '!$S$2,'XBS '!C:C,' General Stock Summary View  '!C223)</f>
        <v>0</v>
      </c>
      <c r="T223" s="3">
        <f>SUMIFS('PowerApp_Physical count'!H:H,'PowerApp_Physical count'!B:B,' General Stock Summary View  '!$S$2,'PowerApp_Physical count'!C:C,' General Stock Summary View  '!C223,'PowerApp_Physical count'!A:A,' General Stock Summary View  '!B223)</f>
        <v>0</v>
      </c>
      <c r="U223" s="4">
        <f t="shared" si="4"/>
        <v>0</v>
      </c>
      <c r="V223" s="2">
        <f>SUMIFS('XBS '!T:T,'XBS '!H:H,' General Stock Summary View  '!$V$2,'XBS '!B:B,' General Stock Summary View  '!C223,'XBS '!L:L,' General Stock Summary View  '!B223)</f>
        <v>0</v>
      </c>
      <c r="W223" s="3">
        <f>SUMIFS('PowerApp_Physical count'!H:H,'PowerApp_Physical count'!B:B,' General Stock Summary View  '!$V$2,'PowerApp_Physical count'!C:C,' General Stock Summary View  '!C223,'PowerApp_Physical count'!A:A,' General Stock Summary View  '!B223)</f>
        <v>0</v>
      </c>
      <c r="X223" s="4">
        <f t="shared" si="12"/>
        <v>0</v>
      </c>
      <c r="Y223" s="5">
        <f>SUMIFS('XBS '!T:T,'XBS '!H:H,' General Stock Summary View  '!$Y$2,'XBS '!B:B,' General Stock Summary View  '!C223,'XBS '!L:L,' General Stock Summary View  '!B223)</f>
        <v>0</v>
      </c>
      <c r="Z223" s="3">
        <f>SUMIFS('PowerApp_Physical count'!H:H,'PowerApp_Physical count'!B:B,' General Stock Summary View  '!$Y$2,'PowerApp_Physical count'!C:C,' General Stock Summary View  '!C223,'PowerApp_Physical count'!A:A,' General Stock Summary View  '!B223)</f>
        <v>0</v>
      </c>
      <c r="AA223" s="4">
        <f t="shared" si="13"/>
        <v>0</v>
      </c>
      <c r="AB223" s="5">
        <f>SUMIFS('XBS '!T:T,'XBS '!H:H,' General Stock Summary View  '!$AB$2,'XBS '!B:B,' General Stock Summary View  '!C223,'XBS '!L:L,' General Stock Summary View  '!B223)</f>
        <v>22.433333333333334</v>
      </c>
      <c r="AC223" s="3">
        <f>SUMIFS('PowerApp_Physical count'!H:H,'PowerApp_Physical count'!B:B,' General Stock Summary View  '!$AB$2,'PowerApp_Physical count'!C:C,' General Stock Summary View  '!C223,'PowerApp_Physical count'!A:A,' General Stock Summary View  '!B223)</f>
        <v>0</v>
      </c>
      <c r="AD223" s="6">
        <f t="shared" si="14"/>
        <v>-22.433333333333334</v>
      </c>
      <c r="AE223" s="7">
        <f t="shared" si="8"/>
        <v>0</v>
      </c>
      <c r="AF223" s="8">
        <f t="shared" si="9"/>
        <v>-22.433333333333334</v>
      </c>
      <c r="AG223" s="112"/>
    </row>
    <row r="224" spans="2:33" s="113" customFormat="1" ht="61.15">
      <c r="B224" s="117" t="s">
        <v>124</v>
      </c>
      <c r="C224" s="111" t="s">
        <v>197</v>
      </c>
      <c r="D224" s="11">
        <f>SUMIFS('XBS '!T:T,'XBS '!C:C,' General Stock Summary View  '!C224,'XBS '!L:L,' General Stock Summary View  '!B224)</f>
        <v>14.616666666666667</v>
      </c>
      <c r="E224" s="2">
        <f>SUMIFS('Blocked for Processing'!P:P,'Blocked for Processing'!I:I,' General Stock Summary View  '!B224,'Blocked for Processing'!C:C,' General Stock Summary View  '!C224)</f>
        <v>0</v>
      </c>
      <c r="F224" s="122">
        <f t="shared" si="0"/>
        <v>14.616666666666667</v>
      </c>
      <c r="G224" s="148">
        <f>SUMIFS('XBS '!T:T,'XBS '!H:H,' General Stock Summary View  '!$G$2,'XBS '!L:L,' General Stock Summary View  '!B224,'XBS '!C:C,' General Stock Summary View  '!C224)</f>
        <v>0</v>
      </c>
      <c r="H224" s="3">
        <f>SUMIFS('PowerApp_Physical count'!H:H,'PowerApp_Physical count'!B:B,' General Stock Summary View  '!$G$2,'PowerApp_Physical count'!C:C,' General Stock Summary View  '!C224,'PowerApp_Physical count'!A:A,' General Stock Summary View  '!B224)</f>
        <v>0</v>
      </c>
      <c r="I224" s="154">
        <f t="shared" si="41"/>
        <v>0</v>
      </c>
      <c r="J224" s="11">
        <f>SUMIFS('XBS '!T:T,'XBS '!H:H,' General Stock Summary View  '!$J$2,'XBS '!L:L,' General Stock Summary View  '!B224,'XBS '!C:C,' General Stock Summary View  '!C224)</f>
        <v>0</v>
      </c>
      <c r="K224" s="157">
        <f>SUMIFS('PowerApp_Physical count'!H:H,'PowerApp_Physical count'!B:B,' General Stock Summary View  '!$J$2,'PowerApp_Physical count'!C:C,' General Stock Summary View  '!C224,'PowerApp_Physical count'!A:A,' General Stock Summary View  '!B224)</f>
        <v>0</v>
      </c>
      <c r="L224" s="127">
        <f t="shared" si="15"/>
        <v>0</v>
      </c>
      <c r="M224" s="126">
        <f t="shared" si="2"/>
        <v>0</v>
      </c>
      <c r="N224" s="11">
        <f t="shared" si="3"/>
        <v>0</v>
      </c>
      <c r="O224" s="144">
        <f t="shared" si="10"/>
        <v>0</v>
      </c>
      <c r="P224" s="2">
        <f>SUMIFS('XBS '!T:T,'XBS '!H:H,' General Stock Summary View  '!$P$2,'XBS '!L:L,' General Stock Summary View  '!B224,'XBS '!C:C,' General Stock Summary View  '!C224)</f>
        <v>0</v>
      </c>
      <c r="Q224" s="3">
        <f>SUMIFS('PowerApp_Physical count'!H:H,'PowerApp_Physical count'!B:B,' General Stock Summary View  '!$P$2,'PowerApp_Physical count'!C:C,' General Stock Summary View  '!C224,'PowerApp_Physical count'!A:A,' General Stock Summary View  '!B224)</f>
        <v>0</v>
      </c>
      <c r="R224" s="4">
        <f t="shared" si="11"/>
        <v>0</v>
      </c>
      <c r="S224" s="5">
        <f>SUMIFS('XBS '!T:T,'XBS '!L:L,' General Stock Summary View  '!B224,'XBS '!H:H,' General Stock Summary View  '!$S$2,'XBS '!C:C,' General Stock Summary View  '!C224)</f>
        <v>0</v>
      </c>
      <c r="T224" s="3">
        <f>SUMIFS('PowerApp_Physical count'!H:H,'PowerApp_Physical count'!B:B,' General Stock Summary View  '!$S$2,'PowerApp_Physical count'!C:C,' General Stock Summary View  '!C224,'PowerApp_Physical count'!A:A,' General Stock Summary View  '!B224)</f>
        <v>0</v>
      </c>
      <c r="U224" s="4">
        <f t="shared" si="4"/>
        <v>0</v>
      </c>
      <c r="V224" s="2">
        <f>SUMIFS('XBS '!T:T,'XBS '!H:H,' General Stock Summary View  '!$V$2,'XBS '!B:B,' General Stock Summary View  '!C224,'XBS '!L:L,' General Stock Summary View  '!B224)</f>
        <v>0</v>
      </c>
      <c r="W224" s="3">
        <f>SUMIFS('PowerApp_Physical count'!H:H,'PowerApp_Physical count'!B:B,' General Stock Summary View  '!$V$2,'PowerApp_Physical count'!C:C,' General Stock Summary View  '!C224,'PowerApp_Physical count'!A:A,' General Stock Summary View  '!B224)</f>
        <v>0</v>
      </c>
      <c r="X224" s="4">
        <f t="shared" si="12"/>
        <v>0</v>
      </c>
      <c r="Y224" s="5">
        <f>SUMIFS('XBS '!T:T,'XBS '!H:H,' General Stock Summary View  '!$Y$2,'XBS '!B:B,' General Stock Summary View  '!C224,'XBS '!L:L,' General Stock Summary View  '!B224)</f>
        <v>14.616666666666667</v>
      </c>
      <c r="Z224" s="3">
        <f>SUMIFS('PowerApp_Physical count'!H:H,'PowerApp_Physical count'!B:B,' General Stock Summary View  '!$Y$2,'PowerApp_Physical count'!C:C,' General Stock Summary View  '!C224,'PowerApp_Physical count'!A:A,' General Stock Summary View  '!B224)</f>
        <v>0</v>
      </c>
      <c r="AA224" s="4">
        <f t="shared" si="13"/>
        <v>-14.616666666666667</v>
      </c>
      <c r="AB224" s="5">
        <f>SUMIFS('XBS '!T:T,'XBS '!H:H,' General Stock Summary View  '!$AB$2,'XBS '!B:B,' General Stock Summary View  '!C224,'XBS '!L:L,' General Stock Summary View  '!B224)</f>
        <v>0</v>
      </c>
      <c r="AC224" s="3">
        <f>SUMIFS('PowerApp_Physical count'!H:H,'PowerApp_Physical count'!B:B,' General Stock Summary View  '!$AB$2,'PowerApp_Physical count'!C:C,' General Stock Summary View  '!C224,'PowerApp_Physical count'!A:A,' General Stock Summary View  '!B224)</f>
        <v>0</v>
      </c>
      <c r="AD224" s="6">
        <f t="shared" si="14"/>
        <v>0</v>
      </c>
      <c r="AE224" s="7">
        <f t="shared" si="8"/>
        <v>0</v>
      </c>
      <c r="AF224" s="8">
        <f t="shared" si="9"/>
        <v>-14.616666666666667</v>
      </c>
      <c r="AG224" s="112"/>
    </row>
    <row r="225" spans="2:33" s="113" customFormat="1" ht="61.15">
      <c r="B225" s="117" t="s">
        <v>230</v>
      </c>
      <c r="C225" s="111" t="s">
        <v>197</v>
      </c>
      <c r="D225" s="11">
        <f>SUMIFS('XBS '!T:T,'XBS '!C:C,' General Stock Summary View  '!C225,'XBS '!L:L,' General Stock Summary View  '!B225)</f>
        <v>5.7666666666666666</v>
      </c>
      <c r="E225" s="2">
        <f>SUMIFS('Blocked for Processing'!P:P,'Blocked for Processing'!I:I,' General Stock Summary View  '!B225,'Blocked for Processing'!C:C,' General Stock Summary View  '!C225)</f>
        <v>0</v>
      </c>
      <c r="F225" s="122">
        <f t="shared" si="0"/>
        <v>5.7666666666666666</v>
      </c>
      <c r="G225" s="148">
        <f>SUMIFS('XBS '!T:T,'XBS '!H:H,' General Stock Summary View  '!$G$2,'XBS '!L:L,' General Stock Summary View  '!B225,'XBS '!C:C,' General Stock Summary View  '!C225)</f>
        <v>0</v>
      </c>
      <c r="H225" s="3">
        <f>SUMIFS('PowerApp_Physical count'!H:H,'PowerApp_Physical count'!B:B,' General Stock Summary View  '!$G$2,'PowerApp_Physical count'!C:C,' General Stock Summary View  '!C225,'PowerApp_Physical count'!A:A,' General Stock Summary View  '!B225)</f>
        <v>0</v>
      </c>
      <c r="I225" s="154">
        <f t="shared" si="41"/>
        <v>0</v>
      </c>
      <c r="J225" s="11">
        <f>SUMIFS('XBS '!T:T,'XBS '!H:H,' General Stock Summary View  '!$J$2,'XBS '!L:L,' General Stock Summary View  '!B225,'XBS '!C:C,' General Stock Summary View  '!C225)</f>
        <v>0</v>
      </c>
      <c r="K225" s="157">
        <f>SUMIFS('PowerApp_Physical count'!H:H,'PowerApp_Physical count'!B:B,' General Stock Summary View  '!$J$2,'PowerApp_Physical count'!C:C,' General Stock Summary View  '!C225,'PowerApp_Physical count'!A:A,' General Stock Summary View  '!B225)</f>
        <v>0</v>
      </c>
      <c r="L225" s="127">
        <f t="shared" si="15"/>
        <v>0</v>
      </c>
      <c r="M225" s="126">
        <f t="shared" si="2"/>
        <v>0</v>
      </c>
      <c r="N225" s="11">
        <f t="shared" si="3"/>
        <v>0</v>
      </c>
      <c r="O225" s="144">
        <f t="shared" si="10"/>
        <v>0</v>
      </c>
      <c r="P225" s="2">
        <f>SUMIFS('XBS '!T:T,'XBS '!H:H,' General Stock Summary View  '!$P$2,'XBS '!L:L,' General Stock Summary View  '!B225,'XBS '!C:C,' General Stock Summary View  '!C225)</f>
        <v>0</v>
      </c>
      <c r="Q225" s="3">
        <f>SUMIFS('PowerApp_Physical count'!H:H,'PowerApp_Physical count'!B:B,' General Stock Summary View  '!$P$2,'PowerApp_Physical count'!C:C,' General Stock Summary View  '!C225,'PowerApp_Physical count'!A:A,' General Stock Summary View  '!B225)</f>
        <v>0</v>
      </c>
      <c r="R225" s="4">
        <f t="shared" si="11"/>
        <v>0</v>
      </c>
      <c r="S225" s="5">
        <f>SUMIFS('XBS '!T:T,'XBS '!L:L,' General Stock Summary View  '!B225,'XBS '!H:H,' General Stock Summary View  '!$S$2,'XBS '!C:C,' General Stock Summary View  '!C225)</f>
        <v>0</v>
      </c>
      <c r="T225" s="3">
        <f>SUMIFS('PowerApp_Physical count'!H:H,'PowerApp_Physical count'!B:B,' General Stock Summary View  '!$S$2,'PowerApp_Physical count'!C:C,' General Stock Summary View  '!C225,'PowerApp_Physical count'!A:A,' General Stock Summary View  '!B225)</f>
        <v>0</v>
      </c>
      <c r="U225" s="4">
        <f t="shared" si="4"/>
        <v>0</v>
      </c>
      <c r="V225" s="2">
        <f>SUMIFS('XBS '!T:T,'XBS '!H:H,' General Stock Summary View  '!$V$2,'XBS '!B:B,' General Stock Summary View  '!C225,'XBS '!L:L,' General Stock Summary View  '!B225)</f>
        <v>0</v>
      </c>
      <c r="W225" s="3">
        <f>SUMIFS('PowerApp_Physical count'!H:H,'PowerApp_Physical count'!B:B,' General Stock Summary View  '!$V$2,'PowerApp_Physical count'!C:C,' General Stock Summary View  '!C225,'PowerApp_Physical count'!A:A,' General Stock Summary View  '!B225)</f>
        <v>0</v>
      </c>
      <c r="X225" s="4">
        <f t="shared" si="12"/>
        <v>0</v>
      </c>
      <c r="Y225" s="5">
        <f>SUMIFS('XBS '!T:T,'XBS '!H:H,' General Stock Summary View  '!$Y$2,'XBS '!B:B,' General Stock Summary View  '!C225,'XBS '!L:L,' General Stock Summary View  '!B225)</f>
        <v>5.7666666666666666</v>
      </c>
      <c r="Z225" s="3">
        <f>SUMIFS('PowerApp_Physical count'!H:H,'PowerApp_Physical count'!B:B,' General Stock Summary View  '!$Y$2,'PowerApp_Physical count'!C:C,' General Stock Summary View  '!C225,'PowerApp_Physical count'!A:A,' General Stock Summary View  '!B225)</f>
        <v>0</v>
      </c>
      <c r="AA225" s="4">
        <f t="shared" si="13"/>
        <v>-5.7666666666666666</v>
      </c>
      <c r="AB225" s="5">
        <f>SUMIFS('XBS '!T:T,'XBS '!H:H,' General Stock Summary View  '!$AB$2,'XBS '!B:B,' General Stock Summary View  '!C225,'XBS '!L:L,' General Stock Summary View  '!B225)</f>
        <v>0</v>
      </c>
      <c r="AC225" s="3">
        <f>SUMIFS('PowerApp_Physical count'!H:H,'PowerApp_Physical count'!B:B,' General Stock Summary View  '!$AB$2,'PowerApp_Physical count'!C:C,' General Stock Summary View  '!C225,'PowerApp_Physical count'!A:A,' General Stock Summary View  '!B225)</f>
        <v>0</v>
      </c>
      <c r="AD225" s="6">
        <f t="shared" si="14"/>
        <v>0</v>
      </c>
      <c r="AE225" s="7">
        <f t="shared" si="8"/>
        <v>0</v>
      </c>
      <c r="AF225" s="8">
        <f t="shared" si="9"/>
        <v>-5.7666666666666666</v>
      </c>
      <c r="AG225" s="112"/>
    </row>
    <row r="226" spans="2:33" s="113" customFormat="1" ht="61.15">
      <c r="B226" s="117" t="s">
        <v>231</v>
      </c>
      <c r="C226" s="111" t="s">
        <v>197</v>
      </c>
      <c r="D226" s="11">
        <f>SUMIFS('XBS '!T:T,'XBS '!C:C,' General Stock Summary View  '!C226,'XBS '!L:L,' General Stock Summary View  '!B226)</f>
        <v>8.2833333333333332</v>
      </c>
      <c r="E226" s="2">
        <f>SUMIFS('Blocked for Processing'!P:P,'Blocked for Processing'!I:I,' General Stock Summary View  '!B226,'Blocked for Processing'!C:C,' General Stock Summary View  '!C226)</f>
        <v>0</v>
      </c>
      <c r="F226" s="122">
        <f t="shared" si="0"/>
        <v>8.2833333333333332</v>
      </c>
      <c r="G226" s="148">
        <f>SUMIFS('XBS '!T:T,'XBS '!H:H,' General Stock Summary View  '!$G$2,'XBS '!L:L,' General Stock Summary View  '!B226,'XBS '!C:C,' General Stock Summary View  '!C226)</f>
        <v>0</v>
      </c>
      <c r="H226" s="3">
        <f>SUMIFS('PowerApp_Physical count'!H:H,'PowerApp_Physical count'!B:B,' General Stock Summary View  '!$G$2,'PowerApp_Physical count'!C:C,' General Stock Summary View  '!C226,'PowerApp_Physical count'!A:A,' General Stock Summary View  '!B226)</f>
        <v>0</v>
      </c>
      <c r="I226" s="154">
        <f t="shared" si="41"/>
        <v>0</v>
      </c>
      <c r="J226" s="11">
        <f>SUMIFS('XBS '!T:T,'XBS '!H:H,' General Stock Summary View  '!$J$2,'XBS '!L:L,' General Stock Summary View  '!B226,'XBS '!C:C,' General Stock Summary View  '!C226)</f>
        <v>0</v>
      </c>
      <c r="K226" s="157">
        <f>SUMIFS('PowerApp_Physical count'!H:H,'PowerApp_Physical count'!B:B,' General Stock Summary View  '!$J$2,'PowerApp_Physical count'!C:C,' General Stock Summary View  '!C226,'PowerApp_Physical count'!A:A,' General Stock Summary View  '!B226)</f>
        <v>0</v>
      </c>
      <c r="L226" s="127">
        <f t="shared" si="15"/>
        <v>0</v>
      </c>
      <c r="M226" s="126">
        <f t="shared" si="2"/>
        <v>0</v>
      </c>
      <c r="N226" s="11">
        <f t="shared" si="3"/>
        <v>0</v>
      </c>
      <c r="O226" s="144">
        <f t="shared" si="10"/>
        <v>0</v>
      </c>
      <c r="P226" s="2">
        <f>SUMIFS('XBS '!T:T,'XBS '!H:H,' General Stock Summary View  '!$P$2,'XBS '!L:L,' General Stock Summary View  '!B226,'XBS '!C:C,' General Stock Summary View  '!C226)</f>
        <v>0</v>
      </c>
      <c r="Q226" s="3">
        <f>SUMIFS('PowerApp_Physical count'!H:H,'PowerApp_Physical count'!B:B,' General Stock Summary View  '!$P$2,'PowerApp_Physical count'!C:C,' General Stock Summary View  '!C226,'PowerApp_Physical count'!A:A,' General Stock Summary View  '!B226)</f>
        <v>0</v>
      </c>
      <c r="R226" s="4">
        <f t="shared" si="11"/>
        <v>0</v>
      </c>
      <c r="S226" s="5">
        <f>SUMIFS('XBS '!T:T,'XBS '!L:L,' General Stock Summary View  '!B226,'XBS '!H:H,' General Stock Summary View  '!$S$2,'XBS '!C:C,' General Stock Summary View  '!C226)</f>
        <v>0</v>
      </c>
      <c r="T226" s="3">
        <f>SUMIFS('PowerApp_Physical count'!H:H,'PowerApp_Physical count'!B:B,' General Stock Summary View  '!$S$2,'PowerApp_Physical count'!C:C,' General Stock Summary View  '!C226,'PowerApp_Physical count'!A:A,' General Stock Summary View  '!B226)</f>
        <v>0</v>
      </c>
      <c r="U226" s="4">
        <f t="shared" si="4"/>
        <v>0</v>
      </c>
      <c r="V226" s="2">
        <f>SUMIFS('XBS '!T:T,'XBS '!H:H,' General Stock Summary View  '!$V$2,'XBS '!B:B,' General Stock Summary View  '!C226,'XBS '!L:L,' General Stock Summary View  '!B226)</f>
        <v>8.2833333333333332</v>
      </c>
      <c r="W226" s="3">
        <f>SUMIFS('PowerApp_Physical count'!H:H,'PowerApp_Physical count'!B:B,' General Stock Summary View  '!$V$2,'PowerApp_Physical count'!C:C,' General Stock Summary View  '!C226,'PowerApp_Physical count'!A:A,' General Stock Summary View  '!B226)</f>
        <v>0</v>
      </c>
      <c r="X226" s="4">
        <f t="shared" si="12"/>
        <v>-8.2833333333333332</v>
      </c>
      <c r="Y226" s="5">
        <f>SUMIFS('XBS '!T:T,'XBS '!H:H,' General Stock Summary View  '!$Y$2,'XBS '!B:B,' General Stock Summary View  '!C226,'XBS '!L:L,' General Stock Summary View  '!B226)</f>
        <v>0</v>
      </c>
      <c r="Z226" s="3">
        <f>SUMIFS('PowerApp_Physical count'!H:H,'PowerApp_Physical count'!B:B,' General Stock Summary View  '!$Y$2,'PowerApp_Physical count'!C:C,' General Stock Summary View  '!C226,'PowerApp_Physical count'!A:A,' General Stock Summary View  '!B226)</f>
        <v>0</v>
      </c>
      <c r="AA226" s="4">
        <f t="shared" si="13"/>
        <v>0</v>
      </c>
      <c r="AB226" s="5">
        <f>SUMIFS('XBS '!T:T,'XBS '!H:H,' General Stock Summary View  '!$AB$2,'XBS '!B:B,' General Stock Summary View  '!C226,'XBS '!L:L,' General Stock Summary View  '!B226)</f>
        <v>0</v>
      </c>
      <c r="AC226" s="3">
        <f>SUMIFS('PowerApp_Physical count'!H:H,'PowerApp_Physical count'!B:B,' General Stock Summary View  '!$AB$2,'PowerApp_Physical count'!C:C,' General Stock Summary View  '!C226,'PowerApp_Physical count'!A:A,' General Stock Summary View  '!B226)</f>
        <v>0</v>
      </c>
      <c r="AD226" s="6">
        <f t="shared" si="14"/>
        <v>0</v>
      </c>
      <c r="AE226" s="7">
        <f t="shared" si="8"/>
        <v>0</v>
      </c>
      <c r="AF226" s="8">
        <f t="shared" si="9"/>
        <v>-8.2833333333333332</v>
      </c>
      <c r="AG226" s="112"/>
    </row>
    <row r="227" spans="2:33" s="113" customFormat="1" ht="61.15">
      <c r="B227" s="117" t="s">
        <v>232</v>
      </c>
      <c r="C227" s="111" t="s">
        <v>197</v>
      </c>
      <c r="D227" s="11">
        <f>SUMIFS('XBS '!T:T,'XBS '!C:C,' General Stock Summary View  '!C227,'XBS '!L:L,' General Stock Summary View  '!B227)</f>
        <v>41.266666666666666</v>
      </c>
      <c r="E227" s="2">
        <f>SUMIFS('Blocked for Processing'!P:P,'Blocked for Processing'!I:I,' General Stock Summary View  '!B227,'Blocked for Processing'!C:C,' General Stock Summary View  '!C227)</f>
        <v>0</v>
      </c>
      <c r="F227" s="122">
        <f t="shared" si="0"/>
        <v>41.266666666666666</v>
      </c>
      <c r="G227" s="148">
        <f>SUMIFS('XBS '!T:T,'XBS '!H:H,' General Stock Summary View  '!$G$2,'XBS '!L:L,' General Stock Summary View  '!B227,'XBS '!C:C,' General Stock Summary View  '!C227)</f>
        <v>0</v>
      </c>
      <c r="H227" s="3">
        <f>SUMIFS('PowerApp_Physical count'!H:H,'PowerApp_Physical count'!B:B,' General Stock Summary View  '!$G$2,'PowerApp_Physical count'!C:C,' General Stock Summary View  '!C227,'PowerApp_Physical count'!A:A,' General Stock Summary View  '!B227)</f>
        <v>0</v>
      </c>
      <c r="I227" s="154">
        <f t="shared" si="41"/>
        <v>0</v>
      </c>
      <c r="J227" s="11">
        <f>SUMIFS('XBS '!T:T,'XBS '!H:H,' General Stock Summary View  '!$J$2,'XBS '!L:L,' General Stock Summary View  '!B227,'XBS '!C:C,' General Stock Summary View  '!C227)</f>
        <v>0</v>
      </c>
      <c r="K227" s="157">
        <f>SUMIFS('PowerApp_Physical count'!H:H,'PowerApp_Physical count'!B:B,' General Stock Summary View  '!$J$2,'PowerApp_Physical count'!C:C,' General Stock Summary View  '!C227,'PowerApp_Physical count'!A:A,' General Stock Summary View  '!B227)</f>
        <v>0</v>
      </c>
      <c r="L227" s="127">
        <f t="shared" si="15"/>
        <v>0</v>
      </c>
      <c r="M227" s="126">
        <f t="shared" si="2"/>
        <v>0</v>
      </c>
      <c r="N227" s="11">
        <f t="shared" si="3"/>
        <v>0</v>
      </c>
      <c r="O227" s="144">
        <f t="shared" si="10"/>
        <v>0</v>
      </c>
      <c r="P227" s="2">
        <f>SUMIFS('XBS '!T:T,'XBS '!H:H,' General Stock Summary View  '!$P$2,'XBS '!L:L,' General Stock Summary View  '!B227,'XBS '!C:C,' General Stock Summary View  '!C227)</f>
        <v>0</v>
      </c>
      <c r="Q227" s="3">
        <f>SUMIFS('PowerApp_Physical count'!H:H,'PowerApp_Physical count'!B:B,' General Stock Summary View  '!$P$2,'PowerApp_Physical count'!C:C,' General Stock Summary View  '!C227,'PowerApp_Physical count'!A:A,' General Stock Summary View  '!B227)</f>
        <v>0</v>
      </c>
      <c r="R227" s="4">
        <f t="shared" si="11"/>
        <v>0</v>
      </c>
      <c r="S227" s="5">
        <f>SUMIFS('XBS '!T:T,'XBS '!L:L,' General Stock Summary View  '!B227,'XBS '!H:H,' General Stock Summary View  '!$S$2,'XBS '!C:C,' General Stock Summary View  '!C227)</f>
        <v>0</v>
      </c>
      <c r="T227" s="3">
        <f>SUMIFS('PowerApp_Physical count'!H:H,'PowerApp_Physical count'!B:B,' General Stock Summary View  '!$S$2,'PowerApp_Physical count'!C:C,' General Stock Summary View  '!C227,'PowerApp_Physical count'!A:A,' General Stock Summary View  '!B227)</f>
        <v>0</v>
      </c>
      <c r="U227" s="4">
        <f t="shared" si="4"/>
        <v>0</v>
      </c>
      <c r="V227" s="2">
        <f>SUMIFS('XBS '!T:T,'XBS '!H:H,' General Stock Summary View  '!$V$2,'XBS '!B:B,' General Stock Summary View  '!C227,'XBS '!L:L,' General Stock Summary View  '!B227)</f>
        <v>41.266666666666666</v>
      </c>
      <c r="W227" s="3">
        <f>SUMIFS('PowerApp_Physical count'!H:H,'PowerApp_Physical count'!B:B,' General Stock Summary View  '!$V$2,'PowerApp_Physical count'!C:C,' General Stock Summary View  '!C227,'PowerApp_Physical count'!A:A,' General Stock Summary View  '!B227)</f>
        <v>0</v>
      </c>
      <c r="X227" s="4">
        <f t="shared" si="12"/>
        <v>-41.266666666666666</v>
      </c>
      <c r="Y227" s="5">
        <f>SUMIFS('XBS '!T:T,'XBS '!H:H,' General Stock Summary View  '!$Y$2,'XBS '!B:B,' General Stock Summary View  '!C227,'XBS '!L:L,' General Stock Summary View  '!B227)</f>
        <v>0</v>
      </c>
      <c r="Z227" s="3">
        <f>SUMIFS('PowerApp_Physical count'!H:H,'PowerApp_Physical count'!B:B,' General Stock Summary View  '!$Y$2,'PowerApp_Physical count'!C:C,' General Stock Summary View  '!C227,'PowerApp_Physical count'!A:A,' General Stock Summary View  '!B227)</f>
        <v>0</v>
      </c>
      <c r="AA227" s="4">
        <f t="shared" si="13"/>
        <v>0</v>
      </c>
      <c r="AB227" s="5">
        <f>SUMIFS('XBS '!T:T,'XBS '!H:H,' General Stock Summary View  '!$AB$2,'XBS '!B:B,' General Stock Summary View  '!C227,'XBS '!L:L,' General Stock Summary View  '!B227)</f>
        <v>0</v>
      </c>
      <c r="AC227" s="3">
        <f>SUMIFS('PowerApp_Physical count'!H:H,'PowerApp_Physical count'!B:B,' General Stock Summary View  '!$AB$2,'PowerApp_Physical count'!C:C,' General Stock Summary View  '!C227,'PowerApp_Physical count'!A:A,' General Stock Summary View  '!B227)</f>
        <v>0</v>
      </c>
      <c r="AD227" s="6">
        <f t="shared" si="14"/>
        <v>0</v>
      </c>
      <c r="AE227" s="7">
        <f t="shared" si="8"/>
        <v>0</v>
      </c>
      <c r="AF227" s="8">
        <f t="shared" si="9"/>
        <v>-41.266666666666666</v>
      </c>
      <c r="AG227" s="112"/>
    </row>
    <row r="228" spans="2:33" s="113" customFormat="1" ht="61.15">
      <c r="B228" s="117" t="s">
        <v>105</v>
      </c>
      <c r="C228" s="111" t="s">
        <v>197</v>
      </c>
      <c r="D228" s="11">
        <f>SUMIFS('XBS '!T:T,'XBS '!C:C,' General Stock Summary View  '!C228,'XBS '!L:L,' General Stock Summary View  '!B228)</f>
        <v>2.3333333333333335</v>
      </c>
      <c r="E228" s="2">
        <f>SUMIFS('Blocked for Processing'!P:P,'Blocked for Processing'!I:I,' General Stock Summary View  '!B228,'Blocked for Processing'!C:C,' General Stock Summary View  '!C228)</f>
        <v>0</v>
      </c>
      <c r="F228" s="122">
        <f t="shared" si="0"/>
        <v>2.3333333333333335</v>
      </c>
      <c r="G228" s="148">
        <f>SUMIFS('XBS '!T:T,'XBS '!H:H,' General Stock Summary View  '!$G$2,'XBS '!L:L,' General Stock Summary View  '!B228,'XBS '!C:C,' General Stock Summary View  '!C228)</f>
        <v>0</v>
      </c>
      <c r="H228" s="3">
        <f>SUMIFS('PowerApp_Physical count'!H:H,'PowerApp_Physical count'!B:B,' General Stock Summary View  '!$G$2,'PowerApp_Physical count'!C:C,' General Stock Summary View  '!C228,'PowerApp_Physical count'!A:A,' General Stock Summary View  '!B228)</f>
        <v>0</v>
      </c>
      <c r="I228" s="154">
        <f t="shared" si="41"/>
        <v>0</v>
      </c>
      <c r="J228" s="11">
        <f>SUMIFS('XBS '!T:T,'XBS '!H:H,' General Stock Summary View  '!$J$2,'XBS '!L:L,' General Stock Summary View  '!B228,'XBS '!C:C,' General Stock Summary View  '!C228)</f>
        <v>0</v>
      </c>
      <c r="K228" s="157">
        <f>SUMIFS('PowerApp_Physical count'!H:H,'PowerApp_Physical count'!B:B,' General Stock Summary View  '!$J$2,'PowerApp_Physical count'!C:C,' General Stock Summary View  '!C228,'PowerApp_Physical count'!A:A,' General Stock Summary View  '!B228)</f>
        <v>0</v>
      </c>
      <c r="L228" s="127">
        <f t="shared" si="15"/>
        <v>0</v>
      </c>
      <c r="M228" s="126">
        <f t="shared" si="2"/>
        <v>0</v>
      </c>
      <c r="N228" s="11">
        <f t="shared" si="3"/>
        <v>0</v>
      </c>
      <c r="O228" s="144">
        <f t="shared" si="10"/>
        <v>0</v>
      </c>
      <c r="P228" s="2">
        <f>SUMIFS('XBS '!T:T,'XBS '!H:H,' General Stock Summary View  '!$P$2,'XBS '!L:L,' General Stock Summary View  '!B228,'XBS '!C:C,' General Stock Summary View  '!C228)</f>
        <v>0</v>
      </c>
      <c r="Q228" s="3">
        <f>SUMIFS('PowerApp_Physical count'!H:H,'PowerApp_Physical count'!B:B,' General Stock Summary View  '!$P$2,'PowerApp_Physical count'!C:C,' General Stock Summary View  '!C228,'PowerApp_Physical count'!A:A,' General Stock Summary View  '!B228)</f>
        <v>0</v>
      </c>
      <c r="R228" s="4">
        <f t="shared" si="11"/>
        <v>0</v>
      </c>
      <c r="S228" s="5">
        <f>SUMIFS('XBS '!T:T,'XBS '!L:L,' General Stock Summary View  '!B228,'XBS '!H:H,' General Stock Summary View  '!$S$2,'XBS '!C:C,' General Stock Summary View  '!C228)</f>
        <v>0</v>
      </c>
      <c r="T228" s="3">
        <f>SUMIFS('PowerApp_Physical count'!H:H,'PowerApp_Physical count'!B:B,' General Stock Summary View  '!$S$2,'PowerApp_Physical count'!C:C,' General Stock Summary View  '!C228,'PowerApp_Physical count'!A:A,' General Stock Summary View  '!B228)</f>
        <v>0</v>
      </c>
      <c r="U228" s="4">
        <f t="shared" si="4"/>
        <v>0</v>
      </c>
      <c r="V228" s="2">
        <f>SUMIFS('XBS '!T:T,'XBS '!H:H,' General Stock Summary View  '!$V$2,'XBS '!B:B,' General Stock Summary View  '!C228,'XBS '!L:L,' General Stock Summary View  '!B228)</f>
        <v>2.3333333333333335</v>
      </c>
      <c r="W228" s="3">
        <f>SUMIFS('PowerApp_Physical count'!H:H,'PowerApp_Physical count'!B:B,' General Stock Summary View  '!$V$2,'PowerApp_Physical count'!C:C,' General Stock Summary View  '!C228,'PowerApp_Physical count'!A:A,' General Stock Summary View  '!B228)</f>
        <v>0</v>
      </c>
      <c r="X228" s="4">
        <f t="shared" si="12"/>
        <v>-2.3333333333333335</v>
      </c>
      <c r="Y228" s="5">
        <f>SUMIFS('XBS '!T:T,'XBS '!H:H,' General Stock Summary View  '!$Y$2,'XBS '!B:B,' General Stock Summary View  '!C228,'XBS '!L:L,' General Stock Summary View  '!B228)</f>
        <v>0</v>
      </c>
      <c r="Z228" s="3">
        <f>SUMIFS('PowerApp_Physical count'!H:H,'PowerApp_Physical count'!B:B,' General Stock Summary View  '!$Y$2,'PowerApp_Physical count'!C:C,' General Stock Summary View  '!C228,'PowerApp_Physical count'!A:A,' General Stock Summary View  '!B228)</f>
        <v>0</v>
      </c>
      <c r="AA228" s="4">
        <f t="shared" si="13"/>
        <v>0</v>
      </c>
      <c r="AB228" s="5">
        <f>SUMIFS('XBS '!T:T,'XBS '!H:H,' General Stock Summary View  '!$AB$2,'XBS '!B:B,' General Stock Summary View  '!C228,'XBS '!L:L,' General Stock Summary View  '!B228)</f>
        <v>0</v>
      </c>
      <c r="AC228" s="3">
        <f>SUMIFS('PowerApp_Physical count'!H:H,'PowerApp_Physical count'!B:B,' General Stock Summary View  '!$AB$2,'PowerApp_Physical count'!C:C,' General Stock Summary View  '!C228,'PowerApp_Physical count'!A:A,' General Stock Summary View  '!B228)</f>
        <v>0</v>
      </c>
      <c r="AD228" s="6">
        <f t="shared" si="14"/>
        <v>0</v>
      </c>
      <c r="AE228" s="7">
        <f t="shared" si="8"/>
        <v>0</v>
      </c>
      <c r="AF228" s="8">
        <f t="shared" si="9"/>
        <v>-2.3333333333333335</v>
      </c>
      <c r="AG228" s="112"/>
    </row>
    <row r="229" spans="2:33" s="113" customFormat="1" ht="61.15">
      <c r="B229" s="117" t="s">
        <v>107</v>
      </c>
      <c r="C229" s="111" t="s">
        <v>197</v>
      </c>
      <c r="D229" s="11">
        <f>SUMIFS('XBS '!T:T,'XBS '!C:C,' General Stock Summary View  '!C229,'XBS '!L:L,' General Stock Summary View  '!B229)</f>
        <v>2.3166666666666669</v>
      </c>
      <c r="E229" s="2">
        <f>SUMIFS('Blocked for Processing'!P:P,'Blocked for Processing'!I:I,' General Stock Summary View  '!B229,'Blocked for Processing'!C:C,' General Stock Summary View  '!C229)</f>
        <v>0</v>
      </c>
      <c r="F229" s="122">
        <f t="shared" si="0"/>
        <v>2.3166666666666669</v>
      </c>
      <c r="G229" s="148">
        <f>SUMIFS('XBS '!T:T,'XBS '!H:H,' General Stock Summary View  '!$G$2,'XBS '!L:L,' General Stock Summary View  '!B229,'XBS '!C:C,' General Stock Summary View  '!C229)</f>
        <v>0</v>
      </c>
      <c r="H229" s="3">
        <f>SUMIFS('PowerApp_Physical count'!H:H,'PowerApp_Physical count'!B:B,' General Stock Summary View  '!$G$2,'PowerApp_Physical count'!C:C,' General Stock Summary View  '!C229,'PowerApp_Physical count'!A:A,' General Stock Summary View  '!B229)</f>
        <v>0</v>
      </c>
      <c r="I229" s="154">
        <f t="shared" si="41"/>
        <v>0</v>
      </c>
      <c r="J229" s="11">
        <f>SUMIFS('XBS '!T:T,'XBS '!H:H,' General Stock Summary View  '!$J$2,'XBS '!L:L,' General Stock Summary View  '!B229,'XBS '!C:C,' General Stock Summary View  '!C229)</f>
        <v>0</v>
      </c>
      <c r="K229" s="157">
        <f>SUMIFS('PowerApp_Physical count'!H:H,'PowerApp_Physical count'!B:B,' General Stock Summary View  '!$J$2,'PowerApp_Physical count'!C:C,' General Stock Summary View  '!C229,'PowerApp_Physical count'!A:A,' General Stock Summary View  '!B229)</f>
        <v>0</v>
      </c>
      <c r="L229" s="127">
        <f t="shared" si="15"/>
        <v>0</v>
      </c>
      <c r="M229" s="126">
        <f t="shared" si="2"/>
        <v>0</v>
      </c>
      <c r="N229" s="11">
        <f t="shared" si="3"/>
        <v>0</v>
      </c>
      <c r="O229" s="144">
        <f t="shared" si="10"/>
        <v>0</v>
      </c>
      <c r="P229" s="2">
        <f>SUMIFS('XBS '!T:T,'XBS '!H:H,' General Stock Summary View  '!$P$2,'XBS '!L:L,' General Stock Summary View  '!B229,'XBS '!C:C,' General Stock Summary View  '!C229)</f>
        <v>0</v>
      </c>
      <c r="Q229" s="3">
        <f>SUMIFS('PowerApp_Physical count'!H:H,'PowerApp_Physical count'!B:B,' General Stock Summary View  '!$P$2,'PowerApp_Physical count'!C:C,' General Stock Summary View  '!C229,'PowerApp_Physical count'!A:A,' General Stock Summary View  '!B229)</f>
        <v>0</v>
      </c>
      <c r="R229" s="4">
        <f t="shared" si="11"/>
        <v>0</v>
      </c>
      <c r="S229" s="5">
        <f>SUMIFS('XBS '!T:T,'XBS '!L:L,' General Stock Summary View  '!B229,'XBS '!H:H,' General Stock Summary View  '!$S$2,'XBS '!C:C,' General Stock Summary View  '!C229)</f>
        <v>0</v>
      </c>
      <c r="T229" s="3">
        <f>SUMIFS('PowerApp_Physical count'!H:H,'PowerApp_Physical count'!B:B,' General Stock Summary View  '!$S$2,'PowerApp_Physical count'!C:C,' General Stock Summary View  '!C229,'PowerApp_Physical count'!A:A,' General Stock Summary View  '!B229)</f>
        <v>0</v>
      </c>
      <c r="U229" s="4">
        <f t="shared" si="4"/>
        <v>0</v>
      </c>
      <c r="V229" s="2">
        <f>SUMIFS('XBS '!T:T,'XBS '!H:H,' General Stock Summary View  '!$V$2,'XBS '!B:B,' General Stock Summary View  '!C229,'XBS '!L:L,' General Stock Summary View  '!B229)</f>
        <v>2.3166666666666669</v>
      </c>
      <c r="W229" s="3">
        <f>SUMIFS('PowerApp_Physical count'!H:H,'PowerApp_Physical count'!B:B,' General Stock Summary View  '!$V$2,'PowerApp_Physical count'!C:C,' General Stock Summary View  '!C229,'PowerApp_Physical count'!A:A,' General Stock Summary View  '!B229)</f>
        <v>0</v>
      </c>
      <c r="X229" s="4">
        <f t="shared" si="12"/>
        <v>-2.3166666666666669</v>
      </c>
      <c r="Y229" s="5">
        <f>SUMIFS('XBS '!T:T,'XBS '!H:H,' General Stock Summary View  '!$Y$2,'XBS '!B:B,' General Stock Summary View  '!C229,'XBS '!L:L,' General Stock Summary View  '!B229)</f>
        <v>0</v>
      </c>
      <c r="Z229" s="3">
        <f>SUMIFS('PowerApp_Physical count'!H:H,'PowerApp_Physical count'!B:B,' General Stock Summary View  '!$Y$2,'PowerApp_Physical count'!C:C,' General Stock Summary View  '!C229,'PowerApp_Physical count'!A:A,' General Stock Summary View  '!B229)</f>
        <v>0</v>
      </c>
      <c r="AA229" s="4">
        <f t="shared" si="13"/>
        <v>0</v>
      </c>
      <c r="AB229" s="5">
        <f>SUMIFS('XBS '!T:T,'XBS '!H:H,' General Stock Summary View  '!$AB$2,'XBS '!B:B,' General Stock Summary View  '!C229,'XBS '!L:L,' General Stock Summary View  '!B229)</f>
        <v>0</v>
      </c>
      <c r="AC229" s="3">
        <f>SUMIFS('PowerApp_Physical count'!H:H,'PowerApp_Physical count'!B:B,' General Stock Summary View  '!$AB$2,'PowerApp_Physical count'!C:C,' General Stock Summary View  '!C229,'PowerApp_Physical count'!A:A,' General Stock Summary View  '!B229)</f>
        <v>0</v>
      </c>
      <c r="AD229" s="6">
        <f t="shared" si="14"/>
        <v>0</v>
      </c>
      <c r="AE229" s="7">
        <f t="shared" si="8"/>
        <v>0</v>
      </c>
      <c r="AF229" s="8">
        <f t="shared" si="9"/>
        <v>-2.3166666666666669</v>
      </c>
      <c r="AG229" s="112"/>
    </row>
    <row r="230" spans="2:33" s="113" customFormat="1" ht="61.15">
      <c r="B230" s="117" t="s">
        <v>233</v>
      </c>
      <c r="C230" s="111" t="s">
        <v>197</v>
      </c>
      <c r="D230" s="11">
        <f>SUMIFS('XBS '!T:T,'XBS '!C:C,' General Stock Summary View  '!C230,'XBS '!L:L,' General Stock Summary View  '!B230)</f>
        <v>22.216666666666665</v>
      </c>
      <c r="E230" s="2">
        <f>SUMIFS('Blocked for Processing'!P:P,'Blocked for Processing'!I:I,' General Stock Summary View  '!B230,'Blocked for Processing'!C:C,' General Stock Summary View  '!C230)</f>
        <v>0</v>
      </c>
      <c r="F230" s="122">
        <f t="shared" si="0"/>
        <v>22.216666666666665</v>
      </c>
      <c r="G230" s="148">
        <f>SUMIFS('XBS '!T:T,'XBS '!H:H,' General Stock Summary View  '!$G$2,'XBS '!L:L,' General Stock Summary View  '!B230,'XBS '!C:C,' General Stock Summary View  '!C230)</f>
        <v>0</v>
      </c>
      <c r="H230" s="3">
        <f>SUMIFS('PowerApp_Physical count'!H:H,'PowerApp_Physical count'!B:B,' General Stock Summary View  '!$G$2,'PowerApp_Physical count'!C:C,' General Stock Summary View  '!C230,'PowerApp_Physical count'!A:A,' General Stock Summary View  '!B230)</f>
        <v>0</v>
      </c>
      <c r="I230" s="154">
        <f t="shared" si="41"/>
        <v>0</v>
      </c>
      <c r="J230" s="11">
        <f>SUMIFS('XBS '!T:T,'XBS '!H:H,' General Stock Summary View  '!$J$2,'XBS '!L:L,' General Stock Summary View  '!B230,'XBS '!C:C,' General Stock Summary View  '!C230)</f>
        <v>0</v>
      </c>
      <c r="K230" s="157">
        <f>SUMIFS('PowerApp_Physical count'!H:H,'PowerApp_Physical count'!B:B,' General Stock Summary View  '!$J$2,'PowerApp_Physical count'!C:C,' General Stock Summary View  '!C230,'PowerApp_Physical count'!A:A,' General Stock Summary View  '!B230)</f>
        <v>0</v>
      </c>
      <c r="L230" s="127">
        <f t="shared" si="15"/>
        <v>0</v>
      </c>
      <c r="M230" s="126">
        <f t="shared" si="2"/>
        <v>0</v>
      </c>
      <c r="N230" s="11">
        <f t="shared" si="3"/>
        <v>0</v>
      </c>
      <c r="O230" s="144">
        <f t="shared" si="10"/>
        <v>0</v>
      </c>
      <c r="P230" s="2">
        <f>SUMIFS('XBS '!T:T,'XBS '!H:H,' General Stock Summary View  '!$P$2,'XBS '!L:L,' General Stock Summary View  '!B230,'XBS '!C:C,' General Stock Summary View  '!C230)</f>
        <v>0</v>
      </c>
      <c r="Q230" s="3">
        <f>SUMIFS('PowerApp_Physical count'!H:H,'PowerApp_Physical count'!B:B,' General Stock Summary View  '!$P$2,'PowerApp_Physical count'!C:C,' General Stock Summary View  '!C230,'PowerApp_Physical count'!A:A,' General Stock Summary View  '!B230)</f>
        <v>0</v>
      </c>
      <c r="R230" s="4">
        <f t="shared" si="11"/>
        <v>0</v>
      </c>
      <c r="S230" s="5">
        <f>SUMIFS('XBS '!T:T,'XBS '!L:L,' General Stock Summary View  '!B230,'XBS '!H:H,' General Stock Summary View  '!$S$2,'XBS '!C:C,' General Stock Summary View  '!C230)</f>
        <v>0</v>
      </c>
      <c r="T230" s="3">
        <f>SUMIFS('PowerApp_Physical count'!H:H,'PowerApp_Physical count'!B:B,' General Stock Summary View  '!$S$2,'PowerApp_Physical count'!C:C,' General Stock Summary View  '!C230,'PowerApp_Physical count'!A:A,' General Stock Summary View  '!B230)</f>
        <v>0</v>
      </c>
      <c r="U230" s="4">
        <f t="shared" si="4"/>
        <v>0</v>
      </c>
      <c r="V230" s="2">
        <f>SUMIFS('XBS '!T:T,'XBS '!H:H,' General Stock Summary View  '!$V$2,'XBS '!B:B,' General Stock Summary View  '!C230,'XBS '!L:L,' General Stock Summary View  '!B230)</f>
        <v>22.216666666666665</v>
      </c>
      <c r="W230" s="3">
        <f>SUMIFS('PowerApp_Physical count'!H:H,'PowerApp_Physical count'!B:B,' General Stock Summary View  '!$V$2,'PowerApp_Physical count'!C:C,' General Stock Summary View  '!C230,'PowerApp_Physical count'!A:A,' General Stock Summary View  '!B230)</f>
        <v>0</v>
      </c>
      <c r="X230" s="4">
        <f t="shared" si="12"/>
        <v>-22.216666666666665</v>
      </c>
      <c r="Y230" s="5">
        <f>SUMIFS('XBS '!T:T,'XBS '!H:H,' General Stock Summary View  '!$Y$2,'XBS '!B:B,' General Stock Summary View  '!C230,'XBS '!L:L,' General Stock Summary View  '!B230)</f>
        <v>0</v>
      </c>
      <c r="Z230" s="3">
        <f>SUMIFS('PowerApp_Physical count'!H:H,'PowerApp_Physical count'!B:B,' General Stock Summary View  '!$Y$2,'PowerApp_Physical count'!C:C,' General Stock Summary View  '!C230,'PowerApp_Physical count'!A:A,' General Stock Summary View  '!B230)</f>
        <v>0</v>
      </c>
      <c r="AA230" s="4">
        <f t="shared" si="13"/>
        <v>0</v>
      </c>
      <c r="AB230" s="5">
        <f>SUMIFS('XBS '!T:T,'XBS '!H:H,' General Stock Summary View  '!$AB$2,'XBS '!B:B,' General Stock Summary View  '!C230,'XBS '!L:L,' General Stock Summary View  '!B230)</f>
        <v>0</v>
      </c>
      <c r="AC230" s="3">
        <f>SUMIFS('PowerApp_Physical count'!H:H,'PowerApp_Physical count'!B:B,' General Stock Summary View  '!$AB$2,'PowerApp_Physical count'!C:C,' General Stock Summary View  '!C230,'PowerApp_Physical count'!A:A,' General Stock Summary View  '!B230)</f>
        <v>0</v>
      </c>
      <c r="AD230" s="6">
        <f t="shared" si="14"/>
        <v>0</v>
      </c>
      <c r="AE230" s="7">
        <f t="shared" si="8"/>
        <v>0</v>
      </c>
      <c r="AF230" s="8">
        <f t="shared" si="9"/>
        <v>-22.216666666666665</v>
      </c>
      <c r="AG230" s="112"/>
    </row>
    <row r="231" spans="2:33" s="113" customFormat="1" ht="61.15">
      <c r="B231" s="117" t="s">
        <v>106</v>
      </c>
      <c r="C231" s="111" t="s">
        <v>197</v>
      </c>
      <c r="D231" s="11">
        <f>SUMIFS('XBS '!T:T,'XBS '!C:C,' General Stock Summary View  '!C231,'XBS '!L:L,' General Stock Summary View  '!B231)</f>
        <v>21.8</v>
      </c>
      <c r="E231" s="2">
        <f>SUMIFS('Blocked for Processing'!P:P,'Blocked for Processing'!I:I,' General Stock Summary View  '!B231,'Blocked for Processing'!C:C,' General Stock Summary View  '!C231)</f>
        <v>0</v>
      </c>
      <c r="F231" s="122">
        <f t="shared" si="0"/>
        <v>21.8</v>
      </c>
      <c r="G231" s="148">
        <f>SUMIFS('XBS '!T:T,'XBS '!H:H,' General Stock Summary View  '!$G$2,'XBS '!L:L,' General Stock Summary View  '!B231,'XBS '!C:C,' General Stock Summary View  '!C231)</f>
        <v>0</v>
      </c>
      <c r="H231" s="3">
        <f>SUMIFS('PowerApp_Physical count'!H:H,'PowerApp_Physical count'!B:B,' General Stock Summary View  '!$G$2,'PowerApp_Physical count'!C:C,' General Stock Summary View  '!C231,'PowerApp_Physical count'!A:A,' General Stock Summary View  '!B231)</f>
        <v>0</v>
      </c>
      <c r="I231" s="154">
        <f t="shared" si="41"/>
        <v>0</v>
      </c>
      <c r="J231" s="11">
        <f>SUMIFS('XBS '!T:T,'XBS '!H:H,' General Stock Summary View  '!$J$2,'XBS '!L:L,' General Stock Summary View  '!B231,'XBS '!C:C,' General Stock Summary View  '!C231)</f>
        <v>0</v>
      </c>
      <c r="K231" s="157">
        <f>SUMIFS('PowerApp_Physical count'!H:H,'PowerApp_Physical count'!B:B,' General Stock Summary View  '!$J$2,'PowerApp_Physical count'!C:C,' General Stock Summary View  '!C231,'PowerApp_Physical count'!A:A,' General Stock Summary View  '!B231)</f>
        <v>0</v>
      </c>
      <c r="L231" s="127">
        <f t="shared" si="15"/>
        <v>0</v>
      </c>
      <c r="M231" s="126">
        <f t="shared" si="2"/>
        <v>0</v>
      </c>
      <c r="N231" s="11">
        <f t="shared" si="3"/>
        <v>0</v>
      </c>
      <c r="O231" s="144">
        <f t="shared" si="10"/>
        <v>0</v>
      </c>
      <c r="P231" s="2">
        <f>SUMIFS('XBS '!T:T,'XBS '!H:H,' General Stock Summary View  '!$P$2,'XBS '!L:L,' General Stock Summary View  '!B231,'XBS '!C:C,' General Stock Summary View  '!C231)</f>
        <v>0</v>
      </c>
      <c r="Q231" s="3">
        <f>SUMIFS('PowerApp_Physical count'!H:H,'PowerApp_Physical count'!B:B,' General Stock Summary View  '!$P$2,'PowerApp_Physical count'!C:C,' General Stock Summary View  '!C231,'PowerApp_Physical count'!A:A,' General Stock Summary View  '!B231)</f>
        <v>0</v>
      </c>
      <c r="R231" s="4">
        <f t="shared" si="11"/>
        <v>0</v>
      </c>
      <c r="S231" s="5">
        <f>SUMIFS('XBS '!T:T,'XBS '!L:L,' General Stock Summary View  '!B231,'XBS '!H:H,' General Stock Summary View  '!$S$2,'XBS '!C:C,' General Stock Summary View  '!C231)</f>
        <v>0</v>
      </c>
      <c r="T231" s="3">
        <f>SUMIFS('PowerApp_Physical count'!H:H,'PowerApp_Physical count'!B:B,' General Stock Summary View  '!$S$2,'PowerApp_Physical count'!C:C,' General Stock Summary View  '!C231,'PowerApp_Physical count'!A:A,' General Stock Summary View  '!B231)</f>
        <v>0</v>
      </c>
      <c r="U231" s="4">
        <f t="shared" si="4"/>
        <v>0</v>
      </c>
      <c r="V231" s="2">
        <f>SUMIFS('XBS '!T:T,'XBS '!H:H,' General Stock Summary View  '!$V$2,'XBS '!B:B,' General Stock Summary View  '!C231,'XBS '!L:L,' General Stock Summary View  '!B231)</f>
        <v>21.8</v>
      </c>
      <c r="W231" s="3">
        <f>SUMIFS('PowerApp_Physical count'!H:H,'PowerApp_Physical count'!B:B,' General Stock Summary View  '!$V$2,'PowerApp_Physical count'!C:C,' General Stock Summary View  '!C231,'PowerApp_Physical count'!A:A,' General Stock Summary View  '!B231)</f>
        <v>0</v>
      </c>
      <c r="X231" s="4">
        <f t="shared" si="12"/>
        <v>-21.8</v>
      </c>
      <c r="Y231" s="5">
        <f>SUMIFS('XBS '!T:T,'XBS '!H:H,' General Stock Summary View  '!$Y$2,'XBS '!B:B,' General Stock Summary View  '!C231,'XBS '!L:L,' General Stock Summary View  '!B231)</f>
        <v>0</v>
      </c>
      <c r="Z231" s="3">
        <f>SUMIFS('PowerApp_Physical count'!H:H,'PowerApp_Physical count'!B:B,' General Stock Summary View  '!$Y$2,'PowerApp_Physical count'!C:C,' General Stock Summary View  '!C231,'PowerApp_Physical count'!A:A,' General Stock Summary View  '!B231)</f>
        <v>0</v>
      </c>
      <c r="AA231" s="4">
        <f t="shared" si="13"/>
        <v>0</v>
      </c>
      <c r="AB231" s="5">
        <f>SUMIFS('XBS '!T:T,'XBS '!H:H,' General Stock Summary View  '!$AB$2,'XBS '!B:B,' General Stock Summary View  '!C231,'XBS '!L:L,' General Stock Summary View  '!B231)</f>
        <v>0</v>
      </c>
      <c r="AC231" s="3">
        <f>SUMIFS('PowerApp_Physical count'!H:H,'PowerApp_Physical count'!B:B,' General Stock Summary View  '!$AB$2,'PowerApp_Physical count'!C:C,' General Stock Summary View  '!C231,'PowerApp_Physical count'!A:A,' General Stock Summary View  '!B231)</f>
        <v>0</v>
      </c>
      <c r="AD231" s="6">
        <f t="shared" si="14"/>
        <v>0</v>
      </c>
      <c r="AE231" s="7">
        <f t="shared" si="8"/>
        <v>0</v>
      </c>
      <c r="AF231" s="8">
        <f t="shared" si="9"/>
        <v>-21.8</v>
      </c>
      <c r="AG231" s="112"/>
    </row>
    <row r="232" spans="2:33" s="113" customFormat="1" ht="61.15">
      <c r="B232" s="117" t="s">
        <v>234</v>
      </c>
      <c r="C232" s="111" t="s">
        <v>197</v>
      </c>
      <c r="D232" s="11">
        <f>SUMIFS('XBS '!T:T,'XBS '!C:C,' General Stock Summary View  '!C232,'XBS '!L:L,' General Stock Summary View  '!B232)</f>
        <v>14.483333333333333</v>
      </c>
      <c r="E232" s="2">
        <f>SUMIFS('Blocked for Processing'!P:P,'Blocked for Processing'!I:I,' General Stock Summary View  '!B232,'Blocked for Processing'!C:C,' General Stock Summary View  '!C232)</f>
        <v>0</v>
      </c>
      <c r="F232" s="122">
        <f t="shared" si="0"/>
        <v>14.483333333333333</v>
      </c>
      <c r="G232" s="148">
        <f>SUMIFS('XBS '!T:T,'XBS '!H:H,' General Stock Summary View  '!$G$2,'XBS '!L:L,' General Stock Summary View  '!B232,'XBS '!C:C,' General Stock Summary View  '!C232)</f>
        <v>0</v>
      </c>
      <c r="H232" s="3">
        <f>SUMIFS('PowerApp_Physical count'!H:H,'PowerApp_Physical count'!B:B,' General Stock Summary View  '!$G$2,'PowerApp_Physical count'!C:C,' General Stock Summary View  '!C232,'PowerApp_Physical count'!A:A,' General Stock Summary View  '!B232)</f>
        <v>0</v>
      </c>
      <c r="I232" s="154">
        <f t="shared" si="41"/>
        <v>0</v>
      </c>
      <c r="J232" s="11">
        <f>SUMIFS('XBS '!T:T,'XBS '!H:H,' General Stock Summary View  '!$J$2,'XBS '!L:L,' General Stock Summary View  '!B232,'XBS '!C:C,' General Stock Summary View  '!C232)</f>
        <v>0</v>
      </c>
      <c r="K232" s="157">
        <f>SUMIFS('PowerApp_Physical count'!H:H,'PowerApp_Physical count'!B:B,' General Stock Summary View  '!$J$2,'PowerApp_Physical count'!C:C,' General Stock Summary View  '!C232,'PowerApp_Physical count'!A:A,' General Stock Summary View  '!B232)</f>
        <v>0</v>
      </c>
      <c r="L232" s="127">
        <f t="shared" si="15"/>
        <v>0</v>
      </c>
      <c r="M232" s="126">
        <f t="shared" si="2"/>
        <v>0</v>
      </c>
      <c r="N232" s="11">
        <f t="shared" si="3"/>
        <v>0</v>
      </c>
      <c r="O232" s="144">
        <f t="shared" si="10"/>
        <v>0</v>
      </c>
      <c r="P232" s="2">
        <f>SUMIFS('XBS '!T:T,'XBS '!H:H,' General Stock Summary View  '!$P$2,'XBS '!L:L,' General Stock Summary View  '!B232,'XBS '!C:C,' General Stock Summary View  '!C232)</f>
        <v>0</v>
      </c>
      <c r="Q232" s="3">
        <f>SUMIFS('PowerApp_Physical count'!H:H,'PowerApp_Physical count'!B:B,' General Stock Summary View  '!$P$2,'PowerApp_Physical count'!C:C,' General Stock Summary View  '!C232,'PowerApp_Physical count'!A:A,' General Stock Summary View  '!B232)</f>
        <v>0</v>
      </c>
      <c r="R232" s="4">
        <f t="shared" si="11"/>
        <v>0</v>
      </c>
      <c r="S232" s="5">
        <f>SUMIFS('XBS '!T:T,'XBS '!L:L,' General Stock Summary View  '!B232,'XBS '!H:H,' General Stock Summary View  '!$S$2,'XBS '!C:C,' General Stock Summary View  '!C232)</f>
        <v>14.483333333333333</v>
      </c>
      <c r="T232" s="3">
        <f>SUMIFS('PowerApp_Physical count'!H:H,'PowerApp_Physical count'!B:B,' General Stock Summary View  '!$S$2,'PowerApp_Physical count'!C:C,' General Stock Summary View  '!C232,'PowerApp_Physical count'!A:A,' General Stock Summary View  '!B232)</f>
        <v>0</v>
      </c>
      <c r="U232" s="4">
        <f t="shared" si="4"/>
        <v>-14.483333333333333</v>
      </c>
      <c r="V232" s="2">
        <f>SUMIFS('XBS '!T:T,'XBS '!H:H,' General Stock Summary View  '!$V$2,'XBS '!B:B,' General Stock Summary View  '!C232,'XBS '!L:L,' General Stock Summary View  '!B232)</f>
        <v>0</v>
      </c>
      <c r="W232" s="3">
        <f>SUMIFS('PowerApp_Physical count'!H:H,'PowerApp_Physical count'!B:B,' General Stock Summary View  '!$V$2,'PowerApp_Physical count'!C:C,' General Stock Summary View  '!C232,'PowerApp_Physical count'!A:A,' General Stock Summary View  '!B232)</f>
        <v>0</v>
      </c>
      <c r="X232" s="4">
        <f t="shared" si="12"/>
        <v>0</v>
      </c>
      <c r="Y232" s="5">
        <f>SUMIFS('XBS '!T:T,'XBS '!H:H,' General Stock Summary View  '!$Y$2,'XBS '!B:B,' General Stock Summary View  '!C232,'XBS '!L:L,' General Stock Summary View  '!B232)</f>
        <v>0</v>
      </c>
      <c r="Z232" s="3">
        <f>SUMIFS('PowerApp_Physical count'!H:H,'PowerApp_Physical count'!B:B,' General Stock Summary View  '!$Y$2,'PowerApp_Physical count'!C:C,' General Stock Summary View  '!C232,'PowerApp_Physical count'!A:A,' General Stock Summary View  '!B232)</f>
        <v>0</v>
      </c>
      <c r="AA232" s="4">
        <f t="shared" si="13"/>
        <v>0</v>
      </c>
      <c r="AB232" s="5">
        <f>SUMIFS('XBS '!T:T,'XBS '!H:H,' General Stock Summary View  '!$AB$2,'XBS '!B:B,' General Stock Summary View  '!C232,'XBS '!L:L,' General Stock Summary View  '!B232)</f>
        <v>0</v>
      </c>
      <c r="AC232" s="3">
        <f>SUMIFS('PowerApp_Physical count'!H:H,'PowerApp_Physical count'!B:B,' General Stock Summary View  '!$AB$2,'PowerApp_Physical count'!C:C,' General Stock Summary View  '!C232,'PowerApp_Physical count'!A:A,' General Stock Summary View  '!B232)</f>
        <v>0</v>
      </c>
      <c r="AD232" s="6">
        <f t="shared" si="14"/>
        <v>0</v>
      </c>
      <c r="AE232" s="7">
        <f t="shared" si="8"/>
        <v>0</v>
      </c>
      <c r="AF232" s="8">
        <f t="shared" si="9"/>
        <v>-14.483333333333333</v>
      </c>
      <c r="AG232" s="112"/>
    </row>
    <row r="233" spans="2:33" s="113" customFormat="1" ht="61.15">
      <c r="B233" s="117" t="s">
        <v>235</v>
      </c>
      <c r="C233" s="111" t="s">
        <v>197</v>
      </c>
      <c r="D233" s="11">
        <f>SUMIFS('XBS '!T:T,'XBS '!C:C,' General Stock Summary View  '!C233,'XBS '!L:L,' General Stock Summary View  '!B233)</f>
        <v>3</v>
      </c>
      <c r="E233" s="2">
        <f>SUMIFS('Blocked for Processing'!P:P,'Blocked for Processing'!I:I,' General Stock Summary View  '!B233,'Blocked for Processing'!C:C,' General Stock Summary View  '!C233)</f>
        <v>0</v>
      </c>
      <c r="F233" s="122">
        <f t="shared" si="0"/>
        <v>3</v>
      </c>
      <c r="G233" s="148">
        <f>SUMIFS('XBS '!T:T,'XBS '!H:H,' General Stock Summary View  '!$G$2,'XBS '!L:L,' General Stock Summary View  '!B233,'XBS '!C:C,' General Stock Summary View  '!C233)</f>
        <v>0</v>
      </c>
      <c r="H233" s="3">
        <f>SUMIFS('PowerApp_Physical count'!H:H,'PowerApp_Physical count'!B:B,' General Stock Summary View  '!$G$2,'PowerApp_Physical count'!C:C,' General Stock Summary View  '!C233,'PowerApp_Physical count'!A:A,' General Stock Summary View  '!B233)</f>
        <v>0</v>
      </c>
      <c r="I233" s="154">
        <f t="shared" ref="I233:I279" si="42">H233-G233</f>
        <v>0</v>
      </c>
      <c r="J233" s="11">
        <f>SUMIFS('XBS '!T:T,'XBS '!H:H,' General Stock Summary View  '!$J$2,'XBS '!L:L,' General Stock Summary View  '!B233,'XBS '!C:C,' General Stock Summary View  '!C233)</f>
        <v>0</v>
      </c>
      <c r="K233" s="157">
        <f>SUMIFS('PowerApp_Physical count'!H:H,'PowerApp_Physical count'!B:B,' General Stock Summary View  '!$J$2,'PowerApp_Physical count'!C:C,' General Stock Summary View  '!C233,'PowerApp_Physical count'!A:A,' General Stock Summary View  '!B233)</f>
        <v>0</v>
      </c>
      <c r="L233" s="127">
        <f t="shared" si="15"/>
        <v>0</v>
      </c>
      <c r="M233" s="126">
        <f t="shared" si="2"/>
        <v>0</v>
      </c>
      <c r="N233" s="11">
        <f t="shared" si="3"/>
        <v>0</v>
      </c>
      <c r="O233" s="144">
        <f t="shared" si="10"/>
        <v>0</v>
      </c>
      <c r="P233" s="2">
        <f>SUMIFS('XBS '!T:T,'XBS '!H:H,' General Stock Summary View  '!$P$2,'XBS '!L:L,' General Stock Summary View  '!B233,'XBS '!C:C,' General Stock Summary View  '!C233)</f>
        <v>0</v>
      </c>
      <c r="Q233" s="3">
        <f>SUMIFS('PowerApp_Physical count'!H:H,'PowerApp_Physical count'!B:B,' General Stock Summary View  '!$P$2,'PowerApp_Physical count'!C:C,' General Stock Summary View  '!C233,'PowerApp_Physical count'!A:A,' General Stock Summary View  '!B233)</f>
        <v>0</v>
      </c>
      <c r="R233" s="4">
        <f t="shared" si="11"/>
        <v>0</v>
      </c>
      <c r="S233" s="5">
        <f>SUMIFS('XBS '!T:T,'XBS '!L:L,' General Stock Summary View  '!B233,'XBS '!H:H,' General Stock Summary View  '!$S$2,'XBS '!C:C,' General Stock Summary View  '!C233)</f>
        <v>3</v>
      </c>
      <c r="T233" s="3">
        <f>SUMIFS('PowerApp_Physical count'!H:H,'PowerApp_Physical count'!B:B,' General Stock Summary View  '!$S$2,'PowerApp_Physical count'!C:C,' General Stock Summary View  '!C233,'PowerApp_Physical count'!A:A,' General Stock Summary View  '!B233)</f>
        <v>0</v>
      </c>
      <c r="U233" s="4">
        <f t="shared" si="4"/>
        <v>-3</v>
      </c>
      <c r="V233" s="2">
        <f>SUMIFS('XBS '!T:T,'XBS '!H:H,' General Stock Summary View  '!$V$2,'XBS '!B:B,' General Stock Summary View  '!C233,'XBS '!L:L,' General Stock Summary View  '!B233)</f>
        <v>0</v>
      </c>
      <c r="W233" s="3">
        <f>SUMIFS('PowerApp_Physical count'!H:H,'PowerApp_Physical count'!B:B,' General Stock Summary View  '!$V$2,'PowerApp_Physical count'!C:C,' General Stock Summary View  '!C233,'PowerApp_Physical count'!A:A,' General Stock Summary View  '!B233)</f>
        <v>0</v>
      </c>
      <c r="X233" s="4">
        <f t="shared" si="12"/>
        <v>0</v>
      </c>
      <c r="Y233" s="5">
        <f>SUMIFS('XBS '!T:T,'XBS '!H:H,' General Stock Summary View  '!$Y$2,'XBS '!B:B,' General Stock Summary View  '!C233,'XBS '!L:L,' General Stock Summary View  '!B233)</f>
        <v>0</v>
      </c>
      <c r="Z233" s="3">
        <f>SUMIFS('PowerApp_Physical count'!H:H,'PowerApp_Physical count'!B:B,' General Stock Summary View  '!$Y$2,'PowerApp_Physical count'!C:C,' General Stock Summary View  '!C233,'PowerApp_Physical count'!A:A,' General Stock Summary View  '!B233)</f>
        <v>0</v>
      </c>
      <c r="AA233" s="4">
        <f t="shared" si="13"/>
        <v>0</v>
      </c>
      <c r="AB233" s="5">
        <f>SUMIFS('XBS '!T:T,'XBS '!H:H,' General Stock Summary View  '!$AB$2,'XBS '!B:B,' General Stock Summary View  '!C233,'XBS '!L:L,' General Stock Summary View  '!B233)</f>
        <v>0</v>
      </c>
      <c r="AC233" s="3">
        <f>SUMIFS('PowerApp_Physical count'!H:H,'PowerApp_Physical count'!B:B,' General Stock Summary View  '!$AB$2,'PowerApp_Physical count'!C:C,' General Stock Summary View  '!C233,'PowerApp_Physical count'!A:A,' General Stock Summary View  '!B233)</f>
        <v>0</v>
      </c>
      <c r="AD233" s="6">
        <f t="shared" si="14"/>
        <v>0</v>
      </c>
      <c r="AE233" s="7">
        <f t="shared" si="8"/>
        <v>0</v>
      </c>
      <c r="AF233" s="8">
        <f t="shared" si="9"/>
        <v>-3</v>
      </c>
      <c r="AG233" s="112"/>
    </row>
    <row r="234" spans="2:33" s="113" customFormat="1" ht="61.15">
      <c r="B234" s="117" t="s">
        <v>236</v>
      </c>
      <c r="C234" s="111" t="s">
        <v>197</v>
      </c>
      <c r="D234" s="11">
        <f>SUMIFS('XBS '!T:T,'XBS '!C:C,' General Stock Summary View  '!C234,'XBS '!L:L,' General Stock Summary View  '!B234)</f>
        <v>38.93333333333333</v>
      </c>
      <c r="E234" s="2">
        <f>SUMIFS('Blocked for Processing'!P:P,'Blocked for Processing'!I:I,' General Stock Summary View  '!B234,'Blocked for Processing'!C:C,' General Stock Summary View  '!C234)</f>
        <v>0</v>
      </c>
      <c r="F234" s="122">
        <f t="shared" si="0"/>
        <v>38.93333333333333</v>
      </c>
      <c r="G234" s="148">
        <f>SUMIFS('XBS '!T:T,'XBS '!H:H,' General Stock Summary View  '!$G$2,'XBS '!L:L,' General Stock Summary View  '!B234,'XBS '!C:C,' General Stock Summary View  '!C234)</f>
        <v>0</v>
      </c>
      <c r="H234" s="3">
        <f>SUMIFS('PowerApp_Physical count'!H:H,'PowerApp_Physical count'!B:B,' General Stock Summary View  '!$G$2,'PowerApp_Physical count'!C:C,' General Stock Summary View  '!C234,'PowerApp_Physical count'!A:A,' General Stock Summary View  '!B234)</f>
        <v>0</v>
      </c>
      <c r="I234" s="154">
        <f t="shared" si="42"/>
        <v>0</v>
      </c>
      <c r="J234" s="11">
        <f>SUMIFS('XBS '!T:T,'XBS '!H:H,' General Stock Summary View  '!$J$2,'XBS '!L:L,' General Stock Summary View  '!B234,'XBS '!C:C,' General Stock Summary View  '!C234)</f>
        <v>0</v>
      </c>
      <c r="K234" s="157">
        <f>SUMIFS('PowerApp_Physical count'!H:H,'PowerApp_Physical count'!B:B,' General Stock Summary View  '!$J$2,'PowerApp_Physical count'!C:C,' General Stock Summary View  '!C234,'PowerApp_Physical count'!A:A,' General Stock Summary View  '!B234)</f>
        <v>0</v>
      </c>
      <c r="L234" s="127">
        <f t="shared" si="15"/>
        <v>0</v>
      </c>
      <c r="M234" s="126">
        <f t="shared" si="2"/>
        <v>0</v>
      </c>
      <c r="N234" s="11">
        <f t="shared" si="3"/>
        <v>0</v>
      </c>
      <c r="O234" s="144">
        <f t="shared" si="10"/>
        <v>0</v>
      </c>
      <c r="P234" s="2">
        <f>SUMIFS('XBS '!T:T,'XBS '!H:H,' General Stock Summary View  '!$P$2,'XBS '!L:L,' General Stock Summary View  '!B234,'XBS '!C:C,' General Stock Summary View  '!C234)</f>
        <v>0</v>
      </c>
      <c r="Q234" s="3">
        <f>SUMIFS('PowerApp_Physical count'!H:H,'PowerApp_Physical count'!B:B,' General Stock Summary View  '!$P$2,'PowerApp_Physical count'!C:C,' General Stock Summary View  '!C234,'PowerApp_Physical count'!A:A,' General Stock Summary View  '!B234)</f>
        <v>0</v>
      </c>
      <c r="R234" s="4">
        <f t="shared" si="11"/>
        <v>0</v>
      </c>
      <c r="S234" s="5">
        <f>SUMIFS('XBS '!T:T,'XBS '!L:L,' General Stock Summary View  '!B234,'XBS '!H:H,' General Stock Summary View  '!$S$2,'XBS '!C:C,' General Stock Summary View  '!C234)</f>
        <v>38.93333333333333</v>
      </c>
      <c r="T234" s="3">
        <f>SUMIFS('PowerApp_Physical count'!H:H,'PowerApp_Physical count'!B:B,' General Stock Summary View  '!$S$2,'PowerApp_Physical count'!C:C,' General Stock Summary View  '!C234,'PowerApp_Physical count'!A:A,' General Stock Summary View  '!B234)</f>
        <v>0</v>
      </c>
      <c r="U234" s="4">
        <f t="shared" si="4"/>
        <v>-38.93333333333333</v>
      </c>
      <c r="V234" s="2">
        <f>SUMIFS('XBS '!T:T,'XBS '!H:H,' General Stock Summary View  '!$V$2,'XBS '!B:B,' General Stock Summary View  '!C234,'XBS '!L:L,' General Stock Summary View  '!B234)</f>
        <v>0</v>
      </c>
      <c r="W234" s="3">
        <f>SUMIFS('PowerApp_Physical count'!H:H,'PowerApp_Physical count'!B:B,' General Stock Summary View  '!$V$2,'PowerApp_Physical count'!C:C,' General Stock Summary View  '!C234,'PowerApp_Physical count'!A:A,' General Stock Summary View  '!B234)</f>
        <v>0</v>
      </c>
      <c r="X234" s="4">
        <f t="shared" si="12"/>
        <v>0</v>
      </c>
      <c r="Y234" s="5">
        <f>SUMIFS('XBS '!T:T,'XBS '!H:H,' General Stock Summary View  '!$Y$2,'XBS '!B:B,' General Stock Summary View  '!C234,'XBS '!L:L,' General Stock Summary View  '!B234)</f>
        <v>0</v>
      </c>
      <c r="Z234" s="3">
        <f>SUMIFS('PowerApp_Physical count'!H:H,'PowerApp_Physical count'!B:B,' General Stock Summary View  '!$Y$2,'PowerApp_Physical count'!C:C,' General Stock Summary View  '!C234,'PowerApp_Physical count'!A:A,' General Stock Summary View  '!B234)</f>
        <v>0</v>
      </c>
      <c r="AA234" s="4">
        <f t="shared" si="13"/>
        <v>0</v>
      </c>
      <c r="AB234" s="5">
        <f>SUMIFS('XBS '!T:T,'XBS '!H:H,' General Stock Summary View  '!$AB$2,'XBS '!B:B,' General Stock Summary View  '!C234,'XBS '!L:L,' General Stock Summary View  '!B234)</f>
        <v>0</v>
      </c>
      <c r="AC234" s="3">
        <f>SUMIFS('PowerApp_Physical count'!H:H,'PowerApp_Physical count'!B:B,' General Stock Summary View  '!$AB$2,'PowerApp_Physical count'!C:C,' General Stock Summary View  '!C234,'PowerApp_Physical count'!A:A,' General Stock Summary View  '!B234)</f>
        <v>0</v>
      </c>
      <c r="AD234" s="6">
        <f t="shared" si="14"/>
        <v>0</v>
      </c>
      <c r="AE234" s="7">
        <f t="shared" si="8"/>
        <v>0</v>
      </c>
      <c r="AF234" s="8">
        <f t="shared" si="9"/>
        <v>-38.93333333333333</v>
      </c>
      <c r="AG234" s="112"/>
    </row>
    <row r="235" spans="2:33" s="113" customFormat="1" ht="61.15">
      <c r="B235" s="117" t="s">
        <v>237</v>
      </c>
      <c r="C235" s="111" t="s">
        <v>197</v>
      </c>
      <c r="D235" s="11">
        <f>SUMIFS('XBS '!T:T,'XBS '!C:C,' General Stock Summary View  '!C235,'XBS '!L:L,' General Stock Summary View  '!B235)</f>
        <v>12.666666666666666</v>
      </c>
      <c r="E235" s="2">
        <f>SUMIFS('Blocked for Processing'!P:P,'Blocked for Processing'!I:I,' General Stock Summary View  '!B235,'Blocked for Processing'!C:C,' General Stock Summary View  '!C235)</f>
        <v>0</v>
      </c>
      <c r="F235" s="122">
        <f t="shared" si="0"/>
        <v>12.666666666666666</v>
      </c>
      <c r="G235" s="148">
        <f>SUMIFS('XBS '!T:T,'XBS '!H:H,' General Stock Summary View  '!$G$2,'XBS '!L:L,' General Stock Summary View  '!B235,'XBS '!C:C,' General Stock Summary View  '!C235)</f>
        <v>0</v>
      </c>
      <c r="H235" s="3">
        <f>SUMIFS('PowerApp_Physical count'!H:H,'PowerApp_Physical count'!B:B,' General Stock Summary View  '!$G$2,'PowerApp_Physical count'!C:C,' General Stock Summary View  '!C235,'PowerApp_Physical count'!A:A,' General Stock Summary View  '!B235)</f>
        <v>0</v>
      </c>
      <c r="I235" s="154">
        <f t="shared" si="42"/>
        <v>0</v>
      </c>
      <c r="J235" s="11">
        <f>SUMIFS('XBS '!T:T,'XBS '!H:H,' General Stock Summary View  '!$J$2,'XBS '!L:L,' General Stock Summary View  '!B235,'XBS '!C:C,' General Stock Summary View  '!C235)</f>
        <v>0</v>
      </c>
      <c r="K235" s="157">
        <f>SUMIFS('PowerApp_Physical count'!H:H,'PowerApp_Physical count'!B:B,' General Stock Summary View  '!$J$2,'PowerApp_Physical count'!C:C,' General Stock Summary View  '!C235,'PowerApp_Physical count'!A:A,' General Stock Summary View  '!B235)</f>
        <v>0</v>
      </c>
      <c r="L235" s="127">
        <f t="shared" si="15"/>
        <v>0</v>
      </c>
      <c r="M235" s="126">
        <f t="shared" si="2"/>
        <v>0</v>
      </c>
      <c r="N235" s="11">
        <f t="shared" si="3"/>
        <v>0</v>
      </c>
      <c r="O235" s="144">
        <f t="shared" si="10"/>
        <v>0</v>
      </c>
      <c r="P235" s="2">
        <f>SUMIFS('XBS '!T:T,'XBS '!H:H,' General Stock Summary View  '!$P$2,'XBS '!L:L,' General Stock Summary View  '!B235,'XBS '!C:C,' General Stock Summary View  '!C235)</f>
        <v>0</v>
      </c>
      <c r="Q235" s="3">
        <f>SUMIFS('PowerApp_Physical count'!H:H,'PowerApp_Physical count'!B:B,' General Stock Summary View  '!$P$2,'PowerApp_Physical count'!C:C,' General Stock Summary View  '!C235,'PowerApp_Physical count'!A:A,' General Stock Summary View  '!B235)</f>
        <v>0</v>
      </c>
      <c r="R235" s="4">
        <f t="shared" si="11"/>
        <v>0</v>
      </c>
      <c r="S235" s="5">
        <f>SUMIFS('XBS '!T:T,'XBS '!L:L,' General Stock Summary View  '!B235,'XBS '!H:H,' General Stock Summary View  '!$S$2,'XBS '!C:C,' General Stock Summary View  '!C235)</f>
        <v>12.666666666666666</v>
      </c>
      <c r="T235" s="3">
        <f>SUMIFS('PowerApp_Physical count'!H:H,'PowerApp_Physical count'!B:B,' General Stock Summary View  '!$S$2,'PowerApp_Physical count'!C:C,' General Stock Summary View  '!C235,'PowerApp_Physical count'!A:A,' General Stock Summary View  '!B235)</f>
        <v>0</v>
      </c>
      <c r="U235" s="4">
        <f t="shared" si="4"/>
        <v>-12.666666666666666</v>
      </c>
      <c r="V235" s="2">
        <f>SUMIFS('XBS '!T:T,'XBS '!H:H,' General Stock Summary View  '!$V$2,'XBS '!B:B,' General Stock Summary View  '!C235,'XBS '!L:L,' General Stock Summary View  '!B235)</f>
        <v>0</v>
      </c>
      <c r="W235" s="3">
        <f>SUMIFS('PowerApp_Physical count'!H:H,'PowerApp_Physical count'!B:B,' General Stock Summary View  '!$V$2,'PowerApp_Physical count'!C:C,' General Stock Summary View  '!C235,'PowerApp_Physical count'!A:A,' General Stock Summary View  '!B235)</f>
        <v>0</v>
      </c>
      <c r="X235" s="4">
        <f t="shared" si="12"/>
        <v>0</v>
      </c>
      <c r="Y235" s="5">
        <f>SUMIFS('XBS '!T:T,'XBS '!H:H,' General Stock Summary View  '!$Y$2,'XBS '!B:B,' General Stock Summary View  '!C235,'XBS '!L:L,' General Stock Summary View  '!B235)</f>
        <v>0</v>
      </c>
      <c r="Z235" s="3">
        <f>SUMIFS('PowerApp_Physical count'!H:H,'PowerApp_Physical count'!B:B,' General Stock Summary View  '!$Y$2,'PowerApp_Physical count'!C:C,' General Stock Summary View  '!C235,'PowerApp_Physical count'!A:A,' General Stock Summary View  '!B235)</f>
        <v>0</v>
      </c>
      <c r="AA235" s="4">
        <f t="shared" si="13"/>
        <v>0</v>
      </c>
      <c r="AB235" s="5">
        <f>SUMIFS('XBS '!T:T,'XBS '!H:H,' General Stock Summary View  '!$AB$2,'XBS '!B:B,' General Stock Summary View  '!C235,'XBS '!L:L,' General Stock Summary View  '!B235)</f>
        <v>0</v>
      </c>
      <c r="AC235" s="3">
        <f>SUMIFS('PowerApp_Physical count'!H:H,'PowerApp_Physical count'!B:B,' General Stock Summary View  '!$AB$2,'PowerApp_Physical count'!C:C,' General Stock Summary View  '!C235,'PowerApp_Physical count'!A:A,' General Stock Summary View  '!B235)</f>
        <v>0</v>
      </c>
      <c r="AD235" s="6">
        <f t="shared" si="14"/>
        <v>0</v>
      </c>
      <c r="AE235" s="7">
        <f t="shared" si="8"/>
        <v>0</v>
      </c>
      <c r="AF235" s="8">
        <f t="shared" si="9"/>
        <v>-12.666666666666666</v>
      </c>
      <c r="AG235" s="112"/>
    </row>
    <row r="236" spans="2:33" s="113" customFormat="1" ht="61.15">
      <c r="B236" s="117" t="s">
        <v>238</v>
      </c>
      <c r="C236" s="111" t="s">
        <v>197</v>
      </c>
      <c r="D236" s="11">
        <f>SUMIFS('XBS '!T:T,'XBS '!C:C,' General Stock Summary View  '!C236,'XBS '!L:L,' General Stock Summary View  '!B236)</f>
        <v>2.0049999999999999</v>
      </c>
      <c r="E236" s="2">
        <f>SUMIFS('Blocked for Processing'!P:P,'Blocked for Processing'!I:I,' General Stock Summary View  '!B236,'Blocked for Processing'!C:C,' General Stock Summary View  '!C236)</f>
        <v>0</v>
      </c>
      <c r="F236" s="122">
        <f t="shared" si="0"/>
        <v>2.0049999999999999</v>
      </c>
      <c r="G236" s="148">
        <f>SUMIFS('XBS '!T:T,'XBS '!H:H,' General Stock Summary View  '!$G$2,'XBS '!L:L,' General Stock Summary View  '!B236,'XBS '!C:C,' General Stock Summary View  '!C236)</f>
        <v>2.0049999999999999</v>
      </c>
      <c r="H236" s="3">
        <f>SUMIFS('PowerApp_Physical count'!H:H,'PowerApp_Physical count'!B:B,' General Stock Summary View  '!$G$2,'PowerApp_Physical count'!C:C,' General Stock Summary View  '!C236,'PowerApp_Physical count'!A:A,' General Stock Summary View  '!B236)</f>
        <v>2.0499999999999998</v>
      </c>
      <c r="I236" s="154">
        <f t="shared" si="42"/>
        <v>4.4999999999999929E-2</v>
      </c>
      <c r="J236" s="11">
        <f>SUMIFS('XBS '!T:T,'XBS '!H:H,' General Stock Summary View  '!$J$2,'XBS '!L:L,' General Stock Summary View  '!B236,'XBS '!C:C,' General Stock Summary View  '!C236)</f>
        <v>0</v>
      </c>
      <c r="K236" s="157">
        <f>SUMIFS('PowerApp_Physical count'!H:H,'PowerApp_Physical count'!B:B,' General Stock Summary View  '!$J$2,'PowerApp_Physical count'!C:C,' General Stock Summary View  '!C236,'PowerApp_Physical count'!A:A,' General Stock Summary View  '!B236)</f>
        <v>0</v>
      </c>
      <c r="L236" s="127">
        <f t="shared" si="15"/>
        <v>0</v>
      </c>
      <c r="M236" s="126">
        <f t="shared" si="2"/>
        <v>2.0049999999999999</v>
      </c>
      <c r="N236" s="11">
        <f t="shared" si="3"/>
        <v>2.0499999999999998</v>
      </c>
      <c r="O236" s="144">
        <f t="shared" si="10"/>
        <v>4.4999999999999929E-2</v>
      </c>
      <c r="P236" s="2">
        <f>SUMIFS('XBS '!T:T,'XBS '!H:H,' General Stock Summary View  '!$P$2,'XBS '!L:L,' General Stock Summary View  '!B236,'XBS '!C:C,' General Stock Summary View  '!C236)</f>
        <v>0</v>
      </c>
      <c r="Q236" s="3">
        <f>SUMIFS('PowerApp_Physical count'!H:H,'PowerApp_Physical count'!B:B,' General Stock Summary View  '!$P$2,'PowerApp_Physical count'!C:C,' General Stock Summary View  '!C236,'PowerApp_Physical count'!A:A,' General Stock Summary View  '!B236)</f>
        <v>0</v>
      </c>
      <c r="R236" s="4">
        <f t="shared" si="11"/>
        <v>0</v>
      </c>
      <c r="S236" s="5">
        <f>SUMIFS('XBS '!T:T,'XBS '!L:L,' General Stock Summary View  '!B236,'XBS '!H:H,' General Stock Summary View  '!$S$2,'XBS '!C:C,' General Stock Summary View  '!C236)</f>
        <v>0</v>
      </c>
      <c r="T236" s="3">
        <f>SUMIFS('PowerApp_Physical count'!H:H,'PowerApp_Physical count'!B:B,' General Stock Summary View  '!$S$2,'PowerApp_Physical count'!C:C,' General Stock Summary View  '!C236,'PowerApp_Physical count'!A:A,' General Stock Summary View  '!B236)</f>
        <v>0</v>
      </c>
      <c r="U236" s="4">
        <f t="shared" si="4"/>
        <v>0</v>
      </c>
      <c r="V236" s="2">
        <f>SUMIFS('XBS '!T:T,'XBS '!H:H,' General Stock Summary View  '!$V$2,'XBS '!B:B,' General Stock Summary View  '!C236,'XBS '!L:L,' General Stock Summary View  '!B236)</f>
        <v>0</v>
      </c>
      <c r="W236" s="3">
        <f>SUMIFS('PowerApp_Physical count'!H:H,'PowerApp_Physical count'!B:B,' General Stock Summary View  '!$V$2,'PowerApp_Physical count'!C:C,' General Stock Summary View  '!C236,'PowerApp_Physical count'!A:A,' General Stock Summary View  '!B236)</f>
        <v>0</v>
      </c>
      <c r="X236" s="4">
        <f t="shared" si="12"/>
        <v>0</v>
      </c>
      <c r="Y236" s="5">
        <f>SUMIFS('XBS '!T:T,'XBS '!H:H,' General Stock Summary View  '!$Y$2,'XBS '!B:B,' General Stock Summary View  '!C236,'XBS '!L:L,' General Stock Summary View  '!B236)</f>
        <v>0</v>
      </c>
      <c r="Z236" s="3">
        <f>SUMIFS('PowerApp_Physical count'!H:H,'PowerApp_Physical count'!B:B,' General Stock Summary View  '!$Y$2,'PowerApp_Physical count'!C:C,' General Stock Summary View  '!C236,'PowerApp_Physical count'!A:A,' General Stock Summary View  '!B236)</f>
        <v>0</v>
      </c>
      <c r="AA236" s="4">
        <f t="shared" si="13"/>
        <v>0</v>
      </c>
      <c r="AB236" s="5">
        <f>SUMIFS('XBS '!T:T,'XBS '!H:H,' General Stock Summary View  '!$AB$2,'XBS '!B:B,' General Stock Summary View  '!C236,'XBS '!L:L,' General Stock Summary View  '!B236)</f>
        <v>0</v>
      </c>
      <c r="AC236" s="3">
        <f>SUMIFS('PowerApp_Physical count'!H:H,'PowerApp_Physical count'!B:B,' General Stock Summary View  '!$AB$2,'PowerApp_Physical count'!C:C,' General Stock Summary View  '!C236,'PowerApp_Physical count'!A:A,' General Stock Summary View  '!B236)</f>
        <v>0</v>
      </c>
      <c r="AD236" s="6">
        <f t="shared" si="14"/>
        <v>0</v>
      </c>
      <c r="AE236" s="7">
        <f t="shared" si="8"/>
        <v>2.0499999999999998</v>
      </c>
      <c r="AF236" s="8">
        <f t="shared" si="9"/>
        <v>4.4999999999999929E-2</v>
      </c>
      <c r="AG236" s="112"/>
    </row>
    <row r="237" spans="2:33" s="113" customFormat="1" ht="61.15">
      <c r="B237" s="117" t="s">
        <v>239</v>
      </c>
      <c r="C237" s="111" t="s">
        <v>240</v>
      </c>
      <c r="D237" s="11">
        <f>SUMIFS('XBS '!T:T,'XBS '!C:C,' General Stock Summary View  '!C237,'XBS '!L:L,' General Stock Summary View  '!B237)</f>
        <v>0.25</v>
      </c>
      <c r="E237" s="2">
        <f>SUMIFS('Blocked for Processing'!P:P,'Blocked for Processing'!I:I,' General Stock Summary View  '!B237,'Blocked for Processing'!C:C,' General Stock Summary View  '!C237)</f>
        <v>0</v>
      </c>
      <c r="F237" s="122">
        <f t="shared" si="0"/>
        <v>0.25</v>
      </c>
      <c r="G237" s="148">
        <f>SUMIFS('XBS '!T:T,'XBS '!H:H,' General Stock Summary View  '!$G$2,'XBS '!L:L,' General Stock Summary View  '!B237,'XBS '!C:C,' General Stock Summary View  '!C237)</f>
        <v>0.25</v>
      </c>
      <c r="H237" s="3">
        <f>SUMIFS('PowerApp_Physical count'!H:H,'PowerApp_Physical count'!B:B,' General Stock Summary View  '!$G$2,'PowerApp_Physical count'!C:C,' General Stock Summary View  '!C237,'PowerApp_Physical count'!A:A,' General Stock Summary View  '!B237)</f>
        <v>0</v>
      </c>
      <c r="I237" s="154">
        <f t="shared" si="42"/>
        <v>-0.25</v>
      </c>
      <c r="J237" s="11">
        <f>SUMIFS('XBS '!T:T,'XBS '!H:H,' General Stock Summary View  '!$J$2,'XBS '!L:L,' General Stock Summary View  '!B237,'XBS '!C:C,' General Stock Summary View  '!C237)</f>
        <v>0</v>
      </c>
      <c r="K237" s="157">
        <f>SUMIFS('PowerApp_Physical count'!H:H,'PowerApp_Physical count'!B:B,' General Stock Summary View  '!$J$2,'PowerApp_Physical count'!C:C,' General Stock Summary View  '!C237,'PowerApp_Physical count'!A:A,' General Stock Summary View  '!B237)</f>
        <v>0</v>
      </c>
      <c r="L237" s="127">
        <f t="shared" si="15"/>
        <v>0</v>
      </c>
      <c r="M237" s="126">
        <f t="shared" si="2"/>
        <v>0.25</v>
      </c>
      <c r="N237" s="11">
        <f t="shared" si="3"/>
        <v>0</v>
      </c>
      <c r="O237" s="144">
        <f t="shared" si="10"/>
        <v>-0.25</v>
      </c>
      <c r="P237" s="2">
        <f>SUMIFS('XBS '!T:T,'XBS '!H:H,' General Stock Summary View  '!$P$2,'XBS '!L:L,' General Stock Summary View  '!B237,'XBS '!C:C,' General Stock Summary View  '!C237)</f>
        <v>0</v>
      </c>
      <c r="Q237" s="3">
        <f>SUMIFS('PowerApp_Physical count'!H:H,'PowerApp_Physical count'!B:B,' General Stock Summary View  '!$P$2,'PowerApp_Physical count'!C:C,' General Stock Summary View  '!C237,'PowerApp_Physical count'!A:A,' General Stock Summary View  '!B237)</f>
        <v>0</v>
      </c>
      <c r="R237" s="4">
        <f t="shared" si="11"/>
        <v>0</v>
      </c>
      <c r="S237" s="5">
        <f>SUMIFS('XBS '!T:T,'XBS '!L:L,' General Stock Summary View  '!B237,'XBS '!H:H,' General Stock Summary View  '!$S$2,'XBS '!C:C,' General Stock Summary View  '!C237)</f>
        <v>0</v>
      </c>
      <c r="T237" s="3">
        <f>SUMIFS('PowerApp_Physical count'!H:H,'PowerApp_Physical count'!B:B,' General Stock Summary View  '!$S$2,'PowerApp_Physical count'!C:C,' General Stock Summary View  '!C237,'PowerApp_Physical count'!A:A,' General Stock Summary View  '!B237)</f>
        <v>0</v>
      </c>
      <c r="U237" s="4">
        <f t="shared" si="4"/>
        <v>0</v>
      </c>
      <c r="V237" s="2">
        <f>SUMIFS('XBS '!T:T,'XBS '!H:H,' General Stock Summary View  '!$V$2,'XBS '!B:B,' General Stock Summary View  '!C237,'XBS '!L:L,' General Stock Summary View  '!B237)</f>
        <v>0</v>
      </c>
      <c r="W237" s="3">
        <f>SUMIFS('PowerApp_Physical count'!H:H,'PowerApp_Physical count'!B:B,' General Stock Summary View  '!$V$2,'PowerApp_Physical count'!C:C,' General Stock Summary View  '!C237,'PowerApp_Physical count'!A:A,' General Stock Summary View  '!B237)</f>
        <v>0</v>
      </c>
      <c r="X237" s="4">
        <f t="shared" si="12"/>
        <v>0</v>
      </c>
      <c r="Y237" s="5">
        <f>SUMIFS('XBS '!T:T,'XBS '!H:H,' General Stock Summary View  '!$Y$2,'XBS '!B:B,' General Stock Summary View  '!C237,'XBS '!L:L,' General Stock Summary View  '!B237)</f>
        <v>0</v>
      </c>
      <c r="Z237" s="3">
        <f>SUMIFS('PowerApp_Physical count'!H:H,'PowerApp_Physical count'!B:B,' General Stock Summary View  '!$Y$2,'PowerApp_Physical count'!C:C,' General Stock Summary View  '!C237,'PowerApp_Physical count'!A:A,' General Stock Summary View  '!B237)</f>
        <v>0</v>
      </c>
      <c r="AA237" s="4">
        <f t="shared" si="13"/>
        <v>0</v>
      </c>
      <c r="AB237" s="5">
        <f>SUMIFS('XBS '!T:T,'XBS '!H:H,' General Stock Summary View  '!$AB$2,'XBS '!B:B,' General Stock Summary View  '!C237,'XBS '!L:L,' General Stock Summary View  '!B237)</f>
        <v>0</v>
      </c>
      <c r="AC237" s="3">
        <f>SUMIFS('PowerApp_Physical count'!H:H,'PowerApp_Physical count'!B:B,' General Stock Summary View  '!$AB$2,'PowerApp_Physical count'!C:C,' General Stock Summary View  '!C237,'PowerApp_Physical count'!A:A,' General Stock Summary View  '!B237)</f>
        <v>0</v>
      </c>
      <c r="AD237" s="6">
        <f t="shared" si="14"/>
        <v>0</v>
      </c>
      <c r="AE237" s="7">
        <f t="shared" si="8"/>
        <v>0</v>
      </c>
      <c r="AF237" s="8">
        <f t="shared" si="9"/>
        <v>-0.25</v>
      </c>
      <c r="AG237" s="112"/>
    </row>
    <row r="238" spans="2:33" s="113" customFormat="1" ht="61.15">
      <c r="B238" s="117" t="s">
        <v>241</v>
      </c>
      <c r="C238" s="111" t="s">
        <v>240</v>
      </c>
      <c r="D238" s="11">
        <f>SUMIFS('XBS '!T:T,'XBS '!C:C,' General Stock Summary View  '!C238,'XBS '!L:L,' General Stock Summary View  '!B238)</f>
        <v>0.25</v>
      </c>
      <c r="E238" s="2">
        <f>SUMIFS('Blocked for Processing'!P:P,'Blocked for Processing'!I:I,' General Stock Summary View  '!B238,'Blocked for Processing'!C:C,' General Stock Summary View  '!C238)</f>
        <v>0</v>
      </c>
      <c r="F238" s="122">
        <f t="shared" si="0"/>
        <v>0.25</v>
      </c>
      <c r="G238" s="148">
        <f>SUMIFS('XBS '!T:T,'XBS '!H:H,' General Stock Summary View  '!$G$2,'XBS '!L:L,' General Stock Summary View  '!B238,'XBS '!C:C,' General Stock Summary View  '!C238)</f>
        <v>0.25</v>
      </c>
      <c r="H238" s="3">
        <f>SUMIFS('PowerApp_Physical count'!H:H,'PowerApp_Physical count'!B:B,' General Stock Summary View  '!$G$2,'PowerApp_Physical count'!C:C,' General Stock Summary View  '!C238,'PowerApp_Physical count'!A:A,' General Stock Summary View  '!B238)</f>
        <v>0</v>
      </c>
      <c r="I238" s="154">
        <f t="shared" si="42"/>
        <v>-0.25</v>
      </c>
      <c r="J238" s="11">
        <f>SUMIFS('XBS '!T:T,'XBS '!H:H,' General Stock Summary View  '!$J$2,'XBS '!L:L,' General Stock Summary View  '!B238,'XBS '!C:C,' General Stock Summary View  '!C238)</f>
        <v>0</v>
      </c>
      <c r="K238" s="157">
        <f>SUMIFS('PowerApp_Physical count'!H:H,'PowerApp_Physical count'!B:B,' General Stock Summary View  '!$J$2,'PowerApp_Physical count'!C:C,' General Stock Summary View  '!C238,'PowerApp_Physical count'!A:A,' General Stock Summary View  '!B238)</f>
        <v>0</v>
      </c>
      <c r="L238" s="127">
        <f t="shared" si="15"/>
        <v>0</v>
      </c>
      <c r="M238" s="126">
        <f t="shared" si="2"/>
        <v>0.25</v>
      </c>
      <c r="N238" s="11">
        <f t="shared" si="3"/>
        <v>0</v>
      </c>
      <c r="O238" s="144">
        <f t="shared" si="10"/>
        <v>-0.25</v>
      </c>
      <c r="P238" s="2">
        <f>SUMIFS('XBS '!T:T,'XBS '!H:H,' General Stock Summary View  '!$P$2,'XBS '!L:L,' General Stock Summary View  '!B238,'XBS '!C:C,' General Stock Summary View  '!C238)</f>
        <v>0</v>
      </c>
      <c r="Q238" s="3">
        <f>SUMIFS('PowerApp_Physical count'!H:H,'PowerApp_Physical count'!B:B,' General Stock Summary View  '!$P$2,'PowerApp_Physical count'!C:C,' General Stock Summary View  '!C238,'PowerApp_Physical count'!A:A,' General Stock Summary View  '!B238)</f>
        <v>0</v>
      </c>
      <c r="R238" s="4">
        <f t="shared" si="11"/>
        <v>0</v>
      </c>
      <c r="S238" s="5">
        <f>SUMIFS('XBS '!T:T,'XBS '!L:L,' General Stock Summary View  '!B238,'XBS '!H:H,' General Stock Summary View  '!$S$2,'XBS '!C:C,' General Stock Summary View  '!C238)</f>
        <v>0</v>
      </c>
      <c r="T238" s="3">
        <f>SUMIFS('PowerApp_Physical count'!H:H,'PowerApp_Physical count'!B:B,' General Stock Summary View  '!$S$2,'PowerApp_Physical count'!C:C,' General Stock Summary View  '!C238,'PowerApp_Physical count'!A:A,' General Stock Summary View  '!B238)</f>
        <v>0</v>
      </c>
      <c r="U238" s="4">
        <f t="shared" si="4"/>
        <v>0</v>
      </c>
      <c r="V238" s="2">
        <f>SUMIFS('XBS '!T:T,'XBS '!H:H,' General Stock Summary View  '!$V$2,'XBS '!B:B,' General Stock Summary View  '!C238,'XBS '!L:L,' General Stock Summary View  '!B238)</f>
        <v>0</v>
      </c>
      <c r="W238" s="3">
        <f>SUMIFS('PowerApp_Physical count'!H:H,'PowerApp_Physical count'!B:B,' General Stock Summary View  '!$V$2,'PowerApp_Physical count'!C:C,' General Stock Summary View  '!C238,'PowerApp_Physical count'!A:A,' General Stock Summary View  '!B238)</f>
        <v>0</v>
      </c>
      <c r="X238" s="4">
        <f t="shared" si="12"/>
        <v>0</v>
      </c>
      <c r="Y238" s="5">
        <f>SUMIFS('XBS '!T:T,'XBS '!H:H,' General Stock Summary View  '!$Y$2,'XBS '!B:B,' General Stock Summary View  '!C238,'XBS '!L:L,' General Stock Summary View  '!B238)</f>
        <v>0</v>
      </c>
      <c r="Z238" s="3">
        <f>SUMIFS('PowerApp_Physical count'!H:H,'PowerApp_Physical count'!B:B,' General Stock Summary View  '!$Y$2,'PowerApp_Physical count'!C:C,' General Stock Summary View  '!C238,'PowerApp_Physical count'!A:A,' General Stock Summary View  '!B238)</f>
        <v>0</v>
      </c>
      <c r="AA238" s="4">
        <f t="shared" si="13"/>
        <v>0</v>
      </c>
      <c r="AB238" s="5">
        <f>SUMIFS('XBS '!T:T,'XBS '!H:H,' General Stock Summary View  '!$AB$2,'XBS '!B:B,' General Stock Summary View  '!C238,'XBS '!L:L,' General Stock Summary View  '!B238)</f>
        <v>0</v>
      </c>
      <c r="AC238" s="3">
        <f>SUMIFS('PowerApp_Physical count'!H:H,'PowerApp_Physical count'!B:B,' General Stock Summary View  '!$AB$2,'PowerApp_Physical count'!C:C,' General Stock Summary View  '!C238,'PowerApp_Physical count'!A:A,' General Stock Summary View  '!B238)</f>
        <v>0</v>
      </c>
      <c r="AD238" s="6">
        <f t="shared" si="14"/>
        <v>0</v>
      </c>
      <c r="AE238" s="7">
        <f t="shared" si="8"/>
        <v>0</v>
      </c>
      <c r="AF238" s="8">
        <f t="shared" si="9"/>
        <v>-0.25</v>
      </c>
      <c r="AG238" s="112"/>
    </row>
    <row r="239" spans="2:33" s="113" customFormat="1" ht="61.15">
      <c r="B239" s="117" t="s">
        <v>242</v>
      </c>
      <c r="C239" s="111" t="s">
        <v>240</v>
      </c>
      <c r="D239" s="11">
        <f>SUMIFS('XBS '!T:T,'XBS '!C:C,' General Stock Summary View  '!C239,'XBS '!L:L,' General Stock Summary View  '!B239)</f>
        <v>31.566666666666666</v>
      </c>
      <c r="E239" s="2">
        <f>SUMIFS('Blocked for Processing'!P:P,'Blocked for Processing'!I:I,' General Stock Summary View  '!B239,'Blocked for Processing'!C:C,' General Stock Summary View  '!C239)</f>
        <v>72.349999999999994</v>
      </c>
      <c r="F239" s="122">
        <f t="shared" si="0"/>
        <v>103.91666666666666</v>
      </c>
      <c r="G239" s="148">
        <f>SUMIFS('XBS '!T:T,'XBS '!H:H,' General Stock Summary View  '!$G$2,'XBS '!L:L,' General Stock Summary View  '!B239,'XBS '!C:C,' General Stock Summary View  '!C239)</f>
        <v>31.566666666666666</v>
      </c>
      <c r="H239" s="3">
        <f>SUMIFS('PowerApp_Physical count'!H:H,'PowerApp_Physical count'!B:B,' General Stock Summary View  '!$G$2,'PowerApp_Physical count'!C:C,' General Stock Summary View  '!C239,'PowerApp_Physical count'!A:A,' General Stock Summary View  '!B239)</f>
        <v>103.91666666666667</v>
      </c>
      <c r="I239" s="154">
        <f t="shared" si="42"/>
        <v>72.350000000000009</v>
      </c>
      <c r="J239" s="11">
        <f>SUMIFS('XBS '!T:T,'XBS '!H:H,' General Stock Summary View  '!$J$2,'XBS '!L:L,' General Stock Summary View  '!B239,'XBS '!C:C,' General Stock Summary View  '!C239)</f>
        <v>0</v>
      </c>
      <c r="K239" s="157">
        <f>SUMIFS('PowerApp_Physical count'!H:H,'PowerApp_Physical count'!B:B,' General Stock Summary View  '!$J$2,'PowerApp_Physical count'!C:C,' General Stock Summary View  '!C239,'PowerApp_Physical count'!A:A,' General Stock Summary View  '!B239)</f>
        <v>0</v>
      </c>
      <c r="L239" s="127">
        <f t="shared" si="15"/>
        <v>0</v>
      </c>
      <c r="M239" s="126">
        <f t="shared" si="2"/>
        <v>103.91666666666666</v>
      </c>
      <c r="N239" s="11">
        <f t="shared" si="3"/>
        <v>103.91666666666667</v>
      </c>
      <c r="O239" s="144">
        <f t="shared" si="10"/>
        <v>0</v>
      </c>
      <c r="P239" s="2">
        <f>SUMIFS('XBS '!T:T,'XBS '!H:H,' General Stock Summary View  '!$P$2,'XBS '!L:L,' General Stock Summary View  '!B239,'XBS '!C:C,' General Stock Summary View  '!C239)</f>
        <v>0</v>
      </c>
      <c r="Q239" s="3">
        <f>SUMIFS('PowerApp_Physical count'!H:H,'PowerApp_Physical count'!B:B,' General Stock Summary View  '!$P$2,'PowerApp_Physical count'!C:C,' General Stock Summary View  '!C239,'PowerApp_Physical count'!A:A,' General Stock Summary View  '!B239)</f>
        <v>0</v>
      </c>
      <c r="R239" s="4">
        <f t="shared" si="11"/>
        <v>0</v>
      </c>
      <c r="S239" s="5">
        <f>SUMIFS('XBS '!T:T,'XBS '!L:L,' General Stock Summary View  '!B239,'XBS '!H:H,' General Stock Summary View  '!$S$2,'XBS '!C:C,' General Stock Summary View  '!C239)</f>
        <v>0</v>
      </c>
      <c r="T239" s="3">
        <f>SUMIFS('PowerApp_Physical count'!H:H,'PowerApp_Physical count'!B:B,' General Stock Summary View  '!$S$2,'PowerApp_Physical count'!C:C,' General Stock Summary View  '!C239,'PowerApp_Physical count'!A:A,' General Stock Summary View  '!B239)</f>
        <v>0</v>
      </c>
      <c r="U239" s="4">
        <f t="shared" si="4"/>
        <v>0</v>
      </c>
      <c r="V239" s="2">
        <f>SUMIFS('XBS '!T:T,'XBS '!H:H,' General Stock Summary View  '!$V$2,'XBS '!B:B,' General Stock Summary View  '!C239,'XBS '!L:L,' General Stock Summary View  '!B239)</f>
        <v>0</v>
      </c>
      <c r="W239" s="3">
        <f>SUMIFS('PowerApp_Physical count'!H:H,'PowerApp_Physical count'!B:B,' General Stock Summary View  '!$V$2,'PowerApp_Physical count'!C:C,' General Stock Summary View  '!C239,'PowerApp_Physical count'!A:A,' General Stock Summary View  '!B239)</f>
        <v>0</v>
      </c>
      <c r="X239" s="4">
        <f t="shared" si="12"/>
        <v>0</v>
      </c>
      <c r="Y239" s="5">
        <f>SUMIFS('XBS '!T:T,'XBS '!H:H,' General Stock Summary View  '!$Y$2,'XBS '!B:B,' General Stock Summary View  '!C239,'XBS '!L:L,' General Stock Summary View  '!B239)</f>
        <v>0</v>
      </c>
      <c r="Z239" s="3">
        <f>SUMIFS('PowerApp_Physical count'!H:H,'PowerApp_Physical count'!B:B,' General Stock Summary View  '!$Y$2,'PowerApp_Physical count'!C:C,' General Stock Summary View  '!C239,'PowerApp_Physical count'!A:A,' General Stock Summary View  '!B239)</f>
        <v>0</v>
      </c>
      <c r="AA239" s="4">
        <f t="shared" si="13"/>
        <v>0</v>
      </c>
      <c r="AB239" s="5">
        <f>SUMIFS('XBS '!T:T,'XBS '!H:H,' General Stock Summary View  '!$AB$2,'XBS '!B:B,' General Stock Summary View  '!C239,'XBS '!L:L,' General Stock Summary View  '!B239)</f>
        <v>0</v>
      </c>
      <c r="AC239" s="3">
        <f>SUMIFS('PowerApp_Physical count'!H:H,'PowerApp_Physical count'!B:B,' General Stock Summary View  '!$AB$2,'PowerApp_Physical count'!C:C,' General Stock Summary View  '!C239,'PowerApp_Physical count'!A:A,' General Stock Summary View  '!B239)</f>
        <v>0</v>
      </c>
      <c r="AD239" s="6">
        <f t="shared" si="14"/>
        <v>0</v>
      </c>
      <c r="AE239" s="7">
        <f t="shared" si="8"/>
        <v>103.91666666666667</v>
      </c>
      <c r="AF239" s="8">
        <f t="shared" si="9"/>
        <v>0</v>
      </c>
      <c r="AG239" s="112"/>
    </row>
    <row r="240" spans="2:33" s="113" customFormat="1" ht="61.15">
      <c r="B240" s="117" t="s">
        <v>243</v>
      </c>
      <c r="C240" s="111" t="s">
        <v>240</v>
      </c>
      <c r="D240" s="11">
        <f>SUMIFS('XBS '!T:T,'XBS '!C:C,' General Stock Summary View  '!C240,'XBS '!L:L,' General Stock Summary View  '!B240)</f>
        <v>16.983333333333334</v>
      </c>
      <c r="E240" s="2">
        <f>SUMIFS('Blocked for Processing'!P:P,'Blocked for Processing'!I:I,' General Stock Summary View  '!B240,'Blocked for Processing'!C:C,' General Stock Summary View  '!C240)</f>
        <v>0</v>
      </c>
      <c r="F240" s="122">
        <f t="shared" si="0"/>
        <v>16.983333333333334</v>
      </c>
      <c r="G240" s="148">
        <f>SUMIFS('XBS '!T:T,'XBS '!H:H,' General Stock Summary View  '!$G$2,'XBS '!L:L,' General Stock Summary View  '!B240,'XBS '!C:C,' General Stock Summary View  '!C240)</f>
        <v>16.983333333333334</v>
      </c>
      <c r="H240" s="3">
        <f>SUMIFS('PowerApp_Physical count'!H:H,'PowerApp_Physical count'!B:B,' General Stock Summary View  '!$G$2,'PowerApp_Physical count'!C:C,' General Stock Summary View  '!C240,'PowerApp_Physical count'!A:A,' General Stock Summary View  '!B240)</f>
        <v>17</v>
      </c>
      <c r="I240" s="154">
        <f t="shared" si="42"/>
        <v>1.6666666666665719E-2</v>
      </c>
      <c r="J240" s="11">
        <f>SUMIFS('XBS '!T:T,'XBS '!H:H,' General Stock Summary View  '!$J$2,'XBS '!L:L,' General Stock Summary View  '!B240,'XBS '!C:C,' General Stock Summary View  '!C240)</f>
        <v>0</v>
      </c>
      <c r="K240" s="157">
        <f>SUMIFS('PowerApp_Physical count'!H:H,'PowerApp_Physical count'!B:B,' General Stock Summary View  '!$J$2,'PowerApp_Physical count'!C:C,' General Stock Summary View  '!C240,'PowerApp_Physical count'!A:A,' General Stock Summary View  '!B240)</f>
        <v>0</v>
      </c>
      <c r="L240" s="127">
        <f t="shared" si="15"/>
        <v>0</v>
      </c>
      <c r="M240" s="126">
        <f t="shared" si="2"/>
        <v>16.983333333333334</v>
      </c>
      <c r="N240" s="11">
        <f t="shared" si="3"/>
        <v>17</v>
      </c>
      <c r="O240" s="144">
        <f t="shared" si="10"/>
        <v>1.6666666666665719E-2</v>
      </c>
      <c r="P240" s="2">
        <f>SUMIFS('XBS '!T:T,'XBS '!H:H,' General Stock Summary View  '!$P$2,'XBS '!L:L,' General Stock Summary View  '!B240,'XBS '!C:C,' General Stock Summary View  '!C240)</f>
        <v>0</v>
      </c>
      <c r="Q240" s="3">
        <f>SUMIFS('PowerApp_Physical count'!H:H,'PowerApp_Physical count'!B:B,' General Stock Summary View  '!$P$2,'PowerApp_Physical count'!C:C,' General Stock Summary View  '!C240,'PowerApp_Physical count'!A:A,' General Stock Summary View  '!B240)</f>
        <v>0</v>
      </c>
      <c r="R240" s="4">
        <f t="shared" si="11"/>
        <v>0</v>
      </c>
      <c r="S240" s="5">
        <f>SUMIFS('XBS '!T:T,'XBS '!L:L,' General Stock Summary View  '!B240,'XBS '!H:H,' General Stock Summary View  '!$S$2,'XBS '!C:C,' General Stock Summary View  '!C240)</f>
        <v>0</v>
      </c>
      <c r="T240" s="3">
        <f>SUMIFS('PowerApp_Physical count'!H:H,'PowerApp_Physical count'!B:B,' General Stock Summary View  '!$S$2,'PowerApp_Physical count'!C:C,' General Stock Summary View  '!C240,'PowerApp_Physical count'!A:A,' General Stock Summary View  '!B240)</f>
        <v>0</v>
      </c>
      <c r="U240" s="4">
        <f t="shared" si="4"/>
        <v>0</v>
      </c>
      <c r="V240" s="2">
        <f>SUMIFS('XBS '!T:T,'XBS '!H:H,' General Stock Summary View  '!$V$2,'XBS '!B:B,' General Stock Summary View  '!C240,'XBS '!L:L,' General Stock Summary View  '!B240)</f>
        <v>0</v>
      </c>
      <c r="W240" s="3">
        <f>SUMIFS('PowerApp_Physical count'!H:H,'PowerApp_Physical count'!B:B,' General Stock Summary View  '!$V$2,'PowerApp_Physical count'!C:C,' General Stock Summary View  '!C240,'PowerApp_Physical count'!A:A,' General Stock Summary View  '!B240)</f>
        <v>0</v>
      </c>
      <c r="X240" s="4">
        <f t="shared" si="12"/>
        <v>0</v>
      </c>
      <c r="Y240" s="5">
        <f>SUMIFS('XBS '!T:T,'XBS '!H:H,' General Stock Summary View  '!$Y$2,'XBS '!B:B,' General Stock Summary View  '!C240,'XBS '!L:L,' General Stock Summary View  '!B240)</f>
        <v>0</v>
      </c>
      <c r="Z240" s="3">
        <f>SUMIFS('PowerApp_Physical count'!H:H,'PowerApp_Physical count'!B:B,' General Stock Summary View  '!$Y$2,'PowerApp_Physical count'!C:C,' General Stock Summary View  '!C240,'PowerApp_Physical count'!A:A,' General Stock Summary View  '!B240)</f>
        <v>0</v>
      </c>
      <c r="AA240" s="4">
        <f t="shared" si="13"/>
        <v>0</v>
      </c>
      <c r="AB240" s="5">
        <f>SUMIFS('XBS '!T:T,'XBS '!H:H,' General Stock Summary View  '!$AB$2,'XBS '!B:B,' General Stock Summary View  '!C240,'XBS '!L:L,' General Stock Summary View  '!B240)</f>
        <v>0</v>
      </c>
      <c r="AC240" s="3">
        <f>SUMIFS('PowerApp_Physical count'!H:H,'PowerApp_Physical count'!B:B,' General Stock Summary View  '!$AB$2,'PowerApp_Physical count'!C:C,' General Stock Summary View  '!C240,'PowerApp_Physical count'!A:A,' General Stock Summary View  '!B240)</f>
        <v>0</v>
      </c>
      <c r="AD240" s="6">
        <f t="shared" si="14"/>
        <v>0</v>
      </c>
      <c r="AE240" s="7">
        <f t="shared" si="8"/>
        <v>17</v>
      </c>
      <c r="AF240" s="8">
        <f t="shared" si="9"/>
        <v>1.6666666666665719E-2</v>
      </c>
      <c r="AG240" s="112"/>
    </row>
    <row r="241" spans="2:33" s="113" customFormat="1" ht="61.15">
      <c r="B241" s="117" t="s">
        <v>244</v>
      </c>
      <c r="C241" s="111" t="s">
        <v>240</v>
      </c>
      <c r="D241" s="11">
        <f>SUMIFS('XBS '!T:T,'XBS '!C:C,' General Stock Summary View  '!C241,'XBS '!L:L,' General Stock Summary View  '!B241)</f>
        <v>44.35</v>
      </c>
      <c r="E241" s="2">
        <f>SUMIFS('Blocked for Processing'!P:P,'Blocked for Processing'!I:I,' General Stock Summary View  '!B241,'Blocked for Processing'!C:C,' General Stock Summary View  '!C241)</f>
        <v>0</v>
      </c>
      <c r="F241" s="122">
        <f t="shared" si="0"/>
        <v>44.35</v>
      </c>
      <c r="G241" s="148">
        <f>SUMIFS('XBS '!T:T,'XBS '!H:H,' General Stock Summary View  '!$G$2,'XBS '!L:L,' General Stock Summary View  '!B241,'XBS '!C:C,' General Stock Summary View  '!C241)</f>
        <v>44.35</v>
      </c>
      <c r="H241" s="3">
        <f>SUMIFS('PowerApp_Physical count'!H:H,'PowerApp_Physical count'!B:B,' General Stock Summary View  '!$G$2,'PowerApp_Physical count'!C:C,' General Stock Summary View  '!C241,'PowerApp_Physical count'!A:A,' General Stock Summary View  '!B241)</f>
        <v>44.35</v>
      </c>
      <c r="I241" s="154">
        <f t="shared" si="42"/>
        <v>0</v>
      </c>
      <c r="J241" s="11">
        <f>SUMIFS('XBS '!T:T,'XBS '!H:H,' General Stock Summary View  '!$J$2,'XBS '!L:L,' General Stock Summary View  '!B241,'XBS '!C:C,' General Stock Summary View  '!C241)</f>
        <v>0</v>
      </c>
      <c r="K241" s="157">
        <f>SUMIFS('PowerApp_Physical count'!H:H,'PowerApp_Physical count'!B:B,' General Stock Summary View  '!$J$2,'PowerApp_Physical count'!C:C,' General Stock Summary View  '!C241,'PowerApp_Physical count'!A:A,' General Stock Summary View  '!B241)</f>
        <v>0</v>
      </c>
      <c r="L241" s="127">
        <f t="shared" si="15"/>
        <v>0</v>
      </c>
      <c r="M241" s="126">
        <f t="shared" si="2"/>
        <v>44.35</v>
      </c>
      <c r="N241" s="11">
        <f t="shared" si="3"/>
        <v>44.35</v>
      </c>
      <c r="O241" s="144">
        <f t="shared" si="10"/>
        <v>0</v>
      </c>
      <c r="P241" s="2">
        <f>SUMIFS('XBS '!T:T,'XBS '!H:H,' General Stock Summary View  '!$P$2,'XBS '!L:L,' General Stock Summary View  '!B241,'XBS '!C:C,' General Stock Summary View  '!C241)</f>
        <v>0</v>
      </c>
      <c r="Q241" s="3">
        <f>SUMIFS('PowerApp_Physical count'!H:H,'PowerApp_Physical count'!B:B,' General Stock Summary View  '!$P$2,'PowerApp_Physical count'!C:C,' General Stock Summary View  '!C241,'PowerApp_Physical count'!A:A,' General Stock Summary View  '!B241)</f>
        <v>0</v>
      </c>
      <c r="R241" s="4">
        <f t="shared" si="11"/>
        <v>0</v>
      </c>
      <c r="S241" s="5">
        <f>SUMIFS('XBS '!T:T,'XBS '!L:L,' General Stock Summary View  '!B241,'XBS '!H:H,' General Stock Summary View  '!$S$2,'XBS '!C:C,' General Stock Summary View  '!C241)</f>
        <v>0</v>
      </c>
      <c r="T241" s="3">
        <f>SUMIFS('PowerApp_Physical count'!H:H,'PowerApp_Physical count'!B:B,' General Stock Summary View  '!$S$2,'PowerApp_Physical count'!C:C,' General Stock Summary View  '!C241,'PowerApp_Physical count'!A:A,' General Stock Summary View  '!B241)</f>
        <v>0</v>
      </c>
      <c r="U241" s="4">
        <f t="shared" si="4"/>
        <v>0</v>
      </c>
      <c r="V241" s="2">
        <f>SUMIFS('XBS '!T:T,'XBS '!H:H,' General Stock Summary View  '!$V$2,'XBS '!B:B,' General Stock Summary View  '!C241,'XBS '!L:L,' General Stock Summary View  '!B241)</f>
        <v>0</v>
      </c>
      <c r="W241" s="3">
        <f>SUMIFS('PowerApp_Physical count'!H:H,'PowerApp_Physical count'!B:B,' General Stock Summary View  '!$V$2,'PowerApp_Physical count'!C:C,' General Stock Summary View  '!C241,'PowerApp_Physical count'!A:A,' General Stock Summary View  '!B241)</f>
        <v>0</v>
      </c>
      <c r="X241" s="4">
        <f t="shared" si="12"/>
        <v>0</v>
      </c>
      <c r="Y241" s="5">
        <f>SUMIFS('XBS '!T:T,'XBS '!H:H,' General Stock Summary View  '!$Y$2,'XBS '!B:B,' General Stock Summary View  '!C241,'XBS '!L:L,' General Stock Summary View  '!B241)</f>
        <v>0</v>
      </c>
      <c r="Z241" s="3">
        <f>SUMIFS('PowerApp_Physical count'!H:H,'PowerApp_Physical count'!B:B,' General Stock Summary View  '!$Y$2,'PowerApp_Physical count'!C:C,' General Stock Summary View  '!C241,'PowerApp_Physical count'!A:A,' General Stock Summary View  '!B241)</f>
        <v>0</v>
      </c>
      <c r="AA241" s="4">
        <f t="shared" si="13"/>
        <v>0</v>
      </c>
      <c r="AB241" s="5">
        <f>SUMIFS('XBS '!T:T,'XBS '!H:H,' General Stock Summary View  '!$AB$2,'XBS '!B:B,' General Stock Summary View  '!C241,'XBS '!L:L,' General Stock Summary View  '!B241)</f>
        <v>0</v>
      </c>
      <c r="AC241" s="3">
        <f>SUMIFS('PowerApp_Physical count'!H:H,'PowerApp_Physical count'!B:B,' General Stock Summary View  '!$AB$2,'PowerApp_Physical count'!C:C,' General Stock Summary View  '!C241,'PowerApp_Physical count'!A:A,' General Stock Summary View  '!B241)</f>
        <v>0</v>
      </c>
      <c r="AD241" s="6">
        <f t="shared" si="14"/>
        <v>0</v>
      </c>
      <c r="AE241" s="7">
        <f t="shared" si="8"/>
        <v>44.35</v>
      </c>
      <c r="AF241" s="8">
        <f t="shared" si="9"/>
        <v>0</v>
      </c>
      <c r="AG241" s="112"/>
    </row>
    <row r="242" spans="2:33" s="113" customFormat="1" ht="61.15">
      <c r="B242" s="117" t="s">
        <v>245</v>
      </c>
      <c r="C242" s="111" t="s">
        <v>240</v>
      </c>
      <c r="D242" s="11">
        <f>SUMIFS('XBS '!T:T,'XBS '!C:C,' General Stock Summary View  '!C242,'XBS '!L:L,' General Stock Summary View  '!B242)</f>
        <v>79.63333333333334</v>
      </c>
      <c r="E242" s="2">
        <f>SUMIFS('Blocked for Processing'!P:P,'Blocked for Processing'!I:I,' General Stock Summary View  '!B242,'Blocked for Processing'!C:C,' General Stock Summary View  '!C242)</f>
        <v>0</v>
      </c>
      <c r="F242" s="122">
        <f t="shared" si="0"/>
        <v>79.63333333333334</v>
      </c>
      <c r="G242" s="148">
        <f>SUMIFS('XBS '!T:T,'XBS '!H:H,' General Stock Summary View  '!$G$2,'XBS '!L:L,' General Stock Summary View  '!B242,'XBS '!C:C,' General Stock Summary View  '!C242)</f>
        <v>79.63333333333334</v>
      </c>
      <c r="H242" s="3">
        <f>SUMIFS('PowerApp_Physical count'!H:H,'PowerApp_Physical count'!B:B,' General Stock Summary View  '!$G$2,'PowerApp_Physical count'!C:C,' General Stock Summary View  '!C242,'PowerApp_Physical count'!A:A,' General Stock Summary View  '!B242)</f>
        <v>79.63333333333334</v>
      </c>
      <c r="I242" s="154">
        <f t="shared" si="42"/>
        <v>0</v>
      </c>
      <c r="J242" s="11">
        <f>SUMIFS('XBS '!T:T,'XBS '!H:H,' General Stock Summary View  '!$J$2,'XBS '!L:L,' General Stock Summary View  '!B242,'XBS '!C:C,' General Stock Summary View  '!C242)</f>
        <v>0</v>
      </c>
      <c r="K242" s="157">
        <f>SUMIFS('PowerApp_Physical count'!H:H,'PowerApp_Physical count'!B:B,' General Stock Summary View  '!$J$2,'PowerApp_Physical count'!C:C,' General Stock Summary View  '!C242,'PowerApp_Physical count'!A:A,' General Stock Summary View  '!B242)</f>
        <v>0</v>
      </c>
      <c r="L242" s="127">
        <f t="shared" si="15"/>
        <v>0</v>
      </c>
      <c r="M242" s="126">
        <f t="shared" si="2"/>
        <v>79.63333333333334</v>
      </c>
      <c r="N242" s="11">
        <f t="shared" si="3"/>
        <v>79.63333333333334</v>
      </c>
      <c r="O242" s="144">
        <f t="shared" si="10"/>
        <v>0</v>
      </c>
      <c r="P242" s="2">
        <f>SUMIFS('XBS '!T:T,'XBS '!H:H,' General Stock Summary View  '!$P$2,'XBS '!L:L,' General Stock Summary View  '!B242,'XBS '!C:C,' General Stock Summary View  '!C242)</f>
        <v>0</v>
      </c>
      <c r="Q242" s="3">
        <f>SUMIFS('PowerApp_Physical count'!H:H,'PowerApp_Physical count'!B:B,' General Stock Summary View  '!$P$2,'PowerApp_Physical count'!C:C,' General Stock Summary View  '!C242,'PowerApp_Physical count'!A:A,' General Stock Summary View  '!B242)</f>
        <v>0</v>
      </c>
      <c r="R242" s="4">
        <f t="shared" si="11"/>
        <v>0</v>
      </c>
      <c r="S242" s="5">
        <f>SUMIFS('XBS '!T:T,'XBS '!L:L,' General Stock Summary View  '!B242,'XBS '!H:H,' General Stock Summary View  '!$S$2,'XBS '!C:C,' General Stock Summary View  '!C242)</f>
        <v>0</v>
      </c>
      <c r="T242" s="3">
        <f>SUMIFS('PowerApp_Physical count'!H:H,'PowerApp_Physical count'!B:B,' General Stock Summary View  '!$S$2,'PowerApp_Physical count'!C:C,' General Stock Summary View  '!C242,'PowerApp_Physical count'!A:A,' General Stock Summary View  '!B242)</f>
        <v>0</v>
      </c>
      <c r="U242" s="4">
        <f t="shared" si="4"/>
        <v>0</v>
      </c>
      <c r="V242" s="2">
        <f>SUMIFS('XBS '!T:T,'XBS '!H:H,' General Stock Summary View  '!$V$2,'XBS '!B:B,' General Stock Summary View  '!C242,'XBS '!L:L,' General Stock Summary View  '!B242)</f>
        <v>0</v>
      </c>
      <c r="W242" s="3">
        <f>SUMIFS('PowerApp_Physical count'!H:H,'PowerApp_Physical count'!B:B,' General Stock Summary View  '!$V$2,'PowerApp_Physical count'!C:C,' General Stock Summary View  '!C242,'PowerApp_Physical count'!A:A,' General Stock Summary View  '!B242)</f>
        <v>0</v>
      </c>
      <c r="X242" s="4">
        <f t="shared" si="12"/>
        <v>0</v>
      </c>
      <c r="Y242" s="5">
        <f>SUMIFS('XBS '!T:T,'XBS '!H:H,' General Stock Summary View  '!$Y$2,'XBS '!B:B,' General Stock Summary View  '!C242,'XBS '!L:L,' General Stock Summary View  '!B242)</f>
        <v>0</v>
      </c>
      <c r="Z242" s="3">
        <f>SUMIFS('PowerApp_Physical count'!H:H,'PowerApp_Physical count'!B:B,' General Stock Summary View  '!$Y$2,'PowerApp_Physical count'!C:C,' General Stock Summary View  '!C242,'PowerApp_Physical count'!A:A,' General Stock Summary View  '!B242)</f>
        <v>0</v>
      </c>
      <c r="AA242" s="4">
        <f t="shared" si="13"/>
        <v>0</v>
      </c>
      <c r="AB242" s="5">
        <f>SUMIFS('XBS '!T:T,'XBS '!H:H,' General Stock Summary View  '!$AB$2,'XBS '!B:B,' General Stock Summary View  '!C242,'XBS '!L:L,' General Stock Summary View  '!B242)</f>
        <v>0</v>
      </c>
      <c r="AC242" s="3">
        <f>SUMIFS('PowerApp_Physical count'!H:H,'PowerApp_Physical count'!B:B,' General Stock Summary View  '!$AB$2,'PowerApp_Physical count'!C:C,' General Stock Summary View  '!C242,'PowerApp_Physical count'!A:A,' General Stock Summary View  '!B242)</f>
        <v>0</v>
      </c>
      <c r="AD242" s="6">
        <f t="shared" si="14"/>
        <v>0</v>
      </c>
      <c r="AE242" s="7">
        <f t="shared" si="8"/>
        <v>79.63333333333334</v>
      </c>
      <c r="AF242" s="8">
        <f t="shared" si="9"/>
        <v>0</v>
      </c>
      <c r="AG242" s="112"/>
    </row>
    <row r="243" spans="2:33" s="113" customFormat="1" ht="61.15">
      <c r="B243" s="117" t="s">
        <v>246</v>
      </c>
      <c r="C243" s="111" t="s">
        <v>240</v>
      </c>
      <c r="D243" s="11">
        <f>SUMIFS('XBS '!T:T,'XBS '!C:C,' General Stock Summary View  '!C243,'XBS '!L:L,' General Stock Summary View  '!B243)</f>
        <v>49.1</v>
      </c>
      <c r="E243" s="2">
        <f>SUMIFS('Blocked for Processing'!P:P,'Blocked for Processing'!I:I,' General Stock Summary View  '!B243,'Blocked for Processing'!C:C,' General Stock Summary View  '!C243)</f>
        <v>0</v>
      </c>
      <c r="F243" s="122">
        <f t="shared" si="0"/>
        <v>49.1</v>
      </c>
      <c r="G243" s="148">
        <f>SUMIFS('XBS '!T:T,'XBS '!H:H,' General Stock Summary View  '!$G$2,'XBS '!L:L,' General Stock Summary View  '!B243,'XBS '!C:C,' General Stock Summary View  '!C243)</f>
        <v>49.1</v>
      </c>
      <c r="H243" s="3">
        <f>SUMIFS('PowerApp_Physical count'!H:H,'PowerApp_Physical count'!B:B,' General Stock Summary View  '!$G$2,'PowerApp_Physical count'!C:C,' General Stock Summary View  '!C243,'PowerApp_Physical count'!A:A,' General Stock Summary View  '!B243)</f>
        <v>49.1</v>
      </c>
      <c r="I243" s="154">
        <f t="shared" si="42"/>
        <v>0</v>
      </c>
      <c r="J243" s="11">
        <f>SUMIFS('XBS '!T:T,'XBS '!H:H,' General Stock Summary View  '!$J$2,'XBS '!L:L,' General Stock Summary View  '!B243,'XBS '!C:C,' General Stock Summary View  '!C243)</f>
        <v>0</v>
      </c>
      <c r="K243" s="157">
        <f>SUMIFS('PowerApp_Physical count'!H:H,'PowerApp_Physical count'!B:B,' General Stock Summary View  '!$J$2,'PowerApp_Physical count'!C:C,' General Stock Summary View  '!C243,'PowerApp_Physical count'!A:A,' General Stock Summary View  '!B243)</f>
        <v>0</v>
      </c>
      <c r="L243" s="127">
        <f t="shared" si="15"/>
        <v>0</v>
      </c>
      <c r="M243" s="126">
        <f t="shared" si="2"/>
        <v>49.1</v>
      </c>
      <c r="N243" s="11">
        <f t="shared" si="3"/>
        <v>49.1</v>
      </c>
      <c r="O243" s="144">
        <f t="shared" si="10"/>
        <v>0</v>
      </c>
      <c r="P243" s="2">
        <f>SUMIFS('XBS '!T:T,'XBS '!H:H,' General Stock Summary View  '!$P$2,'XBS '!L:L,' General Stock Summary View  '!B243,'XBS '!C:C,' General Stock Summary View  '!C243)</f>
        <v>0</v>
      </c>
      <c r="Q243" s="3">
        <f>SUMIFS('PowerApp_Physical count'!H:H,'PowerApp_Physical count'!B:B,' General Stock Summary View  '!$P$2,'PowerApp_Physical count'!C:C,' General Stock Summary View  '!C243,'PowerApp_Physical count'!A:A,' General Stock Summary View  '!B243)</f>
        <v>0</v>
      </c>
      <c r="R243" s="4">
        <f t="shared" si="11"/>
        <v>0</v>
      </c>
      <c r="S243" s="5">
        <f>SUMIFS('XBS '!T:T,'XBS '!L:L,' General Stock Summary View  '!B243,'XBS '!H:H,' General Stock Summary View  '!$S$2,'XBS '!C:C,' General Stock Summary View  '!C243)</f>
        <v>0</v>
      </c>
      <c r="T243" s="3">
        <f>SUMIFS('PowerApp_Physical count'!H:H,'PowerApp_Physical count'!B:B,' General Stock Summary View  '!$S$2,'PowerApp_Physical count'!C:C,' General Stock Summary View  '!C243,'PowerApp_Physical count'!A:A,' General Stock Summary View  '!B243)</f>
        <v>0</v>
      </c>
      <c r="U243" s="4">
        <f t="shared" si="4"/>
        <v>0</v>
      </c>
      <c r="V243" s="2">
        <f>SUMIFS('XBS '!T:T,'XBS '!H:H,' General Stock Summary View  '!$V$2,'XBS '!B:B,' General Stock Summary View  '!C243,'XBS '!L:L,' General Stock Summary View  '!B243)</f>
        <v>0</v>
      </c>
      <c r="W243" s="3">
        <f>SUMIFS('PowerApp_Physical count'!H:H,'PowerApp_Physical count'!B:B,' General Stock Summary View  '!$V$2,'PowerApp_Physical count'!C:C,' General Stock Summary View  '!C243,'PowerApp_Physical count'!A:A,' General Stock Summary View  '!B243)</f>
        <v>0</v>
      </c>
      <c r="X243" s="4">
        <f t="shared" si="12"/>
        <v>0</v>
      </c>
      <c r="Y243" s="5">
        <f>SUMIFS('XBS '!T:T,'XBS '!H:H,' General Stock Summary View  '!$Y$2,'XBS '!B:B,' General Stock Summary View  '!C243,'XBS '!L:L,' General Stock Summary View  '!B243)</f>
        <v>0</v>
      </c>
      <c r="Z243" s="3">
        <f>SUMIFS('PowerApp_Physical count'!H:H,'PowerApp_Physical count'!B:B,' General Stock Summary View  '!$Y$2,'PowerApp_Physical count'!C:C,' General Stock Summary View  '!C243,'PowerApp_Physical count'!A:A,' General Stock Summary View  '!B243)</f>
        <v>0</v>
      </c>
      <c r="AA243" s="4">
        <f t="shared" si="13"/>
        <v>0</v>
      </c>
      <c r="AB243" s="5">
        <f>SUMIFS('XBS '!T:T,'XBS '!H:H,' General Stock Summary View  '!$AB$2,'XBS '!B:B,' General Stock Summary View  '!C243,'XBS '!L:L,' General Stock Summary View  '!B243)</f>
        <v>0</v>
      </c>
      <c r="AC243" s="3">
        <f>SUMIFS('PowerApp_Physical count'!H:H,'PowerApp_Physical count'!B:B,' General Stock Summary View  '!$AB$2,'PowerApp_Physical count'!C:C,' General Stock Summary View  '!C243,'PowerApp_Physical count'!A:A,' General Stock Summary View  '!B243)</f>
        <v>0</v>
      </c>
      <c r="AD243" s="6">
        <f t="shared" si="14"/>
        <v>0</v>
      </c>
      <c r="AE243" s="7">
        <f t="shared" si="8"/>
        <v>49.1</v>
      </c>
      <c r="AF243" s="8">
        <f t="shared" si="9"/>
        <v>0</v>
      </c>
      <c r="AG243" s="112"/>
    </row>
    <row r="244" spans="2:33" s="113" customFormat="1" ht="61.15">
      <c r="B244" s="117" t="s">
        <v>247</v>
      </c>
      <c r="C244" s="111" t="s">
        <v>240</v>
      </c>
      <c r="D244" s="11">
        <f>SUMIFS('XBS '!T:T,'XBS '!C:C,' General Stock Summary View  '!C244,'XBS '!L:L,' General Stock Summary View  '!B244)</f>
        <v>54.25</v>
      </c>
      <c r="E244" s="2">
        <f>SUMIFS('Blocked for Processing'!P:P,'Blocked for Processing'!I:I,' General Stock Summary View  '!B244,'Blocked for Processing'!C:C,' General Stock Summary View  '!C244)</f>
        <v>0</v>
      </c>
      <c r="F244" s="122">
        <f t="shared" si="0"/>
        <v>54.25</v>
      </c>
      <c r="G244" s="148">
        <f>SUMIFS('XBS '!T:T,'XBS '!H:H,' General Stock Summary View  '!$G$2,'XBS '!L:L,' General Stock Summary View  '!B244,'XBS '!C:C,' General Stock Summary View  '!C244)</f>
        <v>54.25</v>
      </c>
      <c r="H244" s="3">
        <f>SUMIFS('PowerApp_Physical count'!H:H,'PowerApp_Physical count'!B:B,' General Stock Summary View  '!$G$2,'PowerApp_Physical count'!C:C,' General Stock Summary View  '!C244,'PowerApp_Physical count'!A:A,' General Stock Summary View  '!B244)</f>
        <v>54.25</v>
      </c>
      <c r="I244" s="154">
        <f t="shared" si="42"/>
        <v>0</v>
      </c>
      <c r="J244" s="11">
        <f>SUMIFS('XBS '!T:T,'XBS '!H:H,' General Stock Summary View  '!$J$2,'XBS '!L:L,' General Stock Summary View  '!B244,'XBS '!C:C,' General Stock Summary View  '!C244)</f>
        <v>0</v>
      </c>
      <c r="K244" s="157">
        <f>SUMIFS('PowerApp_Physical count'!H:H,'PowerApp_Physical count'!B:B,' General Stock Summary View  '!$J$2,'PowerApp_Physical count'!C:C,' General Stock Summary View  '!C244,'PowerApp_Physical count'!A:A,' General Stock Summary View  '!B244)</f>
        <v>0</v>
      </c>
      <c r="L244" s="127">
        <f t="shared" si="15"/>
        <v>0</v>
      </c>
      <c r="M244" s="126">
        <f t="shared" si="2"/>
        <v>54.25</v>
      </c>
      <c r="N244" s="11">
        <f t="shared" si="3"/>
        <v>54.25</v>
      </c>
      <c r="O244" s="144">
        <f t="shared" si="10"/>
        <v>0</v>
      </c>
      <c r="P244" s="2">
        <f>SUMIFS('XBS '!T:T,'XBS '!H:H,' General Stock Summary View  '!$P$2,'XBS '!L:L,' General Stock Summary View  '!B244,'XBS '!C:C,' General Stock Summary View  '!C244)</f>
        <v>0</v>
      </c>
      <c r="Q244" s="3">
        <f>SUMIFS('PowerApp_Physical count'!H:H,'PowerApp_Physical count'!B:B,' General Stock Summary View  '!$P$2,'PowerApp_Physical count'!C:C,' General Stock Summary View  '!C244,'PowerApp_Physical count'!A:A,' General Stock Summary View  '!B244)</f>
        <v>0</v>
      </c>
      <c r="R244" s="4">
        <f t="shared" si="11"/>
        <v>0</v>
      </c>
      <c r="S244" s="5">
        <f>SUMIFS('XBS '!T:T,'XBS '!L:L,' General Stock Summary View  '!B244,'XBS '!H:H,' General Stock Summary View  '!$S$2,'XBS '!C:C,' General Stock Summary View  '!C244)</f>
        <v>0</v>
      </c>
      <c r="T244" s="3">
        <f>SUMIFS('PowerApp_Physical count'!H:H,'PowerApp_Physical count'!B:B,' General Stock Summary View  '!$S$2,'PowerApp_Physical count'!C:C,' General Stock Summary View  '!C244,'PowerApp_Physical count'!A:A,' General Stock Summary View  '!B244)</f>
        <v>0</v>
      </c>
      <c r="U244" s="4">
        <f t="shared" si="4"/>
        <v>0</v>
      </c>
      <c r="V244" s="2">
        <f>SUMIFS('XBS '!T:T,'XBS '!H:H,' General Stock Summary View  '!$V$2,'XBS '!B:B,' General Stock Summary View  '!C244,'XBS '!L:L,' General Stock Summary View  '!B244)</f>
        <v>0</v>
      </c>
      <c r="W244" s="3">
        <f>SUMIFS('PowerApp_Physical count'!H:H,'PowerApp_Physical count'!B:B,' General Stock Summary View  '!$V$2,'PowerApp_Physical count'!C:C,' General Stock Summary View  '!C244,'PowerApp_Physical count'!A:A,' General Stock Summary View  '!B244)</f>
        <v>0</v>
      </c>
      <c r="X244" s="4">
        <f t="shared" si="12"/>
        <v>0</v>
      </c>
      <c r="Y244" s="5">
        <f>SUMIFS('XBS '!T:T,'XBS '!H:H,' General Stock Summary View  '!$Y$2,'XBS '!B:B,' General Stock Summary View  '!C244,'XBS '!L:L,' General Stock Summary View  '!B244)</f>
        <v>0</v>
      </c>
      <c r="Z244" s="3">
        <f>SUMIFS('PowerApp_Physical count'!H:H,'PowerApp_Physical count'!B:B,' General Stock Summary View  '!$Y$2,'PowerApp_Physical count'!C:C,' General Stock Summary View  '!C244,'PowerApp_Physical count'!A:A,' General Stock Summary View  '!B244)</f>
        <v>0</v>
      </c>
      <c r="AA244" s="4">
        <f t="shared" si="13"/>
        <v>0</v>
      </c>
      <c r="AB244" s="5">
        <f>SUMIFS('XBS '!T:T,'XBS '!H:H,' General Stock Summary View  '!$AB$2,'XBS '!B:B,' General Stock Summary View  '!C244,'XBS '!L:L,' General Stock Summary View  '!B244)</f>
        <v>0</v>
      </c>
      <c r="AC244" s="3">
        <f>SUMIFS('PowerApp_Physical count'!H:H,'PowerApp_Physical count'!B:B,' General Stock Summary View  '!$AB$2,'PowerApp_Physical count'!C:C,' General Stock Summary View  '!C244,'PowerApp_Physical count'!A:A,' General Stock Summary View  '!B244)</f>
        <v>0</v>
      </c>
      <c r="AD244" s="6">
        <f t="shared" si="14"/>
        <v>0</v>
      </c>
      <c r="AE244" s="7">
        <f t="shared" si="8"/>
        <v>54.25</v>
      </c>
      <c r="AF244" s="8">
        <f t="shared" si="9"/>
        <v>0</v>
      </c>
      <c r="AG244" s="112"/>
    </row>
    <row r="245" spans="2:33" s="113" customFormat="1" ht="61.15">
      <c r="B245" s="117" t="s">
        <v>248</v>
      </c>
      <c r="C245" s="111" t="s">
        <v>240</v>
      </c>
      <c r="D245" s="11">
        <f>SUMIFS('XBS '!T:T,'XBS '!C:C,' General Stock Summary View  '!C245,'XBS '!L:L,' General Stock Summary View  '!B245)</f>
        <v>129.05000000000001</v>
      </c>
      <c r="E245" s="2">
        <f>SUMIFS('Blocked for Processing'!P:P,'Blocked for Processing'!I:I,' General Stock Summary View  '!B245,'Blocked for Processing'!C:C,' General Stock Summary View  '!C245)</f>
        <v>0</v>
      </c>
      <c r="F245" s="122">
        <f t="shared" si="0"/>
        <v>129.05000000000001</v>
      </c>
      <c r="G245" s="148">
        <f>SUMIFS('XBS '!T:T,'XBS '!H:H,' General Stock Summary View  '!$G$2,'XBS '!L:L,' General Stock Summary View  '!B245,'XBS '!C:C,' General Stock Summary View  '!C245)</f>
        <v>129.05000000000001</v>
      </c>
      <c r="H245" s="3">
        <f>SUMIFS('PowerApp_Physical count'!H:H,'PowerApp_Physical count'!B:B,' General Stock Summary View  '!$G$2,'PowerApp_Physical count'!C:C,' General Stock Summary View  '!C245,'PowerApp_Physical count'!A:A,' General Stock Summary View  '!B245)</f>
        <v>127.06666666666666</v>
      </c>
      <c r="I245" s="154">
        <f t="shared" si="42"/>
        <v>-1.9833333333333485</v>
      </c>
      <c r="J245" s="11">
        <f>SUMIFS('XBS '!T:T,'XBS '!H:H,' General Stock Summary View  '!$J$2,'XBS '!L:L,' General Stock Summary View  '!B245,'XBS '!C:C,' General Stock Summary View  '!C245)</f>
        <v>0</v>
      </c>
      <c r="K245" s="157">
        <f>SUMIFS('PowerApp_Physical count'!H:H,'PowerApp_Physical count'!B:B,' General Stock Summary View  '!$J$2,'PowerApp_Physical count'!C:C,' General Stock Summary View  '!C245,'PowerApp_Physical count'!A:A,' General Stock Summary View  '!B245)</f>
        <v>0</v>
      </c>
      <c r="L245" s="127">
        <f t="shared" si="15"/>
        <v>0</v>
      </c>
      <c r="M245" s="126">
        <f t="shared" si="2"/>
        <v>129.05000000000001</v>
      </c>
      <c r="N245" s="11">
        <f t="shared" si="3"/>
        <v>127.06666666666666</v>
      </c>
      <c r="O245" s="144">
        <f t="shared" si="10"/>
        <v>-1.9833333333333485</v>
      </c>
      <c r="P245" s="2">
        <f>SUMIFS('XBS '!T:T,'XBS '!H:H,' General Stock Summary View  '!$P$2,'XBS '!L:L,' General Stock Summary View  '!B245,'XBS '!C:C,' General Stock Summary View  '!C245)</f>
        <v>0</v>
      </c>
      <c r="Q245" s="3">
        <f>SUMIFS('PowerApp_Physical count'!H:H,'PowerApp_Physical count'!B:B,' General Stock Summary View  '!$P$2,'PowerApp_Physical count'!C:C,' General Stock Summary View  '!C245,'PowerApp_Physical count'!A:A,' General Stock Summary View  '!B245)</f>
        <v>0</v>
      </c>
      <c r="R245" s="4">
        <f t="shared" si="11"/>
        <v>0</v>
      </c>
      <c r="S245" s="5">
        <f>SUMIFS('XBS '!T:T,'XBS '!L:L,' General Stock Summary View  '!B245,'XBS '!H:H,' General Stock Summary View  '!$S$2,'XBS '!C:C,' General Stock Summary View  '!C245)</f>
        <v>0</v>
      </c>
      <c r="T245" s="3">
        <f>SUMIFS('PowerApp_Physical count'!H:H,'PowerApp_Physical count'!B:B,' General Stock Summary View  '!$S$2,'PowerApp_Physical count'!C:C,' General Stock Summary View  '!C245,'PowerApp_Physical count'!A:A,' General Stock Summary View  '!B245)</f>
        <v>0</v>
      </c>
      <c r="U245" s="4">
        <f t="shared" si="4"/>
        <v>0</v>
      </c>
      <c r="V245" s="2">
        <f>SUMIFS('XBS '!T:T,'XBS '!H:H,' General Stock Summary View  '!$V$2,'XBS '!B:B,' General Stock Summary View  '!C245,'XBS '!L:L,' General Stock Summary View  '!B245)</f>
        <v>0</v>
      </c>
      <c r="W245" s="3">
        <f>SUMIFS('PowerApp_Physical count'!H:H,'PowerApp_Physical count'!B:B,' General Stock Summary View  '!$V$2,'PowerApp_Physical count'!C:C,' General Stock Summary View  '!C245,'PowerApp_Physical count'!A:A,' General Stock Summary View  '!B245)</f>
        <v>0</v>
      </c>
      <c r="X245" s="4">
        <f t="shared" si="12"/>
        <v>0</v>
      </c>
      <c r="Y245" s="5">
        <f>SUMIFS('XBS '!T:T,'XBS '!H:H,' General Stock Summary View  '!$Y$2,'XBS '!B:B,' General Stock Summary View  '!C245,'XBS '!L:L,' General Stock Summary View  '!B245)</f>
        <v>0</v>
      </c>
      <c r="Z245" s="3">
        <f>SUMIFS('PowerApp_Physical count'!H:H,'PowerApp_Physical count'!B:B,' General Stock Summary View  '!$Y$2,'PowerApp_Physical count'!C:C,' General Stock Summary View  '!C245,'PowerApp_Physical count'!A:A,' General Stock Summary View  '!B245)</f>
        <v>0</v>
      </c>
      <c r="AA245" s="4">
        <f t="shared" si="13"/>
        <v>0</v>
      </c>
      <c r="AB245" s="5">
        <f>SUMIFS('XBS '!T:T,'XBS '!H:H,' General Stock Summary View  '!$AB$2,'XBS '!B:B,' General Stock Summary View  '!C245,'XBS '!L:L,' General Stock Summary View  '!B245)</f>
        <v>0</v>
      </c>
      <c r="AC245" s="3">
        <f>SUMIFS('PowerApp_Physical count'!H:H,'PowerApp_Physical count'!B:B,' General Stock Summary View  '!$AB$2,'PowerApp_Physical count'!C:C,' General Stock Summary View  '!C245,'PowerApp_Physical count'!A:A,' General Stock Summary View  '!B245)</f>
        <v>0</v>
      </c>
      <c r="AD245" s="6">
        <f t="shared" si="14"/>
        <v>0</v>
      </c>
      <c r="AE245" s="7">
        <f t="shared" si="8"/>
        <v>127.06666666666666</v>
      </c>
      <c r="AF245" s="8">
        <f t="shared" si="9"/>
        <v>-1.9833333333333485</v>
      </c>
      <c r="AG245" s="112"/>
    </row>
    <row r="246" spans="2:33" s="113" customFormat="1" ht="61.15">
      <c r="B246" s="117" t="s">
        <v>249</v>
      </c>
      <c r="C246" s="111" t="s">
        <v>240</v>
      </c>
      <c r="D246" s="11">
        <f>SUMIFS('XBS '!T:T,'XBS '!C:C,' General Stock Summary View  '!C246,'XBS '!L:L,' General Stock Summary View  '!B246)</f>
        <v>1.3833333333333333</v>
      </c>
      <c r="E246" s="2">
        <f>SUMIFS('Blocked for Processing'!P:P,'Blocked for Processing'!I:I,' General Stock Summary View  '!B246,'Blocked for Processing'!C:C,' General Stock Summary View  '!C246)</f>
        <v>0</v>
      </c>
      <c r="F246" s="122">
        <f t="shared" si="0"/>
        <v>1.3833333333333333</v>
      </c>
      <c r="G246" s="148">
        <f>SUMIFS('XBS '!T:T,'XBS '!H:H,' General Stock Summary View  '!$G$2,'XBS '!L:L,' General Stock Summary View  '!B246,'XBS '!C:C,' General Stock Summary View  '!C246)</f>
        <v>1.3833333333333333</v>
      </c>
      <c r="H246" s="3">
        <f>SUMIFS('PowerApp_Physical count'!H:H,'PowerApp_Physical count'!B:B,' General Stock Summary View  '!$G$2,'PowerApp_Physical count'!C:C,' General Stock Summary View  '!C246,'PowerApp_Physical count'!A:A,' General Stock Summary View  '!B246)</f>
        <v>1.3833333333333333</v>
      </c>
      <c r="I246" s="154">
        <f t="shared" si="42"/>
        <v>0</v>
      </c>
      <c r="J246" s="11">
        <f>SUMIFS('XBS '!T:T,'XBS '!H:H,' General Stock Summary View  '!$J$2,'XBS '!L:L,' General Stock Summary View  '!B246,'XBS '!C:C,' General Stock Summary View  '!C246)</f>
        <v>0</v>
      </c>
      <c r="K246" s="157">
        <f>SUMIFS('PowerApp_Physical count'!H:H,'PowerApp_Physical count'!B:B,' General Stock Summary View  '!$J$2,'PowerApp_Physical count'!C:C,' General Stock Summary View  '!C246,'PowerApp_Physical count'!A:A,' General Stock Summary View  '!B246)</f>
        <v>0</v>
      </c>
      <c r="L246" s="127">
        <f t="shared" si="15"/>
        <v>0</v>
      </c>
      <c r="M246" s="126">
        <f t="shared" si="2"/>
        <v>1.3833333333333333</v>
      </c>
      <c r="N246" s="11">
        <f t="shared" si="3"/>
        <v>1.3833333333333333</v>
      </c>
      <c r="O246" s="144">
        <f t="shared" si="10"/>
        <v>0</v>
      </c>
      <c r="P246" s="2">
        <f>SUMIFS('XBS '!T:T,'XBS '!H:H,' General Stock Summary View  '!$P$2,'XBS '!L:L,' General Stock Summary View  '!B246,'XBS '!C:C,' General Stock Summary View  '!C246)</f>
        <v>0</v>
      </c>
      <c r="Q246" s="3">
        <f>SUMIFS('PowerApp_Physical count'!H:H,'PowerApp_Physical count'!B:B,' General Stock Summary View  '!$P$2,'PowerApp_Physical count'!C:C,' General Stock Summary View  '!C246,'PowerApp_Physical count'!A:A,' General Stock Summary View  '!B246)</f>
        <v>0</v>
      </c>
      <c r="R246" s="4">
        <f t="shared" si="11"/>
        <v>0</v>
      </c>
      <c r="S246" s="5">
        <f>SUMIFS('XBS '!T:T,'XBS '!L:L,' General Stock Summary View  '!B246,'XBS '!H:H,' General Stock Summary View  '!$S$2,'XBS '!C:C,' General Stock Summary View  '!C246)</f>
        <v>0</v>
      </c>
      <c r="T246" s="3">
        <f>SUMIFS('PowerApp_Physical count'!H:H,'PowerApp_Physical count'!B:B,' General Stock Summary View  '!$S$2,'PowerApp_Physical count'!C:C,' General Stock Summary View  '!C246,'PowerApp_Physical count'!A:A,' General Stock Summary View  '!B246)</f>
        <v>0</v>
      </c>
      <c r="U246" s="4">
        <f t="shared" si="4"/>
        <v>0</v>
      </c>
      <c r="V246" s="2">
        <f>SUMIFS('XBS '!T:T,'XBS '!H:H,' General Stock Summary View  '!$V$2,'XBS '!B:B,' General Stock Summary View  '!C246,'XBS '!L:L,' General Stock Summary View  '!B246)</f>
        <v>0</v>
      </c>
      <c r="W246" s="3">
        <f>SUMIFS('PowerApp_Physical count'!H:H,'PowerApp_Physical count'!B:B,' General Stock Summary View  '!$V$2,'PowerApp_Physical count'!C:C,' General Stock Summary View  '!C246,'PowerApp_Physical count'!A:A,' General Stock Summary View  '!B246)</f>
        <v>0</v>
      </c>
      <c r="X246" s="4">
        <f t="shared" si="12"/>
        <v>0</v>
      </c>
      <c r="Y246" s="5">
        <f>SUMIFS('XBS '!T:T,'XBS '!H:H,' General Stock Summary View  '!$Y$2,'XBS '!B:B,' General Stock Summary View  '!C246,'XBS '!L:L,' General Stock Summary View  '!B246)</f>
        <v>0</v>
      </c>
      <c r="Z246" s="3">
        <f>SUMIFS('PowerApp_Physical count'!H:H,'PowerApp_Physical count'!B:B,' General Stock Summary View  '!$Y$2,'PowerApp_Physical count'!C:C,' General Stock Summary View  '!C246,'PowerApp_Physical count'!A:A,' General Stock Summary View  '!B246)</f>
        <v>0</v>
      </c>
      <c r="AA246" s="4">
        <f t="shared" si="13"/>
        <v>0</v>
      </c>
      <c r="AB246" s="5">
        <f>SUMIFS('XBS '!T:T,'XBS '!H:H,' General Stock Summary View  '!$AB$2,'XBS '!B:B,' General Stock Summary View  '!C246,'XBS '!L:L,' General Stock Summary View  '!B246)</f>
        <v>0</v>
      </c>
      <c r="AC246" s="3">
        <f>SUMIFS('PowerApp_Physical count'!H:H,'PowerApp_Physical count'!B:B,' General Stock Summary View  '!$AB$2,'PowerApp_Physical count'!C:C,' General Stock Summary View  '!C246,'PowerApp_Physical count'!A:A,' General Stock Summary View  '!B246)</f>
        <v>0</v>
      </c>
      <c r="AD246" s="6">
        <f t="shared" si="14"/>
        <v>0</v>
      </c>
      <c r="AE246" s="7">
        <f t="shared" si="8"/>
        <v>1.3833333333333333</v>
      </c>
      <c r="AF246" s="8">
        <f t="shared" si="9"/>
        <v>0</v>
      </c>
      <c r="AG246" s="112"/>
    </row>
    <row r="247" spans="2:33" s="113" customFormat="1" ht="61.15">
      <c r="B247" s="117" t="s">
        <v>250</v>
      </c>
      <c r="C247" s="111" t="s">
        <v>240</v>
      </c>
      <c r="D247" s="11">
        <f>SUMIFS('XBS '!T:T,'XBS '!C:C,' General Stock Summary View  '!C247,'XBS '!L:L,' General Stock Summary View  '!B247)</f>
        <v>44.85</v>
      </c>
      <c r="E247" s="2">
        <f>SUMIFS('Blocked for Processing'!P:P,'Blocked for Processing'!I:I,' General Stock Summary View  '!B247,'Blocked for Processing'!C:C,' General Stock Summary View  '!C247)</f>
        <v>0</v>
      </c>
      <c r="F247" s="122">
        <f t="shared" si="0"/>
        <v>44.85</v>
      </c>
      <c r="G247" s="148">
        <f>SUMIFS('XBS '!T:T,'XBS '!H:H,' General Stock Summary View  '!$G$2,'XBS '!L:L,' General Stock Summary View  '!B247,'XBS '!C:C,' General Stock Summary View  '!C247)</f>
        <v>44.85</v>
      </c>
      <c r="H247" s="3">
        <f>SUMIFS('PowerApp_Physical count'!H:H,'PowerApp_Physical count'!B:B,' General Stock Summary View  '!$G$2,'PowerApp_Physical count'!C:C,' General Stock Summary View  '!C247,'PowerApp_Physical count'!A:A,' General Stock Summary View  '!B247)</f>
        <v>44.85</v>
      </c>
      <c r="I247" s="154">
        <f t="shared" si="42"/>
        <v>0</v>
      </c>
      <c r="J247" s="11">
        <f>SUMIFS('XBS '!T:T,'XBS '!H:H,' General Stock Summary View  '!$J$2,'XBS '!L:L,' General Stock Summary View  '!B247,'XBS '!C:C,' General Stock Summary View  '!C247)</f>
        <v>0</v>
      </c>
      <c r="K247" s="157">
        <f>SUMIFS('PowerApp_Physical count'!H:H,'PowerApp_Physical count'!B:B,' General Stock Summary View  '!$J$2,'PowerApp_Physical count'!C:C,' General Stock Summary View  '!C247,'PowerApp_Physical count'!A:A,' General Stock Summary View  '!B247)</f>
        <v>0</v>
      </c>
      <c r="L247" s="127">
        <f t="shared" si="15"/>
        <v>0</v>
      </c>
      <c r="M247" s="126">
        <f t="shared" si="2"/>
        <v>44.85</v>
      </c>
      <c r="N247" s="11">
        <f t="shared" si="3"/>
        <v>44.85</v>
      </c>
      <c r="O247" s="144">
        <f t="shared" si="10"/>
        <v>0</v>
      </c>
      <c r="P247" s="2">
        <f>SUMIFS('XBS '!T:T,'XBS '!H:H,' General Stock Summary View  '!$P$2,'XBS '!L:L,' General Stock Summary View  '!B247,'XBS '!C:C,' General Stock Summary View  '!C247)</f>
        <v>0</v>
      </c>
      <c r="Q247" s="3">
        <f>SUMIFS('PowerApp_Physical count'!H:H,'PowerApp_Physical count'!B:B,' General Stock Summary View  '!$P$2,'PowerApp_Physical count'!C:C,' General Stock Summary View  '!C247,'PowerApp_Physical count'!A:A,' General Stock Summary View  '!B247)</f>
        <v>0</v>
      </c>
      <c r="R247" s="4">
        <f t="shared" si="11"/>
        <v>0</v>
      </c>
      <c r="S247" s="5">
        <f>SUMIFS('XBS '!T:T,'XBS '!L:L,' General Stock Summary View  '!B247,'XBS '!H:H,' General Stock Summary View  '!$S$2,'XBS '!C:C,' General Stock Summary View  '!C247)</f>
        <v>0</v>
      </c>
      <c r="T247" s="3">
        <f>SUMIFS('PowerApp_Physical count'!H:H,'PowerApp_Physical count'!B:B,' General Stock Summary View  '!$S$2,'PowerApp_Physical count'!C:C,' General Stock Summary View  '!C247,'PowerApp_Physical count'!A:A,' General Stock Summary View  '!B247)</f>
        <v>0</v>
      </c>
      <c r="U247" s="4">
        <f t="shared" si="4"/>
        <v>0</v>
      </c>
      <c r="V247" s="2">
        <f>SUMIFS('XBS '!T:T,'XBS '!H:H,' General Stock Summary View  '!$V$2,'XBS '!B:B,' General Stock Summary View  '!C247,'XBS '!L:L,' General Stock Summary View  '!B247)</f>
        <v>0</v>
      </c>
      <c r="W247" s="3">
        <f>SUMIFS('PowerApp_Physical count'!H:H,'PowerApp_Physical count'!B:B,' General Stock Summary View  '!$V$2,'PowerApp_Physical count'!C:C,' General Stock Summary View  '!C247,'PowerApp_Physical count'!A:A,' General Stock Summary View  '!B247)</f>
        <v>0</v>
      </c>
      <c r="X247" s="4">
        <f t="shared" si="12"/>
        <v>0</v>
      </c>
      <c r="Y247" s="5">
        <f>SUMIFS('XBS '!T:T,'XBS '!H:H,' General Stock Summary View  '!$Y$2,'XBS '!B:B,' General Stock Summary View  '!C247,'XBS '!L:L,' General Stock Summary View  '!B247)</f>
        <v>0</v>
      </c>
      <c r="Z247" s="3">
        <f>SUMIFS('PowerApp_Physical count'!H:H,'PowerApp_Physical count'!B:B,' General Stock Summary View  '!$Y$2,'PowerApp_Physical count'!C:C,' General Stock Summary View  '!C247,'PowerApp_Physical count'!A:A,' General Stock Summary View  '!B247)</f>
        <v>0</v>
      </c>
      <c r="AA247" s="4">
        <f t="shared" si="13"/>
        <v>0</v>
      </c>
      <c r="AB247" s="5">
        <f>SUMIFS('XBS '!T:T,'XBS '!H:H,' General Stock Summary View  '!$AB$2,'XBS '!B:B,' General Stock Summary View  '!C247,'XBS '!L:L,' General Stock Summary View  '!B247)</f>
        <v>0</v>
      </c>
      <c r="AC247" s="3">
        <f>SUMIFS('PowerApp_Physical count'!H:H,'PowerApp_Physical count'!B:B,' General Stock Summary View  '!$AB$2,'PowerApp_Physical count'!C:C,' General Stock Summary View  '!C247,'PowerApp_Physical count'!A:A,' General Stock Summary View  '!B247)</f>
        <v>0</v>
      </c>
      <c r="AD247" s="6">
        <f t="shared" si="14"/>
        <v>0</v>
      </c>
      <c r="AE247" s="7">
        <f t="shared" si="8"/>
        <v>44.85</v>
      </c>
      <c r="AF247" s="8">
        <f t="shared" si="9"/>
        <v>0</v>
      </c>
      <c r="AG247" s="112"/>
    </row>
    <row r="248" spans="2:33" s="113" customFormat="1" ht="61.15">
      <c r="B248" s="117" t="s">
        <v>251</v>
      </c>
      <c r="C248" s="111" t="s">
        <v>240</v>
      </c>
      <c r="D248" s="11">
        <f>SUMIFS('XBS '!T:T,'XBS '!C:C,' General Stock Summary View  '!C248,'XBS '!L:L,' General Stock Summary View  '!B248)</f>
        <v>37.700000000000003</v>
      </c>
      <c r="E248" s="2">
        <f>SUMIFS('Blocked for Processing'!P:P,'Blocked for Processing'!I:I,' General Stock Summary View  '!B248,'Blocked for Processing'!C:C,' General Stock Summary View  '!C248)</f>
        <v>0</v>
      </c>
      <c r="F248" s="122">
        <f t="shared" si="0"/>
        <v>37.700000000000003</v>
      </c>
      <c r="G248" s="148">
        <f>SUMIFS('XBS '!T:T,'XBS '!H:H,' General Stock Summary View  '!$G$2,'XBS '!L:L,' General Stock Summary View  '!B248,'XBS '!C:C,' General Stock Summary View  '!C248)</f>
        <v>37.700000000000003</v>
      </c>
      <c r="H248" s="3">
        <f>SUMIFS('PowerApp_Physical count'!H:H,'PowerApp_Physical count'!B:B,' General Stock Summary View  '!$G$2,'PowerApp_Physical count'!C:C,' General Stock Summary View  '!C248,'PowerApp_Physical count'!A:A,' General Stock Summary View  '!B248)</f>
        <v>37.700000000000003</v>
      </c>
      <c r="I248" s="154">
        <f t="shared" si="42"/>
        <v>0</v>
      </c>
      <c r="J248" s="11">
        <f>SUMIFS('XBS '!T:T,'XBS '!H:H,' General Stock Summary View  '!$J$2,'XBS '!L:L,' General Stock Summary View  '!B248,'XBS '!C:C,' General Stock Summary View  '!C248)</f>
        <v>0</v>
      </c>
      <c r="K248" s="157">
        <f>SUMIFS('PowerApp_Physical count'!H:H,'PowerApp_Physical count'!B:B,' General Stock Summary View  '!$J$2,'PowerApp_Physical count'!C:C,' General Stock Summary View  '!C248,'PowerApp_Physical count'!A:A,' General Stock Summary View  '!B248)</f>
        <v>0</v>
      </c>
      <c r="L248" s="127">
        <f t="shared" si="15"/>
        <v>0</v>
      </c>
      <c r="M248" s="126">
        <f t="shared" si="2"/>
        <v>37.700000000000003</v>
      </c>
      <c r="N248" s="11">
        <f t="shared" si="3"/>
        <v>37.700000000000003</v>
      </c>
      <c r="O248" s="144">
        <f t="shared" si="10"/>
        <v>0</v>
      </c>
      <c r="P248" s="2">
        <f>SUMIFS('XBS '!T:T,'XBS '!H:H,' General Stock Summary View  '!$P$2,'XBS '!L:L,' General Stock Summary View  '!B248,'XBS '!C:C,' General Stock Summary View  '!C248)</f>
        <v>0</v>
      </c>
      <c r="Q248" s="3">
        <f>SUMIFS('PowerApp_Physical count'!H:H,'PowerApp_Physical count'!B:B,' General Stock Summary View  '!$P$2,'PowerApp_Physical count'!C:C,' General Stock Summary View  '!C248,'PowerApp_Physical count'!A:A,' General Stock Summary View  '!B248)</f>
        <v>0</v>
      </c>
      <c r="R248" s="4">
        <f t="shared" si="11"/>
        <v>0</v>
      </c>
      <c r="S248" s="5">
        <f>SUMIFS('XBS '!T:T,'XBS '!L:L,' General Stock Summary View  '!B248,'XBS '!H:H,' General Stock Summary View  '!$S$2,'XBS '!C:C,' General Stock Summary View  '!C248)</f>
        <v>0</v>
      </c>
      <c r="T248" s="3">
        <f>SUMIFS('PowerApp_Physical count'!H:H,'PowerApp_Physical count'!B:B,' General Stock Summary View  '!$S$2,'PowerApp_Physical count'!C:C,' General Stock Summary View  '!C248,'PowerApp_Physical count'!A:A,' General Stock Summary View  '!B248)</f>
        <v>0</v>
      </c>
      <c r="U248" s="4">
        <f t="shared" si="4"/>
        <v>0</v>
      </c>
      <c r="V248" s="2">
        <f>SUMIFS('XBS '!T:T,'XBS '!H:H,' General Stock Summary View  '!$V$2,'XBS '!B:B,' General Stock Summary View  '!C248,'XBS '!L:L,' General Stock Summary View  '!B248)</f>
        <v>0</v>
      </c>
      <c r="W248" s="3">
        <f>SUMIFS('PowerApp_Physical count'!H:H,'PowerApp_Physical count'!B:B,' General Stock Summary View  '!$V$2,'PowerApp_Physical count'!C:C,' General Stock Summary View  '!C248,'PowerApp_Physical count'!A:A,' General Stock Summary View  '!B248)</f>
        <v>0</v>
      </c>
      <c r="X248" s="4">
        <f t="shared" si="12"/>
        <v>0</v>
      </c>
      <c r="Y248" s="5">
        <f>SUMIFS('XBS '!T:T,'XBS '!H:H,' General Stock Summary View  '!$Y$2,'XBS '!B:B,' General Stock Summary View  '!C248,'XBS '!L:L,' General Stock Summary View  '!B248)</f>
        <v>0</v>
      </c>
      <c r="Z248" s="3">
        <f>SUMIFS('PowerApp_Physical count'!H:H,'PowerApp_Physical count'!B:B,' General Stock Summary View  '!$Y$2,'PowerApp_Physical count'!C:C,' General Stock Summary View  '!C248,'PowerApp_Physical count'!A:A,' General Stock Summary View  '!B248)</f>
        <v>0</v>
      </c>
      <c r="AA248" s="4">
        <f t="shared" si="13"/>
        <v>0</v>
      </c>
      <c r="AB248" s="5">
        <f>SUMIFS('XBS '!T:T,'XBS '!H:H,' General Stock Summary View  '!$AB$2,'XBS '!B:B,' General Stock Summary View  '!C248,'XBS '!L:L,' General Stock Summary View  '!B248)</f>
        <v>0</v>
      </c>
      <c r="AC248" s="3">
        <f>SUMIFS('PowerApp_Physical count'!H:H,'PowerApp_Physical count'!B:B,' General Stock Summary View  '!$AB$2,'PowerApp_Physical count'!C:C,' General Stock Summary View  '!C248,'PowerApp_Physical count'!A:A,' General Stock Summary View  '!B248)</f>
        <v>0</v>
      </c>
      <c r="AD248" s="6">
        <f t="shared" si="14"/>
        <v>0</v>
      </c>
      <c r="AE248" s="7">
        <f t="shared" si="8"/>
        <v>37.700000000000003</v>
      </c>
      <c r="AF248" s="8">
        <f t="shared" si="9"/>
        <v>0</v>
      </c>
      <c r="AG248" s="112"/>
    </row>
    <row r="249" spans="2:33" s="113" customFormat="1" ht="61.15">
      <c r="B249" s="117" t="s">
        <v>252</v>
      </c>
      <c r="C249" s="111" t="s">
        <v>240</v>
      </c>
      <c r="D249" s="11">
        <f>SUMIFS('XBS '!T:T,'XBS '!C:C,' General Stock Summary View  '!C249,'XBS '!L:L,' General Stock Summary View  '!B249)</f>
        <v>147.44999999999999</v>
      </c>
      <c r="E249" s="2">
        <f>SUMIFS('Blocked for Processing'!P:P,'Blocked for Processing'!I:I,' General Stock Summary View  '!B249,'Blocked for Processing'!C:C,' General Stock Summary View  '!C249)</f>
        <v>0</v>
      </c>
      <c r="F249" s="122">
        <f t="shared" si="0"/>
        <v>147.44999999999999</v>
      </c>
      <c r="G249" s="148">
        <f>SUMIFS('XBS '!T:T,'XBS '!H:H,' General Stock Summary View  '!$G$2,'XBS '!L:L,' General Stock Summary View  '!B249,'XBS '!C:C,' General Stock Summary View  '!C249)</f>
        <v>147.44999999999999</v>
      </c>
      <c r="H249" s="3">
        <f>SUMIFS('PowerApp_Physical count'!H:H,'PowerApp_Physical count'!B:B,' General Stock Summary View  '!$G$2,'PowerApp_Physical count'!C:C,' General Stock Summary View  '!C249,'PowerApp_Physical count'!A:A,' General Stock Summary View  '!B249)</f>
        <v>147.44999999999999</v>
      </c>
      <c r="I249" s="154">
        <f t="shared" si="42"/>
        <v>0</v>
      </c>
      <c r="J249" s="11">
        <f>SUMIFS('XBS '!T:T,'XBS '!H:H,' General Stock Summary View  '!$J$2,'XBS '!L:L,' General Stock Summary View  '!B249,'XBS '!C:C,' General Stock Summary View  '!C249)</f>
        <v>0</v>
      </c>
      <c r="K249" s="157">
        <f>SUMIFS('PowerApp_Physical count'!H:H,'PowerApp_Physical count'!B:B,' General Stock Summary View  '!$J$2,'PowerApp_Physical count'!C:C,' General Stock Summary View  '!C249,'PowerApp_Physical count'!A:A,' General Stock Summary View  '!B249)</f>
        <v>0</v>
      </c>
      <c r="L249" s="127">
        <f t="shared" si="15"/>
        <v>0</v>
      </c>
      <c r="M249" s="126">
        <f t="shared" si="2"/>
        <v>147.44999999999999</v>
      </c>
      <c r="N249" s="11">
        <f t="shared" si="3"/>
        <v>147.44999999999999</v>
      </c>
      <c r="O249" s="144">
        <f t="shared" si="10"/>
        <v>0</v>
      </c>
      <c r="P249" s="2">
        <f>SUMIFS('XBS '!T:T,'XBS '!H:H,' General Stock Summary View  '!$P$2,'XBS '!L:L,' General Stock Summary View  '!B249,'XBS '!C:C,' General Stock Summary View  '!C249)</f>
        <v>0</v>
      </c>
      <c r="Q249" s="3">
        <f>SUMIFS('PowerApp_Physical count'!H:H,'PowerApp_Physical count'!B:B,' General Stock Summary View  '!$P$2,'PowerApp_Physical count'!C:C,' General Stock Summary View  '!C249,'PowerApp_Physical count'!A:A,' General Stock Summary View  '!B249)</f>
        <v>0</v>
      </c>
      <c r="R249" s="4">
        <f t="shared" si="11"/>
        <v>0</v>
      </c>
      <c r="S249" s="5">
        <f>SUMIFS('XBS '!T:T,'XBS '!L:L,' General Stock Summary View  '!B249,'XBS '!H:H,' General Stock Summary View  '!$S$2,'XBS '!C:C,' General Stock Summary View  '!C249)</f>
        <v>0</v>
      </c>
      <c r="T249" s="3">
        <f>SUMIFS('PowerApp_Physical count'!H:H,'PowerApp_Physical count'!B:B,' General Stock Summary View  '!$S$2,'PowerApp_Physical count'!C:C,' General Stock Summary View  '!C249,'PowerApp_Physical count'!A:A,' General Stock Summary View  '!B249)</f>
        <v>0</v>
      </c>
      <c r="U249" s="4">
        <f t="shared" si="4"/>
        <v>0</v>
      </c>
      <c r="V249" s="2">
        <f>SUMIFS('XBS '!T:T,'XBS '!H:H,' General Stock Summary View  '!$V$2,'XBS '!B:B,' General Stock Summary View  '!C249,'XBS '!L:L,' General Stock Summary View  '!B249)</f>
        <v>0</v>
      </c>
      <c r="W249" s="3">
        <f>SUMIFS('PowerApp_Physical count'!H:H,'PowerApp_Physical count'!B:B,' General Stock Summary View  '!$V$2,'PowerApp_Physical count'!C:C,' General Stock Summary View  '!C249,'PowerApp_Physical count'!A:A,' General Stock Summary View  '!B249)</f>
        <v>0</v>
      </c>
      <c r="X249" s="4">
        <f t="shared" si="12"/>
        <v>0</v>
      </c>
      <c r="Y249" s="5">
        <f>SUMIFS('XBS '!T:T,'XBS '!H:H,' General Stock Summary View  '!$Y$2,'XBS '!B:B,' General Stock Summary View  '!C249,'XBS '!L:L,' General Stock Summary View  '!B249)</f>
        <v>0</v>
      </c>
      <c r="Z249" s="3">
        <f>SUMIFS('PowerApp_Physical count'!H:H,'PowerApp_Physical count'!B:B,' General Stock Summary View  '!$Y$2,'PowerApp_Physical count'!C:C,' General Stock Summary View  '!C249,'PowerApp_Physical count'!A:A,' General Stock Summary View  '!B249)</f>
        <v>0</v>
      </c>
      <c r="AA249" s="4">
        <f t="shared" si="13"/>
        <v>0</v>
      </c>
      <c r="AB249" s="5">
        <f>SUMIFS('XBS '!T:T,'XBS '!H:H,' General Stock Summary View  '!$AB$2,'XBS '!B:B,' General Stock Summary View  '!C249,'XBS '!L:L,' General Stock Summary View  '!B249)</f>
        <v>0</v>
      </c>
      <c r="AC249" s="3">
        <f>SUMIFS('PowerApp_Physical count'!H:H,'PowerApp_Physical count'!B:B,' General Stock Summary View  '!$AB$2,'PowerApp_Physical count'!C:C,' General Stock Summary View  '!C249,'PowerApp_Physical count'!A:A,' General Stock Summary View  '!B249)</f>
        <v>0</v>
      </c>
      <c r="AD249" s="6">
        <f t="shared" si="14"/>
        <v>0</v>
      </c>
      <c r="AE249" s="7">
        <f t="shared" si="8"/>
        <v>147.44999999999999</v>
      </c>
      <c r="AF249" s="8">
        <f t="shared" si="9"/>
        <v>0</v>
      </c>
      <c r="AG249" s="112"/>
    </row>
    <row r="250" spans="2:33" s="113" customFormat="1" ht="61.15">
      <c r="B250" s="117" t="s">
        <v>253</v>
      </c>
      <c r="C250" s="111" t="s">
        <v>240</v>
      </c>
      <c r="D250" s="11">
        <f>SUMIFS('XBS '!T:T,'XBS '!C:C,' General Stock Summary View  '!C250,'XBS '!L:L,' General Stock Summary View  '!B250)</f>
        <v>90</v>
      </c>
      <c r="E250" s="2">
        <f>SUMIFS('Blocked for Processing'!P:P,'Blocked for Processing'!I:I,' General Stock Summary View  '!B250,'Blocked for Processing'!C:C,' General Stock Summary View  '!C250)</f>
        <v>0</v>
      </c>
      <c r="F250" s="122">
        <f t="shared" si="0"/>
        <v>90</v>
      </c>
      <c r="G250" s="148">
        <f>SUMIFS('XBS '!T:T,'XBS '!H:H,' General Stock Summary View  '!$G$2,'XBS '!L:L,' General Stock Summary View  '!B250,'XBS '!C:C,' General Stock Summary View  '!C250)</f>
        <v>90</v>
      </c>
      <c r="H250" s="3">
        <f>SUMIFS('PowerApp_Physical count'!H:H,'PowerApp_Physical count'!B:B,' General Stock Summary View  '!$G$2,'PowerApp_Physical count'!C:C,' General Stock Summary View  '!C250,'PowerApp_Physical count'!A:A,' General Stock Summary View  '!B250)</f>
        <v>90</v>
      </c>
      <c r="I250" s="154">
        <f t="shared" si="42"/>
        <v>0</v>
      </c>
      <c r="J250" s="11">
        <f>SUMIFS('XBS '!T:T,'XBS '!H:H,' General Stock Summary View  '!$J$2,'XBS '!L:L,' General Stock Summary View  '!B250,'XBS '!C:C,' General Stock Summary View  '!C250)</f>
        <v>0</v>
      </c>
      <c r="K250" s="157">
        <f>SUMIFS('PowerApp_Physical count'!H:H,'PowerApp_Physical count'!B:B,' General Stock Summary View  '!$J$2,'PowerApp_Physical count'!C:C,' General Stock Summary View  '!C250,'PowerApp_Physical count'!A:A,' General Stock Summary View  '!B250)</f>
        <v>0</v>
      </c>
      <c r="L250" s="127">
        <f t="shared" si="15"/>
        <v>0</v>
      </c>
      <c r="M250" s="126">
        <f t="shared" si="2"/>
        <v>90</v>
      </c>
      <c r="N250" s="11">
        <f t="shared" si="3"/>
        <v>90</v>
      </c>
      <c r="O250" s="144">
        <f t="shared" si="10"/>
        <v>0</v>
      </c>
      <c r="P250" s="2">
        <f>SUMIFS('XBS '!T:T,'XBS '!H:H,' General Stock Summary View  '!$P$2,'XBS '!L:L,' General Stock Summary View  '!B250,'XBS '!C:C,' General Stock Summary View  '!C250)</f>
        <v>0</v>
      </c>
      <c r="Q250" s="3">
        <f>SUMIFS('PowerApp_Physical count'!H:H,'PowerApp_Physical count'!B:B,' General Stock Summary View  '!$P$2,'PowerApp_Physical count'!C:C,' General Stock Summary View  '!C250,'PowerApp_Physical count'!A:A,' General Stock Summary View  '!B250)</f>
        <v>0</v>
      </c>
      <c r="R250" s="4">
        <f t="shared" si="11"/>
        <v>0</v>
      </c>
      <c r="S250" s="5">
        <f>SUMIFS('XBS '!T:T,'XBS '!L:L,' General Stock Summary View  '!B250,'XBS '!H:H,' General Stock Summary View  '!$S$2,'XBS '!C:C,' General Stock Summary View  '!C250)</f>
        <v>0</v>
      </c>
      <c r="T250" s="3">
        <f>SUMIFS('PowerApp_Physical count'!H:H,'PowerApp_Physical count'!B:B,' General Stock Summary View  '!$S$2,'PowerApp_Physical count'!C:C,' General Stock Summary View  '!C250,'PowerApp_Physical count'!A:A,' General Stock Summary View  '!B250)</f>
        <v>0</v>
      </c>
      <c r="U250" s="4">
        <f t="shared" si="4"/>
        <v>0</v>
      </c>
      <c r="V250" s="2">
        <f>SUMIFS('XBS '!T:T,'XBS '!H:H,' General Stock Summary View  '!$V$2,'XBS '!B:B,' General Stock Summary View  '!C250,'XBS '!L:L,' General Stock Summary View  '!B250)</f>
        <v>0</v>
      </c>
      <c r="W250" s="3">
        <f>SUMIFS('PowerApp_Physical count'!H:H,'PowerApp_Physical count'!B:B,' General Stock Summary View  '!$V$2,'PowerApp_Physical count'!C:C,' General Stock Summary View  '!C250,'PowerApp_Physical count'!A:A,' General Stock Summary View  '!B250)</f>
        <v>0</v>
      </c>
      <c r="X250" s="4">
        <f t="shared" si="12"/>
        <v>0</v>
      </c>
      <c r="Y250" s="5">
        <f>SUMIFS('XBS '!T:T,'XBS '!H:H,' General Stock Summary View  '!$Y$2,'XBS '!B:B,' General Stock Summary View  '!C250,'XBS '!L:L,' General Stock Summary View  '!B250)</f>
        <v>0</v>
      </c>
      <c r="Z250" s="3">
        <f>SUMIFS('PowerApp_Physical count'!H:H,'PowerApp_Physical count'!B:B,' General Stock Summary View  '!$Y$2,'PowerApp_Physical count'!C:C,' General Stock Summary View  '!C250,'PowerApp_Physical count'!A:A,' General Stock Summary View  '!B250)</f>
        <v>0</v>
      </c>
      <c r="AA250" s="4">
        <f t="shared" si="13"/>
        <v>0</v>
      </c>
      <c r="AB250" s="5">
        <f>SUMIFS('XBS '!T:T,'XBS '!H:H,' General Stock Summary View  '!$AB$2,'XBS '!B:B,' General Stock Summary View  '!C250,'XBS '!L:L,' General Stock Summary View  '!B250)</f>
        <v>0</v>
      </c>
      <c r="AC250" s="3">
        <f>SUMIFS('PowerApp_Physical count'!H:H,'PowerApp_Physical count'!B:B,' General Stock Summary View  '!$AB$2,'PowerApp_Physical count'!C:C,' General Stock Summary View  '!C250,'PowerApp_Physical count'!A:A,' General Stock Summary View  '!B250)</f>
        <v>0</v>
      </c>
      <c r="AD250" s="6">
        <f t="shared" si="14"/>
        <v>0</v>
      </c>
      <c r="AE250" s="7">
        <f t="shared" si="8"/>
        <v>90</v>
      </c>
      <c r="AF250" s="8">
        <f t="shared" si="9"/>
        <v>0</v>
      </c>
      <c r="AG250" s="112"/>
    </row>
    <row r="251" spans="2:33" s="113" customFormat="1" ht="61.15">
      <c r="B251" s="117" t="s">
        <v>254</v>
      </c>
      <c r="C251" s="111" t="s">
        <v>240</v>
      </c>
      <c r="D251" s="11">
        <f>SUMIFS('XBS '!T:T,'XBS '!C:C,' General Stock Summary View  '!C251,'XBS '!L:L,' General Stock Summary View  '!B251)</f>
        <v>625.70000000000005</v>
      </c>
      <c r="E251" s="2">
        <f>SUMIFS('Blocked for Processing'!P:P,'Blocked for Processing'!I:I,' General Stock Summary View  '!B251,'Blocked for Processing'!C:C,' General Stock Summary View  '!C251)</f>
        <v>0</v>
      </c>
      <c r="F251" s="122">
        <f t="shared" si="0"/>
        <v>625.70000000000005</v>
      </c>
      <c r="G251" s="148">
        <f>SUMIFS('XBS '!T:T,'XBS '!H:H,' General Stock Summary View  '!$G$2,'XBS '!L:L,' General Stock Summary View  '!B251,'XBS '!C:C,' General Stock Summary View  '!C251)</f>
        <v>625.70000000000005</v>
      </c>
      <c r="H251" s="3">
        <f>SUMIFS('PowerApp_Physical count'!H:H,'PowerApp_Physical count'!B:B,' General Stock Summary View  '!$G$2,'PowerApp_Physical count'!C:C,' General Stock Summary View  '!C251,'PowerApp_Physical count'!A:A,' General Stock Summary View  '!B251)</f>
        <v>625.70000000000005</v>
      </c>
      <c r="I251" s="154">
        <f t="shared" si="42"/>
        <v>0</v>
      </c>
      <c r="J251" s="11">
        <f>SUMIFS('XBS '!T:T,'XBS '!H:H,' General Stock Summary View  '!$J$2,'XBS '!L:L,' General Stock Summary View  '!B251,'XBS '!C:C,' General Stock Summary View  '!C251)</f>
        <v>0</v>
      </c>
      <c r="K251" s="157">
        <f>SUMIFS('PowerApp_Physical count'!H:H,'PowerApp_Physical count'!B:B,' General Stock Summary View  '!$J$2,'PowerApp_Physical count'!C:C,' General Stock Summary View  '!C251,'PowerApp_Physical count'!A:A,' General Stock Summary View  '!B251)</f>
        <v>0</v>
      </c>
      <c r="L251" s="127">
        <f t="shared" si="15"/>
        <v>0</v>
      </c>
      <c r="M251" s="126">
        <f t="shared" si="2"/>
        <v>625.70000000000005</v>
      </c>
      <c r="N251" s="11">
        <f t="shared" si="3"/>
        <v>625.70000000000005</v>
      </c>
      <c r="O251" s="144">
        <f t="shared" si="10"/>
        <v>0</v>
      </c>
      <c r="P251" s="2">
        <f>SUMIFS('XBS '!T:T,'XBS '!H:H,' General Stock Summary View  '!$P$2,'XBS '!L:L,' General Stock Summary View  '!B251,'XBS '!C:C,' General Stock Summary View  '!C251)</f>
        <v>0</v>
      </c>
      <c r="Q251" s="3">
        <f>SUMIFS('PowerApp_Physical count'!H:H,'PowerApp_Physical count'!B:B,' General Stock Summary View  '!$P$2,'PowerApp_Physical count'!C:C,' General Stock Summary View  '!C251,'PowerApp_Physical count'!A:A,' General Stock Summary View  '!B251)</f>
        <v>0</v>
      </c>
      <c r="R251" s="4">
        <f t="shared" si="11"/>
        <v>0</v>
      </c>
      <c r="S251" s="5">
        <f>SUMIFS('XBS '!T:T,'XBS '!L:L,' General Stock Summary View  '!B251,'XBS '!H:H,' General Stock Summary View  '!$S$2,'XBS '!C:C,' General Stock Summary View  '!C251)</f>
        <v>0</v>
      </c>
      <c r="T251" s="3">
        <f>SUMIFS('PowerApp_Physical count'!H:H,'PowerApp_Physical count'!B:B,' General Stock Summary View  '!$S$2,'PowerApp_Physical count'!C:C,' General Stock Summary View  '!C251,'PowerApp_Physical count'!A:A,' General Stock Summary View  '!B251)</f>
        <v>0</v>
      </c>
      <c r="U251" s="4">
        <f t="shared" si="4"/>
        <v>0</v>
      </c>
      <c r="V251" s="2">
        <f>SUMIFS('XBS '!T:T,'XBS '!H:H,' General Stock Summary View  '!$V$2,'XBS '!B:B,' General Stock Summary View  '!C251,'XBS '!L:L,' General Stock Summary View  '!B251)</f>
        <v>0</v>
      </c>
      <c r="W251" s="3">
        <f>SUMIFS('PowerApp_Physical count'!H:H,'PowerApp_Physical count'!B:B,' General Stock Summary View  '!$V$2,'PowerApp_Physical count'!C:C,' General Stock Summary View  '!C251,'PowerApp_Physical count'!A:A,' General Stock Summary View  '!B251)</f>
        <v>0</v>
      </c>
      <c r="X251" s="4">
        <f t="shared" si="12"/>
        <v>0</v>
      </c>
      <c r="Y251" s="5">
        <f>SUMIFS('XBS '!T:T,'XBS '!H:H,' General Stock Summary View  '!$Y$2,'XBS '!B:B,' General Stock Summary View  '!C251,'XBS '!L:L,' General Stock Summary View  '!B251)</f>
        <v>0</v>
      </c>
      <c r="Z251" s="3">
        <f>SUMIFS('PowerApp_Physical count'!H:H,'PowerApp_Physical count'!B:B,' General Stock Summary View  '!$Y$2,'PowerApp_Physical count'!C:C,' General Stock Summary View  '!C251,'PowerApp_Physical count'!A:A,' General Stock Summary View  '!B251)</f>
        <v>0</v>
      </c>
      <c r="AA251" s="4">
        <f t="shared" si="13"/>
        <v>0</v>
      </c>
      <c r="AB251" s="5">
        <f>SUMIFS('XBS '!T:T,'XBS '!H:H,' General Stock Summary View  '!$AB$2,'XBS '!B:B,' General Stock Summary View  '!C251,'XBS '!L:L,' General Stock Summary View  '!B251)</f>
        <v>0</v>
      </c>
      <c r="AC251" s="3">
        <f>SUMIFS('PowerApp_Physical count'!H:H,'PowerApp_Physical count'!B:B,' General Stock Summary View  '!$AB$2,'PowerApp_Physical count'!C:C,' General Stock Summary View  '!C251,'PowerApp_Physical count'!A:A,' General Stock Summary View  '!B251)</f>
        <v>0</v>
      </c>
      <c r="AD251" s="6">
        <f t="shared" si="14"/>
        <v>0</v>
      </c>
      <c r="AE251" s="7">
        <f t="shared" si="8"/>
        <v>625.70000000000005</v>
      </c>
      <c r="AF251" s="8">
        <f t="shared" si="9"/>
        <v>0</v>
      </c>
      <c r="AG251" s="112"/>
    </row>
    <row r="252" spans="2:33" s="113" customFormat="1" ht="61.15">
      <c r="B252" s="117" t="s">
        <v>255</v>
      </c>
      <c r="C252" s="111" t="s">
        <v>240</v>
      </c>
      <c r="D252" s="11">
        <f>SUMIFS('XBS '!T:T,'XBS '!C:C,' General Stock Summary View  '!C252,'XBS '!L:L,' General Stock Summary View  '!B252)</f>
        <v>66.650000000000006</v>
      </c>
      <c r="E252" s="2">
        <f>SUMIFS('Blocked for Processing'!P:P,'Blocked for Processing'!I:I,' General Stock Summary View  '!B252,'Blocked for Processing'!C:C,' General Stock Summary View  '!C252)</f>
        <v>0</v>
      </c>
      <c r="F252" s="122">
        <f t="shared" si="0"/>
        <v>66.650000000000006</v>
      </c>
      <c r="G252" s="148">
        <f>SUMIFS('XBS '!T:T,'XBS '!H:H,' General Stock Summary View  '!$G$2,'XBS '!L:L,' General Stock Summary View  '!B252,'XBS '!C:C,' General Stock Summary View  '!C252)</f>
        <v>66.650000000000006</v>
      </c>
      <c r="H252" s="3">
        <f>SUMIFS('PowerApp_Physical count'!H:H,'PowerApp_Physical count'!B:B,' General Stock Summary View  '!$G$2,'PowerApp_Physical count'!C:C,' General Stock Summary View  '!C252,'PowerApp_Physical count'!A:A,' General Stock Summary View  '!B252)</f>
        <v>66.650000000000006</v>
      </c>
      <c r="I252" s="154">
        <f t="shared" si="42"/>
        <v>0</v>
      </c>
      <c r="J252" s="11">
        <f>SUMIFS('XBS '!T:T,'XBS '!H:H,' General Stock Summary View  '!$J$2,'XBS '!L:L,' General Stock Summary View  '!B252,'XBS '!C:C,' General Stock Summary View  '!C252)</f>
        <v>0</v>
      </c>
      <c r="K252" s="157">
        <f>SUMIFS('PowerApp_Physical count'!H:H,'PowerApp_Physical count'!B:B,' General Stock Summary View  '!$J$2,'PowerApp_Physical count'!C:C,' General Stock Summary View  '!C252,'PowerApp_Physical count'!A:A,' General Stock Summary View  '!B252)</f>
        <v>0</v>
      </c>
      <c r="L252" s="127">
        <f t="shared" si="15"/>
        <v>0</v>
      </c>
      <c r="M252" s="126">
        <f t="shared" si="2"/>
        <v>66.650000000000006</v>
      </c>
      <c r="N252" s="11">
        <f t="shared" si="3"/>
        <v>66.650000000000006</v>
      </c>
      <c r="O252" s="144">
        <f t="shared" si="10"/>
        <v>0</v>
      </c>
      <c r="P252" s="2">
        <f>SUMIFS('XBS '!T:T,'XBS '!H:H,' General Stock Summary View  '!$P$2,'XBS '!L:L,' General Stock Summary View  '!B252,'XBS '!C:C,' General Stock Summary View  '!C252)</f>
        <v>0</v>
      </c>
      <c r="Q252" s="3">
        <f>SUMIFS('PowerApp_Physical count'!H:H,'PowerApp_Physical count'!B:B,' General Stock Summary View  '!$P$2,'PowerApp_Physical count'!C:C,' General Stock Summary View  '!C252,'PowerApp_Physical count'!A:A,' General Stock Summary View  '!B252)</f>
        <v>0</v>
      </c>
      <c r="R252" s="4">
        <f t="shared" si="11"/>
        <v>0</v>
      </c>
      <c r="S252" s="5">
        <f>SUMIFS('XBS '!T:T,'XBS '!L:L,' General Stock Summary View  '!B252,'XBS '!H:H,' General Stock Summary View  '!$S$2,'XBS '!C:C,' General Stock Summary View  '!C252)</f>
        <v>0</v>
      </c>
      <c r="T252" s="3">
        <f>SUMIFS('PowerApp_Physical count'!H:H,'PowerApp_Physical count'!B:B,' General Stock Summary View  '!$S$2,'PowerApp_Physical count'!C:C,' General Stock Summary View  '!C252,'PowerApp_Physical count'!A:A,' General Stock Summary View  '!B252)</f>
        <v>0</v>
      </c>
      <c r="U252" s="4">
        <f t="shared" si="4"/>
        <v>0</v>
      </c>
      <c r="V252" s="2">
        <f>SUMIFS('XBS '!T:T,'XBS '!H:H,' General Stock Summary View  '!$V$2,'XBS '!B:B,' General Stock Summary View  '!C252,'XBS '!L:L,' General Stock Summary View  '!B252)</f>
        <v>0</v>
      </c>
      <c r="W252" s="3">
        <f>SUMIFS('PowerApp_Physical count'!H:H,'PowerApp_Physical count'!B:B,' General Stock Summary View  '!$V$2,'PowerApp_Physical count'!C:C,' General Stock Summary View  '!C252,'PowerApp_Physical count'!A:A,' General Stock Summary View  '!B252)</f>
        <v>0</v>
      </c>
      <c r="X252" s="4">
        <f t="shared" si="12"/>
        <v>0</v>
      </c>
      <c r="Y252" s="5">
        <f>SUMIFS('XBS '!T:T,'XBS '!H:H,' General Stock Summary View  '!$Y$2,'XBS '!B:B,' General Stock Summary View  '!C252,'XBS '!L:L,' General Stock Summary View  '!B252)</f>
        <v>0</v>
      </c>
      <c r="Z252" s="3">
        <f>SUMIFS('PowerApp_Physical count'!H:H,'PowerApp_Physical count'!B:B,' General Stock Summary View  '!$Y$2,'PowerApp_Physical count'!C:C,' General Stock Summary View  '!C252,'PowerApp_Physical count'!A:A,' General Stock Summary View  '!B252)</f>
        <v>0</v>
      </c>
      <c r="AA252" s="4">
        <f t="shared" si="13"/>
        <v>0</v>
      </c>
      <c r="AB252" s="5">
        <f>SUMIFS('XBS '!T:T,'XBS '!H:H,' General Stock Summary View  '!$AB$2,'XBS '!B:B,' General Stock Summary View  '!C252,'XBS '!L:L,' General Stock Summary View  '!B252)</f>
        <v>0</v>
      </c>
      <c r="AC252" s="3">
        <f>SUMIFS('PowerApp_Physical count'!H:H,'PowerApp_Physical count'!B:B,' General Stock Summary View  '!$AB$2,'PowerApp_Physical count'!C:C,' General Stock Summary View  '!C252,'PowerApp_Physical count'!A:A,' General Stock Summary View  '!B252)</f>
        <v>0</v>
      </c>
      <c r="AD252" s="6">
        <f t="shared" si="14"/>
        <v>0</v>
      </c>
      <c r="AE252" s="7">
        <f t="shared" si="8"/>
        <v>66.650000000000006</v>
      </c>
      <c r="AF252" s="8">
        <f t="shared" si="9"/>
        <v>0</v>
      </c>
      <c r="AG252" s="112"/>
    </row>
    <row r="253" spans="2:33" s="113" customFormat="1" ht="61.15">
      <c r="B253" s="117" t="s">
        <v>256</v>
      </c>
      <c r="C253" s="111" t="s">
        <v>240</v>
      </c>
      <c r="D253" s="11">
        <f>SUMIFS('XBS '!T:T,'XBS '!C:C,' General Stock Summary View  '!C253,'XBS '!L:L,' General Stock Summary View  '!B253)</f>
        <v>107.31666666666666</v>
      </c>
      <c r="E253" s="2">
        <f>SUMIFS('Blocked for Processing'!P:P,'Blocked for Processing'!I:I,' General Stock Summary View  '!B253,'Blocked for Processing'!C:C,' General Stock Summary View  '!C253)</f>
        <v>0</v>
      </c>
      <c r="F253" s="122">
        <f t="shared" si="0"/>
        <v>107.31666666666666</v>
      </c>
      <c r="G253" s="148">
        <f>SUMIFS('XBS '!T:T,'XBS '!H:H,' General Stock Summary View  '!$G$2,'XBS '!L:L,' General Stock Summary View  '!B253,'XBS '!C:C,' General Stock Summary View  '!C253)</f>
        <v>107.31666666666666</v>
      </c>
      <c r="H253" s="3">
        <f>SUMIFS('PowerApp_Physical count'!H:H,'PowerApp_Physical count'!B:B,' General Stock Summary View  '!$G$2,'PowerApp_Physical count'!C:C,' General Stock Summary View  '!C253,'PowerApp_Physical count'!A:A,' General Stock Summary View  '!B253)</f>
        <v>107.31666666666666</v>
      </c>
      <c r="I253" s="154">
        <f t="shared" si="42"/>
        <v>0</v>
      </c>
      <c r="J253" s="11">
        <f>SUMIFS('XBS '!T:T,'XBS '!H:H,' General Stock Summary View  '!$J$2,'XBS '!L:L,' General Stock Summary View  '!B253,'XBS '!C:C,' General Stock Summary View  '!C253)</f>
        <v>0</v>
      </c>
      <c r="K253" s="157">
        <f>SUMIFS('PowerApp_Physical count'!H:H,'PowerApp_Physical count'!B:B,' General Stock Summary View  '!$J$2,'PowerApp_Physical count'!C:C,' General Stock Summary View  '!C253,'PowerApp_Physical count'!A:A,' General Stock Summary View  '!B253)</f>
        <v>0</v>
      </c>
      <c r="L253" s="127">
        <f t="shared" si="15"/>
        <v>0</v>
      </c>
      <c r="M253" s="126">
        <f t="shared" si="2"/>
        <v>107.31666666666666</v>
      </c>
      <c r="N253" s="11">
        <f t="shared" si="3"/>
        <v>107.31666666666666</v>
      </c>
      <c r="O253" s="144">
        <f t="shared" si="10"/>
        <v>0</v>
      </c>
      <c r="P253" s="2">
        <f>SUMIFS('XBS '!T:T,'XBS '!H:H,' General Stock Summary View  '!$P$2,'XBS '!L:L,' General Stock Summary View  '!B253,'XBS '!C:C,' General Stock Summary View  '!C253)</f>
        <v>0</v>
      </c>
      <c r="Q253" s="3">
        <f>SUMIFS('PowerApp_Physical count'!H:H,'PowerApp_Physical count'!B:B,' General Stock Summary View  '!$P$2,'PowerApp_Physical count'!C:C,' General Stock Summary View  '!C253,'PowerApp_Physical count'!A:A,' General Stock Summary View  '!B253)</f>
        <v>0</v>
      </c>
      <c r="R253" s="4">
        <f t="shared" si="11"/>
        <v>0</v>
      </c>
      <c r="S253" s="5">
        <f>SUMIFS('XBS '!T:T,'XBS '!L:L,' General Stock Summary View  '!B253,'XBS '!H:H,' General Stock Summary View  '!$S$2,'XBS '!C:C,' General Stock Summary View  '!C253)</f>
        <v>0</v>
      </c>
      <c r="T253" s="3">
        <f>SUMIFS('PowerApp_Physical count'!H:H,'PowerApp_Physical count'!B:B,' General Stock Summary View  '!$S$2,'PowerApp_Physical count'!C:C,' General Stock Summary View  '!C253,'PowerApp_Physical count'!A:A,' General Stock Summary View  '!B253)</f>
        <v>0</v>
      </c>
      <c r="U253" s="4">
        <f t="shared" si="4"/>
        <v>0</v>
      </c>
      <c r="V253" s="2">
        <f>SUMIFS('XBS '!T:T,'XBS '!H:H,' General Stock Summary View  '!$V$2,'XBS '!B:B,' General Stock Summary View  '!C253,'XBS '!L:L,' General Stock Summary View  '!B253)</f>
        <v>0</v>
      </c>
      <c r="W253" s="3">
        <f>SUMIFS('PowerApp_Physical count'!H:H,'PowerApp_Physical count'!B:B,' General Stock Summary View  '!$V$2,'PowerApp_Physical count'!C:C,' General Stock Summary View  '!C253,'PowerApp_Physical count'!A:A,' General Stock Summary View  '!B253)</f>
        <v>0</v>
      </c>
      <c r="X253" s="4">
        <f t="shared" si="12"/>
        <v>0</v>
      </c>
      <c r="Y253" s="5">
        <f>SUMIFS('XBS '!T:T,'XBS '!H:H,' General Stock Summary View  '!$Y$2,'XBS '!B:B,' General Stock Summary View  '!C253,'XBS '!L:L,' General Stock Summary View  '!B253)</f>
        <v>0</v>
      </c>
      <c r="Z253" s="3">
        <f>SUMIFS('PowerApp_Physical count'!H:H,'PowerApp_Physical count'!B:B,' General Stock Summary View  '!$Y$2,'PowerApp_Physical count'!C:C,' General Stock Summary View  '!C253,'PowerApp_Physical count'!A:A,' General Stock Summary View  '!B253)</f>
        <v>0</v>
      </c>
      <c r="AA253" s="4">
        <f t="shared" si="13"/>
        <v>0</v>
      </c>
      <c r="AB253" s="5">
        <f>SUMIFS('XBS '!T:T,'XBS '!H:H,' General Stock Summary View  '!$AB$2,'XBS '!B:B,' General Stock Summary View  '!C253,'XBS '!L:L,' General Stock Summary View  '!B253)</f>
        <v>0</v>
      </c>
      <c r="AC253" s="3">
        <f>SUMIFS('PowerApp_Physical count'!H:H,'PowerApp_Physical count'!B:B,' General Stock Summary View  '!$AB$2,'PowerApp_Physical count'!C:C,' General Stock Summary View  '!C253,'PowerApp_Physical count'!A:A,' General Stock Summary View  '!B253)</f>
        <v>0</v>
      </c>
      <c r="AD253" s="6">
        <f t="shared" si="14"/>
        <v>0</v>
      </c>
      <c r="AE253" s="7">
        <f t="shared" si="8"/>
        <v>107.31666666666666</v>
      </c>
      <c r="AF253" s="8">
        <f t="shared" si="9"/>
        <v>0</v>
      </c>
      <c r="AG253" s="112"/>
    </row>
    <row r="254" spans="2:33" s="113" customFormat="1" ht="61.15">
      <c r="B254" s="117" t="s">
        <v>257</v>
      </c>
      <c r="C254" s="111" t="s">
        <v>240</v>
      </c>
      <c r="D254" s="11">
        <f>SUMIFS('XBS '!T:T,'XBS '!C:C,' General Stock Summary View  '!C254,'XBS '!L:L,' General Stock Summary View  '!B254)</f>
        <v>315.16666666666669</v>
      </c>
      <c r="E254" s="2">
        <f>SUMIFS('Blocked for Processing'!P:P,'Blocked for Processing'!I:I,' General Stock Summary View  '!B254,'Blocked for Processing'!C:C,' General Stock Summary View  '!C254)</f>
        <v>0</v>
      </c>
      <c r="F254" s="122">
        <f t="shared" si="0"/>
        <v>315.16666666666669</v>
      </c>
      <c r="G254" s="148">
        <f>SUMIFS('XBS '!T:T,'XBS '!H:H,' General Stock Summary View  '!$G$2,'XBS '!L:L,' General Stock Summary View  '!B254,'XBS '!C:C,' General Stock Summary View  '!C254)</f>
        <v>315.16666666666669</v>
      </c>
      <c r="H254" s="3">
        <f>SUMIFS('PowerApp_Physical count'!H:H,'PowerApp_Physical count'!B:B,' General Stock Summary View  '!$G$2,'PowerApp_Physical count'!C:C,' General Stock Summary View  '!C254,'PowerApp_Physical count'!A:A,' General Stock Summary View  '!B254)</f>
        <v>315.16666666666669</v>
      </c>
      <c r="I254" s="154">
        <f t="shared" si="42"/>
        <v>0</v>
      </c>
      <c r="J254" s="11">
        <f>SUMIFS('XBS '!T:T,'XBS '!H:H,' General Stock Summary View  '!$J$2,'XBS '!L:L,' General Stock Summary View  '!B254,'XBS '!C:C,' General Stock Summary View  '!C254)</f>
        <v>0</v>
      </c>
      <c r="K254" s="157">
        <f>SUMIFS('PowerApp_Physical count'!H:H,'PowerApp_Physical count'!B:B,' General Stock Summary View  '!$J$2,'PowerApp_Physical count'!C:C,' General Stock Summary View  '!C254,'PowerApp_Physical count'!A:A,' General Stock Summary View  '!B254)</f>
        <v>0</v>
      </c>
      <c r="L254" s="127">
        <f t="shared" si="15"/>
        <v>0</v>
      </c>
      <c r="M254" s="126">
        <f t="shared" si="2"/>
        <v>315.16666666666669</v>
      </c>
      <c r="N254" s="11">
        <f t="shared" si="3"/>
        <v>315.16666666666669</v>
      </c>
      <c r="O254" s="144">
        <f t="shared" si="10"/>
        <v>0</v>
      </c>
      <c r="P254" s="2">
        <f>SUMIFS('XBS '!T:T,'XBS '!H:H,' General Stock Summary View  '!$P$2,'XBS '!L:L,' General Stock Summary View  '!B254,'XBS '!C:C,' General Stock Summary View  '!C254)</f>
        <v>0</v>
      </c>
      <c r="Q254" s="3">
        <f>SUMIFS('PowerApp_Physical count'!H:H,'PowerApp_Physical count'!B:B,' General Stock Summary View  '!$P$2,'PowerApp_Physical count'!C:C,' General Stock Summary View  '!C254,'PowerApp_Physical count'!A:A,' General Stock Summary View  '!B254)</f>
        <v>0</v>
      </c>
      <c r="R254" s="4">
        <f t="shared" si="11"/>
        <v>0</v>
      </c>
      <c r="S254" s="5">
        <f>SUMIFS('XBS '!T:T,'XBS '!L:L,' General Stock Summary View  '!B254,'XBS '!H:H,' General Stock Summary View  '!$S$2,'XBS '!C:C,' General Stock Summary View  '!C254)</f>
        <v>0</v>
      </c>
      <c r="T254" s="3">
        <f>SUMIFS('PowerApp_Physical count'!H:H,'PowerApp_Physical count'!B:B,' General Stock Summary View  '!$S$2,'PowerApp_Physical count'!C:C,' General Stock Summary View  '!C254,'PowerApp_Physical count'!A:A,' General Stock Summary View  '!B254)</f>
        <v>0</v>
      </c>
      <c r="U254" s="4">
        <f t="shared" si="4"/>
        <v>0</v>
      </c>
      <c r="V254" s="2">
        <f>SUMIFS('XBS '!T:T,'XBS '!H:H,' General Stock Summary View  '!$V$2,'XBS '!B:B,' General Stock Summary View  '!C254,'XBS '!L:L,' General Stock Summary View  '!B254)</f>
        <v>0</v>
      </c>
      <c r="W254" s="3">
        <f>SUMIFS('PowerApp_Physical count'!H:H,'PowerApp_Physical count'!B:B,' General Stock Summary View  '!$V$2,'PowerApp_Physical count'!C:C,' General Stock Summary View  '!C254,'PowerApp_Physical count'!A:A,' General Stock Summary View  '!B254)</f>
        <v>0</v>
      </c>
      <c r="X254" s="4">
        <f t="shared" si="12"/>
        <v>0</v>
      </c>
      <c r="Y254" s="5">
        <f>SUMIFS('XBS '!T:T,'XBS '!H:H,' General Stock Summary View  '!$Y$2,'XBS '!B:B,' General Stock Summary View  '!C254,'XBS '!L:L,' General Stock Summary View  '!B254)</f>
        <v>0</v>
      </c>
      <c r="Z254" s="3">
        <f>SUMIFS('PowerApp_Physical count'!H:H,'PowerApp_Physical count'!B:B,' General Stock Summary View  '!$Y$2,'PowerApp_Physical count'!C:C,' General Stock Summary View  '!C254,'PowerApp_Physical count'!A:A,' General Stock Summary View  '!B254)</f>
        <v>0</v>
      </c>
      <c r="AA254" s="4">
        <f t="shared" si="13"/>
        <v>0</v>
      </c>
      <c r="AB254" s="5">
        <f>SUMIFS('XBS '!T:T,'XBS '!H:H,' General Stock Summary View  '!$AB$2,'XBS '!B:B,' General Stock Summary View  '!C254,'XBS '!L:L,' General Stock Summary View  '!B254)</f>
        <v>0</v>
      </c>
      <c r="AC254" s="3">
        <f>SUMIFS('PowerApp_Physical count'!H:H,'PowerApp_Physical count'!B:B,' General Stock Summary View  '!$AB$2,'PowerApp_Physical count'!C:C,' General Stock Summary View  '!C254,'PowerApp_Physical count'!A:A,' General Stock Summary View  '!B254)</f>
        <v>0</v>
      </c>
      <c r="AD254" s="6">
        <f t="shared" si="14"/>
        <v>0</v>
      </c>
      <c r="AE254" s="7">
        <f t="shared" si="8"/>
        <v>315.16666666666669</v>
      </c>
      <c r="AF254" s="8">
        <f t="shared" si="9"/>
        <v>0</v>
      </c>
      <c r="AG254" s="112"/>
    </row>
    <row r="255" spans="2:33" s="113" customFormat="1" ht="61.15">
      <c r="B255" s="117" t="s">
        <v>258</v>
      </c>
      <c r="C255" s="111" t="s">
        <v>240</v>
      </c>
      <c r="D255" s="11">
        <f>SUMIFS('XBS '!T:T,'XBS '!C:C,' General Stock Summary View  '!C255,'XBS '!L:L,' General Stock Summary View  '!B255)</f>
        <v>42.6</v>
      </c>
      <c r="E255" s="2">
        <f>SUMIFS('Blocked for Processing'!P:P,'Blocked for Processing'!I:I,' General Stock Summary View  '!B255,'Blocked for Processing'!C:C,' General Stock Summary View  '!C255)</f>
        <v>0</v>
      </c>
      <c r="F255" s="122">
        <f t="shared" si="0"/>
        <v>42.6</v>
      </c>
      <c r="G255" s="148">
        <f>SUMIFS('XBS '!T:T,'XBS '!H:H,' General Stock Summary View  '!$G$2,'XBS '!L:L,' General Stock Summary View  '!B255,'XBS '!C:C,' General Stock Summary View  '!C255)</f>
        <v>42.6</v>
      </c>
      <c r="H255" s="3">
        <f>SUMIFS('PowerApp_Physical count'!H:H,'PowerApp_Physical count'!B:B,' General Stock Summary View  '!$G$2,'PowerApp_Physical count'!C:C,' General Stock Summary View  '!C255,'PowerApp_Physical count'!A:A,' General Stock Summary View  '!B255)</f>
        <v>42.95</v>
      </c>
      <c r="I255" s="154">
        <f t="shared" si="42"/>
        <v>0.35000000000000142</v>
      </c>
      <c r="J255" s="11">
        <f>SUMIFS('XBS '!T:T,'XBS '!H:H,' General Stock Summary View  '!$J$2,'XBS '!L:L,' General Stock Summary View  '!B255,'XBS '!C:C,' General Stock Summary View  '!C255)</f>
        <v>0</v>
      </c>
      <c r="K255" s="157">
        <f>SUMIFS('PowerApp_Physical count'!H:H,'PowerApp_Physical count'!B:B,' General Stock Summary View  '!$J$2,'PowerApp_Physical count'!C:C,' General Stock Summary View  '!C255,'PowerApp_Physical count'!A:A,' General Stock Summary View  '!B255)</f>
        <v>0</v>
      </c>
      <c r="L255" s="127">
        <f t="shared" si="15"/>
        <v>0</v>
      </c>
      <c r="M255" s="126">
        <f t="shared" si="2"/>
        <v>42.6</v>
      </c>
      <c r="N255" s="11">
        <f t="shared" si="3"/>
        <v>42.95</v>
      </c>
      <c r="O255" s="144">
        <f t="shared" si="10"/>
        <v>0.35000000000000142</v>
      </c>
      <c r="P255" s="2">
        <f>SUMIFS('XBS '!T:T,'XBS '!H:H,' General Stock Summary View  '!$P$2,'XBS '!L:L,' General Stock Summary View  '!B255,'XBS '!C:C,' General Stock Summary View  '!C255)</f>
        <v>0</v>
      </c>
      <c r="Q255" s="3">
        <f>SUMIFS('PowerApp_Physical count'!H:H,'PowerApp_Physical count'!B:B,' General Stock Summary View  '!$P$2,'PowerApp_Physical count'!C:C,' General Stock Summary View  '!C255,'PowerApp_Physical count'!A:A,' General Stock Summary View  '!B255)</f>
        <v>0</v>
      </c>
      <c r="R255" s="4">
        <f t="shared" si="11"/>
        <v>0</v>
      </c>
      <c r="S255" s="5">
        <f>SUMIFS('XBS '!T:T,'XBS '!L:L,' General Stock Summary View  '!B255,'XBS '!H:H,' General Stock Summary View  '!$S$2,'XBS '!C:C,' General Stock Summary View  '!C255)</f>
        <v>0</v>
      </c>
      <c r="T255" s="3">
        <f>SUMIFS('PowerApp_Physical count'!H:H,'PowerApp_Physical count'!B:B,' General Stock Summary View  '!$S$2,'PowerApp_Physical count'!C:C,' General Stock Summary View  '!C255,'PowerApp_Physical count'!A:A,' General Stock Summary View  '!B255)</f>
        <v>0</v>
      </c>
      <c r="U255" s="4">
        <f t="shared" si="4"/>
        <v>0</v>
      </c>
      <c r="V255" s="2">
        <f>SUMIFS('XBS '!T:T,'XBS '!H:H,' General Stock Summary View  '!$V$2,'XBS '!B:B,' General Stock Summary View  '!C255,'XBS '!L:L,' General Stock Summary View  '!B255)</f>
        <v>0</v>
      </c>
      <c r="W255" s="3">
        <f>SUMIFS('PowerApp_Physical count'!H:H,'PowerApp_Physical count'!B:B,' General Stock Summary View  '!$V$2,'PowerApp_Physical count'!C:C,' General Stock Summary View  '!C255,'PowerApp_Physical count'!A:A,' General Stock Summary View  '!B255)</f>
        <v>0</v>
      </c>
      <c r="X255" s="4">
        <f t="shared" si="12"/>
        <v>0</v>
      </c>
      <c r="Y255" s="5">
        <f>SUMIFS('XBS '!T:T,'XBS '!H:H,' General Stock Summary View  '!$Y$2,'XBS '!B:B,' General Stock Summary View  '!C255,'XBS '!L:L,' General Stock Summary View  '!B255)</f>
        <v>0</v>
      </c>
      <c r="Z255" s="3">
        <f>SUMIFS('PowerApp_Physical count'!H:H,'PowerApp_Physical count'!B:B,' General Stock Summary View  '!$Y$2,'PowerApp_Physical count'!C:C,' General Stock Summary View  '!C255,'PowerApp_Physical count'!A:A,' General Stock Summary View  '!B255)</f>
        <v>0</v>
      </c>
      <c r="AA255" s="4">
        <f t="shared" si="13"/>
        <v>0</v>
      </c>
      <c r="AB255" s="5">
        <f>SUMIFS('XBS '!T:T,'XBS '!H:H,' General Stock Summary View  '!$AB$2,'XBS '!B:B,' General Stock Summary View  '!C255,'XBS '!L:L,' General Stock Summary View  '!B255)</f>
        <v>0</v>
      </c>
      <c r="AC255" s="3">
        <f>SUMIFS('PowerApp_Physical count'!H:H,'PowerApp_Physical count'!B:B,' General Stock Summary View  '!$AB$2,'PowerApp_Physical count'!C:C,' General Stock Summary View  '!C255,'PowerApp_Physical count'!A:A,' General Stock Summary View  '!B255)</f>
        <v>0</v>
      </c>
      <c r="AD255" s="6">
        <f t="shared" si="14"/>
        <v>0</v>
      </c>
      <c r="AE255" s="7">
        <f t="shared" si="8"/>
        <v>42.95</v>
      </c>
      <c r="AF255" s="8">
        <f t="shared" si="9"/>
        <v>0.35000000000000142</v>
      </c>
      <c r="AG255" s="112"/>
    </row>
    <row r="256" spans="2:33" s="113" customFormat="1" ht="61.15">
      <c r="B256" s="117" t="s">
        <v>259</v>
      </c>
      <c r="C256" s="111" t="s">
        <v>240</v>
      </c>
      <c r="D256" s="11">
        <f>SUMIFS('XBS '!T:T,'XBS '!C:C,' General Stock Summary View  '!C256,'XBS '!L:L,' General Stock Summary View  '!B256)</f>
        <v>107.46666666666667</v>
      </c>
      <c r="E256" s="2">
        <f>SUMIFS('Blocked for Processing'!P:P,'Blocked for Processing'!I:I,' General Stock Summary View  '!B256,'Blocked for Processing'!C:C,' General Stock Summary View  '!C256)</f>
        <v>0</v>
      </c>
      <c r="F256" s="122">
        <f t="shared" si="0"/>
        <v>107.46666666666667</v>
      </c>
      <c r="G256" s="148">
        <f>SUMIFS('XBS '!T:T,'XBS '!H:H,' General Stock Summary View  '!$G$2,'XBS '!L:L,' General Stock Summary View  '!B256,'XBS '!C:C,' General Stock Summary View  '!C256)</f>
        <v>107.46666666666667</v>
      </c>
      <c r="H256" s="3">
        <f>SUMIFS('PowerApp_Physical count'!H:H,'PowerApp_Physical count'!B:B,' General Stock Summary View  '!$G$2,'PowerApp_Physical count'!C:C,' General Stock Summary View  '!C256,'PowerApp_Physical count'!A:A,' General Stock Summary View  '!B256)</f>
        <v>107.46666666666667</v>
      </c>
      <c r="I256" s="154">
        <f t="shared" si="42"/>
        <v>0</v>
      </c>
      <c r="J256" s="11">
        <f>SUMIFS('XBS '!T:T,'XBS '!H:H,' General Stock Summary View  '!$J$2,'XBS '!L:L,' General Stock Summary View  '!B256,'XBS '!C:C,' General Stock Summary View  '!C256)</f>
        <v>0</v>
      </c>
      <c r="K256" s="157">
        <f>SUMIFS('PowerApp_Physical count'!H:H,'PowerApp_Physical count'!B:B,' General Stock Summary View  '!$J$2,'PowerApp_Physical count'!C:C,' General Stock Summary View  '!C256,'PowerApp_Physical count'!A:A,' General Stock Summary View  '!B256)</f>
        <v>0</v>
      </c>
      <c r="L256" s="127">
        <f t="shared" si="15"/>
        <v>0</v>
      </c>
      <c r="M256" s="126">
        <f t="shared" si="2"/>
        <v>107.46666666666667</v>
      </c>
      <c r="N256" s="11">
        <f t="shared" si="3"/>
        <v>107.46666666666667</v>
      </c>
      <c r="O256" s="144">
        <f t="shared" si="10"/>
        <v>0</v>
      </c>
      <c r="P256" s="2">
        <f>SUMIFS('XBS '!T:T,'XBS '!H:H,' General Stock Summary View  '!$P$2,'XBS '!L:L,' General Stock Summary View  '!B256,'XBS '!C:C,' General Stock Summary View  '!C256)</f>
        <v>0</v>
      </c>
      <c r="Q256" s="3">
        <f>SUMIFS('PowerApp_Physical count'!H:H,'PowerApp_Physical count'!B:B,' General Stock Summary View  '!$P$2,'PowerApp_Physical count'!C:C,' General Stock Summary View  '!C256,'PowerApp_Physical count'!A:A,' General Stock Summary View  '!B256)</f>
        <v>0</v>
      </c>
      <c r="R256" s="4">
        <f t="shared" si="11"/>
        <v>0</v>
      </c>
      <c r="S256" s="5">
        <f>SUMIFS('XBS '!T:T,'XBS '!L:L,' General Stock Summary View  '!B256,'XBS '!H:H,' General Stock Summary View  '!$S$2,'XBS '!C:C,' General Stock Summary View  '!C256)</f>
        <v>0</v>
      </c>
      <c r="T256" s="3">
        <f>SUMIFS('PowerApp_Physical count'!H:H,'PowerApp_Physical count'!B:B,' General Stock Summary View  '!$S$2,'PowerApp_Physical count'!C:C,' General Stock Summary View  '!C256,'PowerApp_Physical count'!A:A,' General Stock Summary View  '!B256)</f>
        <v>0</v>
      </c>
      <c r="U256" s="4">
        <f t="shared" si="4"/>
        <v>0</v>
      </c>
      <c r="V256" s="2">
        <f>SUMIFS('XBS '!T:T,'XBS '!H:H,' General Stock Summary View  '!$V$2,'XBS '!B:B,' General Stock Summary View  '!C256,'XBS '!L:L,' General Stock Summary View  '!B256)</f>
        <v>0</v>
      </c>
      <c r="W256" s="3">
        <f>SUMIFS('PowerApp_Physical count'!H:H,'PowerApp_Physical count'!B:B,' General Stock Summary View  '!$V$2,'PowerApp_Physical count'!C:C,' General Stock Summary View  '!C256,'PowerApp_Physical count'!A:A,' General Stock Summary View  '!B256)</f>
        <v>0</v>
      </c>
      <c r="X256" s="4">
        <f t="shared" si="12"/>
        <v>0</v>
      </c>
      <c r="Y256" s="5">
        <f>SUMIFS('XBS '!T:T,'XBS '!H:H,' General Stock Summary View  '!$Y$2,'XBS '!B:B,' General Stock Summary View  '!C256,'XBS '!L:L,' General Stock Summary View  '!B256)</f>
        <v>0</v>
      </c>
      <c r="Z256" s="3">
        <f>SUMIFS('PowerApp_Physical count'!H:H,'PowerApp_Physical count'!B:B,' General Stock Summary View  '!$Y$2,'PowerApp_Physical count'!C:C,' General Stock Summary View  '!C256,'PowerApp_Physical count'!A:A,' General Stock Summary View  '!B256)</f>
        <v>0</v>
      </c>
      <c r="AA256" s="4">
        <f t="shared" si="13"/>
        <v>0</v>
      </c>
      <c r="AB256" s="5">
        <f>SUMIFS('XBS '!T:T,'XBS '!H:H,' General Stock Summary View  '!$AB$2,'XBS '!B:B,' General Stock Summary View  '!C256,'XBS '!L:L,' General Stock Summary View  '!B256)</f>
        <v>0</v>
      </c>
      <c r="AC256" s="3">
        <f>SUMIFS('PowerApp_Physical count'!H:H,'PowerApp_Physical count'!B:B,' General Stock Summary View  '!$AB$2,'PowerApp_Physical count'!C:C,' General Stock Summary View  '!C256,'PowerApp_Physical count'!A:A,' General Stock Summary View  '!B256)</f>
        <v>0</v>
      </c>
      <c r="AD256" s="6">
        <f t="shared" si="14"/>
        <v>0</v>
      </c>
      <c r="AE256" s="7">
        <f t="shared" si="8"/>
        <v>107.46666666666667</v>
      </c>
      <c r="AF256" s="8">
        <f t="shared" si="9"/>
        <v>0</v>
      </c>
      <c r="AG256" s="112"/>
    </row>
    <row r="257" spans="2:33" s="113" customFormat="1" ht="61.15">
      <c r="B257" s="117" t="s">
        <v>260</v>
      </c>
      <c r="C257" s="111" t="s">
        <v>240</v>
      </c>
      <c r="D257" s="11">
        <f>SUMIFS('XBS '!T:T,'XBS '!C:C,' General Stock Summary View  '!C257,'XBS '!L:L,' General Stock Summary View  '!B257)</f>
        <v>212.1</v>
      </c>
      <c r="E257" s="2">
        <f>SUMIFS('Blocked for Processing'!P:P,'Blocked for Processing'!I:I,' General Stock Summary View  '!B257,'Blocked for Processing'!C:C,' General Stock Summary View  '!C257)</f>
        <v>0</v>
      </c>
      <c r="F257" s="122">
        <f t="shared" si="0"/>
        <v>212.1</v>
      </c>
      <c r="G257" s="148">
        <f>SUMIFS('XBS '!T:T,'XBS '!H:H,' General Stock Summary View  '!$G$2,'XBS '!L:L,' General Stock Summary View  '!B257,'XBS '!C:C,' General Stock Summary View  '!C257)</f>
        <v>212.1</v>
      </c>
      <c r="H257" s="3">
        <f>SUMIFS('PowerApp_Physical count'!H:H,'PowerApp_Physical count'!B:B,' General Stock Summary View  '!$G$2,'PowerApp_Physical count'!C:C,' General Stock Summary View  '!C257,'PowerApp_Physical count'!A:A,' General Stock Summary View  '!B257)</f>
        <v>212.1</v>
      </c>
      <c r="I257" s="154">
        <f t="shared" si="42"/>
        <v>0</v>
      </c>
      <c r="J257" s="11">
        <f>SUMIFS('XBS '!T:T,'XBS '!H:H,' General Stock Summary View  '!$J$2,'XBS '!L:L,' General Stock Summary View  '!B257,'XBS '!C:C,' General Stock Summary View  '!C257)</f>
        <v>0</v>
      </c>
      <c r="K257" s="157">
        <f>SUMIFS('PowerApp_Physical count'!H:H,'PowerApp_Physical count'!B:B,' General Stock Summary View  '!$J$2,'PowerApp_Physical count'!C:C,' General Stock Summary View  '!C257,'PowerApp_Physical count'!A:A,' General Stock Summary View  '!B257)</f>
        <v>0</v>
      </c>
      <c r="L257" s="127">
        <f t="shared" si="15"/>
        <v>0</v>
      </c>
      <c r="M257" s="126">
        <f t="shared" si="2"/>
        <v>212.1</v>
      </c>
      <c r="N257" s="11">
        <f t="shared" si="3"/>
        <v>212.1</v>
      </c>
      <c r="O257" s="144">
        <f t="shared" si="10"/>
        <v>0</v>
      </c>
      <c r="P257" s="2">
        <f>SUMIFS('XBS '!T:T,'XBS '!H:H,' General Stock Summary View  '!$P$2,'XBS '!L:L,' General Stock Summary View  '!B257,'XBS '!C:C,' General Stock Summary View  '!C257)</f>
        <v>0</v>
      </c>
      <c r="Q257" s="3">
        <f>SUMIFS('PowerApp_Physical count'!H:H,'PowerApp_Physical count'!B:B,' General Stock Summary View  '!$P$2,'PowerApp_Physical count'!C:C,' General Stock Summary View  '!C257,'PowerApp_Physical count'!A:A,' General Stock Summary View  '!B257)</f>
        <v>0</v>
      </c>
      <c r="R257" s="4">
        <f t="shared" si="11"/>
        <v>0</v>
      </c>
      <c r="S257" s="5">
        <f>SUMIFS('XBS '!T:T,'XBS '!L:L,' General Stock Summary View  '!B257,'XBS '!H:H,' General Stock Summary View  '!$S$2,'XBS '!C:C,' General Stock Summary View  '!C257)</f>
        <v>0</v>
      </c>
      <c r="T257" s="3">
        <f>SUMIFS('PowerApp_Physical count'!H:H,'PowerApp_Physical count'!B:B,' General Stock Summary View  '!$S$2,'PowerApp_Physical count'!C:C,' General Stock Summary View  '!C257,'PowerApp_Physical count'!A:A,' General Stock Summary View  '!B257)</f>
        <v>0</v>
      </c>
      <c r="U257" s="4">
        <f t="shared" si="4"/>
        <v>0</v>
      </c>
      <c r="V257" s="2">
        <f>SUMIFS('XBS '!T:T,'XBS '!H:H,' General Stock Summary View  '!$V$2,'XBS '!B:B,' General Stock Summary View  '!C257,'XBS '!L:L,' General Stock Summary View  '!B257)</f>
        <v>0</v>
      </c>
      <c r="W257" s="3">
        <f>SUMIFS('PowerApp_Physical count'!H:H,'PowerApp_Physical count'!B:B,' General Stock Summary View  '!$V$2,'PowerApp_Physical count'!C:C,' General Stock Summary View  '!C257,'PowerApp_Physical count'!A:A,' General Stock Summary View  '!B257)</f>
        <v>0</v>
      </c>
      <c r="X257" s="4">
        <f t="shared" si="12"/>
        <v>0</v>
      </c>
      <c r="Y257" s="5">
        <f>SUMIFS('XBS '!T:T,'XBS '!H:H,' General Stock Summary View  '!$Y$2,'XBS '!B:B,' General Stock Summary View  '!C257,'XBS '!L:L,' General Stock Summary View  '!B257)</f>
        <v>0</v>
      </c>
      <c r="Z257" s="3">
        <f>SUMIFS('PowerApp_Physical count'!H:H,'PowerApp_Physical count'!B:B,' General Stock Summary View  '!$Y$2,'PowerApp_Physical count'!C:C,' General Stock Summary View  '!C257,'PowerApp_Physical count'!A:A,' General Stock Summary View  '!B257)</f>
        <v>0</v>
      </c>
      <c r="AA257" s="4">
        <f t="shared" si="13"/>
        <v>0</v>
      </c>
      <c r="AB257" s="5">
        <f>SUMIFS('XBS '!T:T,'XBS '!H:H,' General Stock Summary View  '!$AB$2,'XBS '!B:B,' General Stock Summary View  '!C257,'XBS '!L:L,' General Stock Summary View  '!B257)</f>
        <v>0</v>
      </c>
      <c r="AC257" s="3">
        <f>SUMIFS('PowerApp_Physical count'!H:H,'PowerApp_Physical count'!B:B,' General Stock Summary View  '!$AB$2,'PowerApp_Physical count'!C:C,' General Stock Summary View  '!C257,'PowerApp_Physical count'!A:A,' General Stock Summary View  '!B257)</f>
        <v>0</v>
      </c>
      <c r="AD257" s="6">
        <f t="shared" si="14"/>
        <v>0</v>
      </c>
      <c r="AE257" s="7">
        <f t="shared" si="8"/>
        <v>212.1</v>
      </c>
      <c r="AF257" s="8">
        <f t="shared" si="9"/>
        <v>0</v>
      </c>
      <c r="AG257" s="112"/>
    </row>
    <row r="258" spans="2:33" s="113" customFormat="1" ht="61.15">
      <c r="B258" s="117" t="s">
        <v>261</v>
      </c>
      <c r="C258" s="111" t="s">
        <v>240</v>
      </c>
      <c r="D258" s="11">
        <f>SUMIFS('XBS '!T:T,'XBS '!C:C,' General Stock Summary View  '!C258,'XBS '!L:L,' General Stock Summary View  '!B258)</f>
        <v>101.11666666666666</v>
      </c>
      <c r="E258" s="2">
        <f>SUMIFS('Blocked for Processing'!P:P,'Blocked for Processing'!I:I,' General Stock Summary View  '!B258,'Blocked for Processing'!C:C,' General Stock Summary View  '!C258)</f>
        <v>0</v>
      </c>
      <c r="F258" s="122">
        <f t="shared" si="0"/>
        <v>101.11666666666666</v>
      </c>
      <c r="G258" s="148">
        <f>SUMIFS('XBS '!T:T,'XBS '!H:H,' General Stock Summary View  '!$G$2,'XBS '!L:L,' General Stock Summary View  '!B258,'XBS '!C:C,' General Stock Summary View  '!C258)</f>
        <v>101.11666666666666</v>
      </c>
      <c r="H258" s="3">
        <f>SUMIFS('PowerApp_Physical count'!H:H,'PowerApp_Physical count'!B:B,' General Stock Summary View  '!$G$2,'PowerApp_Physical count'!C:C,' General Stock Summary View  '!C258,'PowerApp_Physical count'!A:A,' General Stock Summary View  '!B258)</f>
        <v>101.11666666666666</v>
      </c>
      <c r="I258" s="154">
        <f t="shared" si="42"/>
        <v>0</v>
      </c>
      <c r="J258" s="11">
        <f>SUMIFS('XBS '!T:T,'XBS '!H:H,' General Stock Summary View  '!$J$2,'XBS '!L:L,' General Stock Summary View  '!B258,'XBS '!C:C,' General Stock Summary View  '!C258)</f>
        <v>0</v>
      </c>
      <c r="K258" s="157">
        <f>SUMIFS('PowerApp_Physical count'!H:H,'PowerApp_Physical count'!B:B,' General Stock Summary View  '!$J$2,'PowerApp_Physical count'!C:C,' General Stock Summary View  '!C258,'PowerApp_Physical count'!A:A,' General Stock Summary View  '!B258)</f>
        <v>0</v>
      </c>
      <c r="L258" s="127">
        <f t="shared" si="15"/>
        <v>0</v>
      </c>
      <c r="M258" s="126">
        <f t="shared" si="2"/>
        <v>101.11666666666666</v>
      </c>
      <c r="N258" s="11">
        <f t="shared" si="3"/>
        <v>101.11666666666666</v>
      </c>
      <c r="O258" s="144">
        <f t="shared" si="10"/>
        <v>0</v>
      </c>
      <c r="P258" s="2">
        <f>SUMIFS('XBS '!T:T,'XBS '!H:H,' General Stock Summary View  '!$P$2,'XBS '!L:L,' General Stock Summary View  '!B258,'XBS '!C:C,' General Stock Summary View  '!C258)</f>
        <v>0</v>
      </c>
      <c r="Q258" s="3">
        <f>SUMIFS('PowerApp_Physical count'!H:H,'PowerApp_Physical count'!B:B,' General Stock Summary View  '!$P$2,'PowerApp_Physical count'!C:C,' General Stock Summary View  '!C258,'PowerApp_Physical count'!A:A,' General Stock Summary View  '!B258)</f>
        <v>0</v>
      </c>
      <c r="R258" s="4">
        <f t="shared" si="11"/>
        <v>0</v>
      </c>
      <c r="S258" s="5">
        <f>SUMIFS('XBS '!T:T,'XBS '!L:L,' General Stock Summary View  '!B258,'XBS '!H:H,' General Stock Summary View  '!$S$2,'XBS '!C:C,' General Stock Summary View  '!C258)</f>
        <v>0</v>
      </c>
      <c r="T258" s="3">
        <f>SUMIFS('PowerApp_Physical count'!H:H,'PowerApp_Physical count'!B:B,' General Stock Summary View  '!$S$2,'PowerApp_Physical count'!C:C,' General Stock Summary View  '!C258,'PowerApp_Physical count'!A:A,' General Stock Summary View  '!B258)</f>
        <v>0</v>
      </c>
      <c r="U258" s="4">
        <f t="shared" si="4"/>
        <v>0</v>
      </c>
      <c r="V258" s="2">
        <f>SUMIFS('XBS '!T:T,'XBS '!H:H,' General Stock Summary View  '!$V$2,'XBS '!B:B,' General Stock Summary View  '!C258,'XBS '!L:L,' General Stock Summary View  '!B258)</f>
        <v>0</v>
      </c>
      <c r="W258" s="3">
        <f>SUMIFS('PowerApp_Physical count'!H:H,'PowerApp_Physical count'!B:B,' General Stock Summary View  '!$V$2,'PowerApp_Physical count'!C:C,' General Stock Summary View  '!C258,'PowerApp_Physical count'!A:A,' General Stock Summary View  '!B258)</f>
        <v>0</v>
      </c>
      <c r="X258" s="4">
        <f t="shared" si="12"/>
        <v>0</v>
      </c>
      <c r="Y258" s="5">
        <f>SUMIFS('XBS '!T:T,'XBS '!H:H,' General Stock Summary View  '!$Y$2,'XBS '!B:B,' General Stock Summary View  '!C258,'XBS '!L:L,' General Stock Summary View  '!B258)</f>
        <v>0</v>
      </c>
      <c r="Z258" s="3">
        <f>SUMIFS('PowerApp_Physical count'!H:H,'PowerApp_Physical count'!B:B,' General Stock Summary View  '!$Y$2,'PowerApp_Physical count'!C:C,' General Stock Summary View  '!C258,'PowerApp_Physical count'!A:A,' General Stock Summary View  '!B258)</f>
        <v>0</v>
      </c>
      <c r="AA258" s="4">
        <f t="shared" si="13"/>
        <v>0</v>
      </c>
      <c r="AB258" s="5">
        <f>SUMIFS('XBS '!T:T,'XBS '!H:H,' General Stock Summary View  '!$AB$2,'XBS '!B:B,' General Stock Summary View  '!C258,'XBS '!L:L,' General Stock Summary View  '!B258)</f>
        <v>0</v>
      </c>
      <c r="AC258" s="3">
        <f>SUMIFS('PowerApp_Physical count'!H:H,'PowerApp_Physical count'!B:B,' General Stock Summary View  '!$AB$2,'PowerApp_Physical count'!C:C,' General Stock Summary View  '!C258,'PowerApp_Physical count'!A:A,' General Stock Summary View  '!B258)</f>
        <v>0</v>
      </c>
      <c r="AD258" s="6">
        <f t="shared" si="14"/>
        <v>0</v>
      </c>
      <c r="AE258" s="7">
        <f t="shared" si="8"/>
        <v>101.11666666666666</v>
      </c>
      <c r="AF258" s="8">
        <f t="shared" si="9"/>
        <v>0</v>
      </c>
      <c r="AG258" s="112"/>
    </row>
    <row r="259" spans="2:33" s="113" customFormat="1" ht="61.15">
      <c r="B259" s="117" t="s">
        <v>262</v>
      </c>
      <c r="C259" s="111" t="s">
        <v>240</v>
      </c>
      <c r="D259" s="11">
        <f>SUMIFS('XBS '!T:T,'XBS '!C:C,' General Stock Summary View  '!C259,'XBS '!L:L,' General Stock Summary View  '!B259)</f>
        <v>178.16666666666666</v>
      </c>
      <c r="E259" s="2">
        <f>SUMIFS('Blocked for Processing'!P:P,'Blocked for Processing'!I:I,' General Stock Summary View  '!B259,'Blocked for Processing'!C:C,' General Stock Summary View  '!C259)</f>
        <v>0</v>
      </c>
      <c r="F259" s="122">
        <f t="shared" si="0"/>
        <v>178.16666666666666</v>
      </c>
      <c r="G259" s="148">
        <f>SUMIFS('XBS '!T:T,'XBS '!H:H,' General Stock Summary View  '!$G$2,'XBS '!L:L,' General Stock Summary View  '!B259,'XBS '!C:C,' General Stock Summary View  '!C259)</f>
        <v>178.16666666666666</v>
      </c>
      <c r="H259" s="3">
        <f>SUMIFS('PowerApp_Physical count'!H:H,'PowerApp_Physical count'!B:B,' General Stock Summary View  '!$G$2,'PowerApp_Physical count'!C:C,' General Stock Summary View  '!C259,'PowerApp_Physical count'!A:A,' General Stock Summary View  '!B259)</f>
        <v>178.16666666666666</v>
      </c>
      <c r="I259" s="154">
        <f t="shared" si="42"/>
        <v>0</v>
      </c>
      <c r="J259" s="11">
        <f>SUMIFS('XBS '!T:T,'XBS '!H:H,' General Stock Summary View  '!$J$2,'XBS '!L:L,' General Stock Summary View  '!B259,'XBS '!C:C,' General Stock Summary View  '!C259)</f>
        <v>0</v>
      </c>
      <c r="K259" s="157">
        <f>SUMIFS('PowerApp_Physical count'!H:H,'PowerApp_Physical count'!B:B,' General Stock Summary View  '!$J$2,'PowerApp_Physical count'!C:C,' General Stock Summary View  '!C259,'PowerApp_Physical count'!A:A,' General Stock Summary View  '!B259)</f>
        <v>0</v>
      </c>
      <c r="L259" s="127">
        <f t="shared" si="15"/>
        <v>0</v>
      </c>
      <c r="M259" s="126">
        <f t="shared" si="2"/>
        <v>178.16666666666666</v>
      </c>
      <c r="N259" s="11">
        <f t="shared" si="3"/>
        <v>178.16666666666666</v>
      </c>
      <c r="O259" s="144">
        <f t="shared" si="10"/>
        <v>0</v>
      </c>
      <c r="P259" s="2">
        <f>SUMIFS('XBS '!T:T,'XBS '!H:H,' General Stock Summary View  '!$P$2,'XBS '!L:L,' General Stock Summary View  '!B259,'XBS '!C:C,' General Stock Summary View  '!C259)</f>
        <v>0</v>
      </c>
      <c r="Q259" s="3">
        <f>SUMIFS('PowerApp_Physical count'!H:H,'PowerApp_Physical count'!B:B,' General Stock Summary View  '!$P$2,'PowerApp_Physical count'!C:C,' General Stock Summary View  '!C259,'PowerApp_Physical count'!A:A,' General Stock Summary View  '!B259)</f>
        <v>0</v>
      </c>
      <c r="R259" s="4">
        <f t="shared" si="11"/>
        <v>0</v>
      </c>
      <c r="S259" s="5">
        <f>SUMIFS('XBS '!T:T,'XBS '!L:L,' General Stock Summary View  '!B259,'XBS '!H:H,' General Stock Summary View  '!$S$2,'XBS '!C:C,' General Stock Summary View  '!C259)</f>
        <v>0</v>
      </c>
      <c r="T259" s="3">
        <f>SUMIFS('PowerApp_Physical count'!H:H,'PowerApp_Physical count'!B:B,' General Stock Summary View  '!$S$2,'PowerApp_Physical count'!C:C,' General Stock Summary View  '!C259,'PowerApp_Physical count'!A:A,' General Stock Summary View  '!B259)</f>
        <v>0</v>
      </c>
      <c r="U259" s="4">
        <f t="shared" si="4"/>
        <v>0</v>
      </c>
      <c r="V259" s="2">
        <f>SUMIFS('XBS '!T:T,'XBS '!H:H,' General Stock Summary View  '!$V$2,'XBS '!B:B,' General Stock Summary View  '!C259,'XBS '!L:L,' General Stock Summary View  '!B259)</f>
        <v>0</v>
      </c>
      <c r="W259" s="3">
        <f>SUMIFS('PowerApp_Physical count'!H:H,'PowerApp_Physical count'!B:B,' General Stock Summary View  '!$V$2,'PowerApp_Physical count'!C:C,' General Stock Summary View  '!C259,'PowerApp_Physical count'!A:A,' General Stock Summary View  '!B259)</f>
        <v>0</v>
      </c>
      <c r="X259" s="4">
        <f t="shared" si="12"/>
        <v>0</v>
      </c>
      <c r="Y259" s="5">
        <f>SUMIFS('XBS '!T:T,'XBS '!H:H,' General Stock Summary View  '!$Y$2,'XBS '!B:B,' General Stock Summary View  '!C259,'XBS '!L:L,' General Stock Summary View  '!B259)</f>
        <v>0</v>
      </c>
      <c r="Z259" s="3">
        <f>SUMIFS('PowerApp_Physical count'!H:H,'PowerApp_Physical count'!B:B,' General Stock Summary View  '!$Y$2,'PowerApp_Physical count'!C:C,' General Stock Summary View  '!C259,'PowerApp_Physical count'!A:A,' General Stock Summary View  '!B259)</f>
        <v>0</v>
      </c>
      <c r="AA259" s="4">
        <f t="shared" si="13"/>
        <v>0</v>
      </c>
      <c r="AB259" s="5">
        <f>SUMIFS('XBS '!T:T,'XBS '!H:H,' General Stock Summary View  '!$AB$2,'XBS '!B:B,' General Stock Summary View  '!C259,'XBS '!L:L,' General Stock Summary View  '!B259)</f>
        <v>0</v>
      </c>
      <c r="AC259" s="3">
        <f>SUMIFS('PowerApp_Physical count'!H:H,'PowerApp_Physical count'!B:B,' General Stock Summary View  '!$AB$2,'PowerApp_Physical count'!C:C,' General Stock Summary View  '!C259,'PowerApp_Physical count'!A:A,' General Stock Summary View  '!B259)</f>
        <v>0</v>
      </c>
      <c r="AD259" s="6">
        <f t="shared" si="14"/>
        <v>0</v>
      </c>
      <c r="AE259" s="7">
        <f t="shared" si="8"/>
        <v>178.16666666666666</v>
      </c>
      <c r="AF259" s="8">
        <f t="shared" si="9"/>
        <v>0</v>
      </c>
      <c r="AG259" s="112"/>
    </row>
    <row r="260" spans="2:33" s="113" customFormat="1" ht="61.15">
      <c r="B260" s="117" t="s">
        <v>263</v>
      </c>
      <c r="C260" s="111" t="s">
        <v>240</v>
      </c>
      <c r="D260" s="11">
        <f>SUMIFS('XBS '!T:T,'XBS '!C:C,' General Stock Summary View  '!C260,'XBS '!L:L,' General Stock Summary View  '!B260)</f>
        <v>165.91666666666666</v>
      </c>
      <c r="E260" s="2">
        <f>SUMIFS('Blocked for Processing'!P:P,'Blocked for Processing'!I:I,' General Stock Summary View  '!B260,'Blocked for Processing'!C:C,' General Stock Summary View  '!C260)</f>
        <v>0</v>
      </c>
      <c r="F260" s="122">
        <f t="shared" si="0"/>
        <v>165.91666666666666</v>
      </c>
      <c r="G260" s="148">
        <f>SUMIFS('XBS '!T:T,'XBS '!H:H,' General Stock Summary View  '!$G$2,'XBS '!L:L,' General Stock Summary View  '!B260,'XBS '!C:C,' General Stock Summary View  '!C260)</f>
        <v>165.91666666666666</v>
      </c>
      <c r="H260" s="3">
        <f>SUMIFS('PowerApp_Physical count'!H:H,'PowerApp_Physical count'!B:B,' General Stock Summary View  '!$G$2,'PowerApp_Physical count'!C:C,' General Stock Summary View  '!C260,'PowerApp_Physical count'!A:A,' General Stock Summary View  '!B260)</f>
        <v>165.91666666666666</v>
      </c>
      <c r="I260" s="154">
        <f t="shared" si="42"/>
        <v>0</v>
      </c>
      <c r="J260" s="11">
        <f>SUMIFS('XBS '!T:T,'XBS '!H:H,' General Stock Summary View  '!$J$2,'XBS '!L:L,' General Stock Summary View  '!B260,'XBS '!C:C,' General Stock Summary View  '!C260)</f>
        <v>0</v>
      </c>
      <c r="K260" s="157">
        <f>SUMIFS('PowerApp_Physical count'!H:H,'PowerApp_Physical count'!B:B,' General Stock Summary View  '!$J$2,'PowerApp_Physical count'!C:C,' General Stock Summary View  '!C260,'PowerApp_Physical count'!A:A,' General Stock Summary View  '!B260)</f>
        <v>0</v>
      </c>
      <c r="L260" s="127">
        <f t="shared" si="15"/>
        <v>0</v>
      </c>
      <c r="M260" s="126">
        <f t="shared" si="2"/>
        <v>165.91666666666666</v>
      </c>
      <c r="N260" s="11">
        <f t="shared" si="3"/>
        <v>165.91666666666666</v>
      </c>
      <c r="O260" s="144">
        <f t="shared" si="10"/>
        <v>0</v>
      </c>
      <c r="P260" s="2">
        <f>SUMIFS('XBS '!T:T,'XBS '!H:H,' General Stock Summary View  '!$P$2,'XBS '!L:L,' General Stock Summary View  '!B260,'XBS '!C:C,' General Stock Summary View  '!C260)</f>
        <v>0</v>
      </c>
      <c r="Q260" s="3">
        <f>SUMIFS('PowerApp_Physical count'!H:H,'PowerApp_Physical count'!B:B,' General Stock Summary View  '!$P$2,'PowerApp_Physical count'!C:C,' General Stock Summary View  '!C260,'PowerApp_Physical count'!A:A,' General Stock Summary View  '!B260)</f>
        <v>0</v>
      </c>
      <c r="R260" s="4">
        <f t="shared" si="11"/>
        <v>0</v>
      </c>
      <c r="S260" s="5">
        <f>SUMIFS('XBS '!T:T,'XBS '!L:L,' General Stock Summary View  '!B260,'XBS '!H:H,' General Stock Summary View  '!$S$2,'XBS '!C:C,' General Stock Summary View  '!C260)</f>
        <v>0</v>
      </c>
      <c r="T260" s="3">
        <f>SUMIFS('PowerApp_Physical count'!H:H,'PowerApp_Physical count'!B:B,' General Stock Summary View  '!$S$2,'PowerApp_Physical count'!C:C,' General Stock Summary View  '!C260,'PowerApp_Physical count'!A:A,' General Stock Summary View  '!B260)</f>
        <v>0</v>
      </c>
      <c r="U260" s="4">
        <f t="shared" si="4"/>
        <v>0</v>
      </c>
      <c r="V260" s="2">
        <f>SUMIFS('XBS '!T:T,'XBS '!H:H,' General Stock Summary View  '!$V$2,'XBS '!B:B,' General Stock Summary View  '!C260,'XBS '!L:L,' General Stock Summary View  '!B260)</f>
        <v>0</v>
      </c>
      <c r="W260" s="3">
        <f>SUMIFS('PowerApp_Physical count'!H:H,'PowerApp_Physical count'!B:B,' General Stock Summary View  '!$V$2,'PowerApp_Physical count'!C:C,' General Stock Summary View  '!C260,'PowerApp_Physical count'!A:A,' General Stock Summary View  '!B260)</f>
        <v>0</v>
      </c>
      <c r="X260" s="4">
        <f t="shared" si="12"/>
        <v>0</v>
      </c>
      <c r="Y260" s="5">
        <f>SUMIFS('XBS '!T:T,'XBS '!H:H,' General Stock Summary View  '!$Y$2,'XBS '!B:B,' General Stock Summary View  '!C260,'XBS '!L:L,' General Stock Summary View  '!B260)</f>
        <v>0</v>
      </c>
      <c r="Z260" s="3">
        <f>SUMIFS('PowerApp_Physical count'!H:H,'PowerApp_Physical count'!B:B,' General Stock Summary View  '!$Y$2,'PowerApp_Physical count'!C:C,' General Stock Summary View  '!C260,'PowerApp_Physical count'!A:A,' General Stock Summary View  '!B260)</f>
        <v>0</v>
      </c>
      <c r="AA260" s="4">
        <f t="shared" si="13"/>
        <v>0</v>
      </c>
      <c r="AB260" s="5">
        <f>SUMIFS('XBS '!T:T,'XBS '!H:H,' General Stock Summary View  '!$AB$2,'XBS '!B:B,' General Stock Summary View  '!C260,'XBS '!L:L,' General Stock Summary View  '!B260)</f>
        <v>0</v>
      </c>
      <c r="AC260" s="3">
        <f>SUMIFS('PowerApp_Physical count'!H:H,'PowerApp_Physical count'!B:B,' General Stock Summary View  '!$AB$2,'PowerApp_Physical count'!C:C,' General Stock Summary View  '!C260,'PowerApp_Physical count'!A:A,' General Stock Summary View  '!B260)</f>
        <v>0</v>
      </c>
      <c r="AD260" s="6">
        <f t="shared" si="14"/>
        <v>0</v>
      </c>
      <c r="AE260" s="7">
        <f t="shared" si="8"/>
        <v>165.91666666666666</v>
      </c>
      <c r="AF260" s="8">
        <f t="shared" si="9"/>
        <v>0</v>
      </c>
      <c r="AG260" s="112"/>
    </row>
    <row r="261" spans="2:33" s="113" customFormat="1" ht="61.15">
      <c r="B261" s="117" t="s">
        <v>264</v>
      </c>
      <c r="C261" s="111" t="s">
        <v>240</v>
      </c>
      <c r="D261" s="11">
        <f>SUMIFS('XBS '!T:T,'XBS '!C:C,' General Stock Summary View  '!C261,'XBS '!L:L,' General Stock Summary View  '!B261)</f>
        <v>107.3</v>
      </c>
      <c r="E261" s="2">
        <f>SUMIFS('Blocked for Processing'!P:P,'Blocked for Processing'!I:I,' General Stock Summary View  '!B261,'Blocked for Processing'!C:C,' General Stock Summary View  '!C261)</f>
        <v>0</v>
      </c>
      <c r="F261" s="122">
        <f t="shared" si="0"/>
        <v>107.3</v>
      </c>
      <c r="G261" s="148">
        <f>SUMIFS('XBS '!T:T,'XBS '!H:H,' General Stock Summary View  '!$G$2,'XBS '!L:L,' General Stock Summary View  '!B261,'XBS '!C:C,' General Stock Summary View  '!C261)</f>
        <v>107.3</v>
      </c>
      <c r="H261" s="3">
        <f>SUMIFS('PowerApp_Physical count'!H:H,'PowerApp_Physical count'!B:B,' General Stock Summary View  '!$G$2,'PowerApp_Physical count'!C:C,' General Stock Summary View  '!C261,'PowerApp_Physical count'!A:A,' General Stock Summary View  '!B261)</f>
        <v>107.3</v>
      </c>
      <c r="I261" s="154">
        <f t="shared" si="42"/>
        <v>0</v>
      </c>
      <c r="J261" s="11">
        <f>SUMIFS('XBS '!T:T,'XBS '!H:H,' General Stock Summary View  '!$J$2,'XBS '!L:L,' General Stock Summary View  '!B261,'XBS '!C:C,' General Stock Summary View  '!C261)</f>
        <v>0</v>
      </c>
      <c r="K261" s="157">
        <f>SUMIFS('PowerApp_Physical count'!H:H,'PowerApp_Physical count'!B:B,' General Stock Summary View  '!$J$2,'PowerApp_Physical count'!C:C,' General Stock Summary View  '!C261,'PowerApp_Physical count'!A:A,' General Stock Summary View  '!B261)</f>
        <v>0</v>
      </c>
      <c r="L261" s="127">
        <f t="shared" si="15"/>
        <v>0</v>
      </c>
      <c r="M261" s="126">
        <f t="shared" si="2"/>
        <v>107.3</v>
      </c>
      <c r="N261" s="11">
        <f t="shared" si="3"/>
        <v>107.3</v>
      </c>
      <c r="O261" s="144">
        <f t="shared" si="10"/>
        <v>0</v>
      </c>
      <c r="P261" s="2">
        <f>SUMIFS('XBS '!T:T,'XBS '!H:H,' General Stock Summary View  '!$P$2,'XBS '!L:L,' General Stock Summary View  '!B261,'XBS '!C:C,' General Stock Summary View  '!C261)</f>
        <v>0</v>
      </c>
      <c r="Q261" s="3">
        <f>SUMIFS('PowerApp_Physical count'!H:H,'PowerApp_Physical count'!B:B,' General Stock Summary View  '!$P$2,'PowerApp_Physical count'!C:C,' General Stock Summary View  '!C261,'PowerApp_Physical count'!A:A,' General Stock Summary View  '!B261)</f>
        <v>0</v>
      </c>
      <c r="R261" s="4">
        <f t="shared" si="11"/>
        <v>0</v>
      </c>
      <c r="S261" s="5">
        <f>SUMIFS('XBS '!T:T,'XBS '!L:L,' General Stock Summary View  '!B261,'XBS '!H:H,' General Stock Summary View  '!$S$2,'XBS '!C:C,' General Stock Summary View  '!C261)</f>
        <v>0</v>
      </c>
      <c r="T261" s="3">
        <f>SUMIFS('PowerApp_Physical count'!H:H,'PowerApp_Physical count'!B:B,' General Stock Summary View  '!$S$2,'PowerApp_Physical count'!C:C,' General Stock Summary View  '!C261,'PowerApp_Physical count'!A:A,' General Stock Summary View  '!B261)</f>
        <v>0</v>
      </c>
      <c r="U261" s="4">
        <f t="shared" si="4"/>
        <v>0</v>
      </c>
      <c r="V261" s="2">
        <f>SUMIFS('XBS '!T:T,'XBS '!H:H,' General Stock Summary View  '!$V$2,'XBS '!B:B,' General Stock Summary View  '!C261,'XBS '!L:L,' General Stock Summary View  '!B261)</f>
        <v>0</v>
      </c>
      <c r="W261" s="3">
        <f>SUMIFS('PowerApp_Physical count'!H:H,'PowerApp_Physical count'!B:B,' General Stock Summary View  '!$V$2,'PowerApp_Physical count'!C:C,' General Stock Summary View  '!C261,'PowerApp_Physical count'!A:A,' General Stock Summary View  '!B261)</f>
        <v>0</v>
      </c>
      <c r="X261" s="4">
        <f t="shared" si="12"/>
        <v>0</v>
      </c>
      <c r="Y261" s="5">
        <f>SUMIFS('XBS '!T:T,'XBS '!H:H,' General Stock Summary View  '!$Y$2,'XBS '!B:B,' General Stock Summary View  '!C261,'XBS '!L:L,' General Stock Summary View  '!B261)</f>
        <v>0</v>
      </c>
      <c r="Z261" s="3">
        <f>SUMIFS('PowerApp_Physical count'!H:H,'PowerApp_Physical count'!B:B,' General Stock Summary View  '!$Y$2,'PowerApp_Physical count'!C:C,' General Stock Summary View  '!C261,'PowerApp_Physical count'!A:A,' General Stock Summary View  '!B261)</f>
        <v>0</v>
      </c>
      <c r="AA261" s="4">
        <f t="shared" si="13"/>
        <v>0</v>
      </c>
      <c r="AB261" s="5">
        <f>SUMIFS('XBS '!T:T,'XBS '!H:H,' General Stock Summary View  '!$AB$2,'XBS '!B:B,' General Stock Summary View  '!C261,'XBS '!L:L,' General Stock Summary View  '!B261)</f>
        <v>0</v>
      </c>
      <c r="AC261" s="3">
        <f>SUMIFS('PowerApp_Physical count'!H:H,'PowerApp_Physical count'!B:B,' General Stock Summary View  '!$AB$2,'PowerApp_Physical count'!C:C,' General Stock Summary View  '!C261,'PowerApp_Physical count'!A:A,' General Stock Summary View  '!B261)</f>
        <v>0</v>
      </c>
      <c r="AD261" s="6">
        <f t="shared" si="14"/>
        <v>0</v>
      </c>
      <c r="AE261" s="7">
        <f t="shared" si="8"/>
        <v>107.3</v>
      </c>
      <c r="AF261" s="8">
        <f t="shared" si="9"/>
        <v>0</v>
      </c>
      <c r="AG261" s="112"/>
    </row>
    <row r="262" spans="2:33" s="113" customFormat="1" ht="61.15">
      <c r="B262" s="117" t="s">
        <v>265</v>
      </c>
      <c r="C262" s="111" t="s">
        <v>240</v>
      </c>
      <c r="D262" s="11">
        <f>SUMIFS('XBS '!T:T,'XBS '!C:C,' General Stock Summary View  '!C262,'XBS '!L:L,' General Stock Summary View  '!B262)</f>
        <v>143.91666666666666</v>
      </c>
      <c r="E262" s="2">
        <f>SUMIFS('Blocked for Processing'!P:P,'Blocked for Processing'!I:I,' General Stock Summary View  '!B262,'Blocked for Processing'!C:C,' General Stock Summary View  '!C262)</f>
        <v>0</v>
      </c>
      <c r="F262" s="122">
        <f t="shared" si="0"/>
        <v>143.91666666666666</v>
      </c>
      <c r="G262" s="148">
        <f>SUMIFS('XBS '!T:T,'XBS '!H:H,' General Stock Summary View  '!$G$2,'XBS '!L:L,' General Stock Summary View  '!B262,'XBS '!C:C,' General Stock Summary View  '!C262)</f>
        <v>143.91666666666666</v>
      </c>
      <c r="H262" s="3">
        <f>SUMIFS('PowerApp_Physical count'!H:H,'PowerApp_Physical count'!B:B,' General Stock Summary View  '!$G$2,'PowerApp_Physical count'!C:C,' General Stock Summary View  '!C262,'PowerApp_Physical count'!A:A,' General Stock Summary View  '!B262)</f>
        <v>143.91666666666666</v>
      </c>
      <c r="I262" s="154">
        <f t="shared" si="42"/>
        <v>0</v>
      </c>
      <c r="J262" s="11">
        <f>SUMIFS('XBS '!T:T,'XBS '!H:H,' General Stock Summary View  '!$J$2,'XBS '!L:L,' General Stock Summary View  '!B262,'XBS '!C:C,' General Stock Summary View  '!C262)</f>
        <v>0</v>
      </c>
      <c r="K262" s="157">
        <f>SUMIFS('PowerApp_Physical count'!H:H,'PowerApp_Physical count'!B:B,' General Stock Summary View  '!$J$2,'PowerApp_Physical count'!C:C,' General Stock Summary View  '!C262,'PowerApp_Physical count'!A:A,' General Stock Summary View  '!B262)</f>
        <v>0</v>
      </c>
      <c r="L262" s="127">
        <f t="shared" si="15"/>
        <v>0</v>
      </c>
      <c r="M262" s="126">
        <f t="shared" si="2"/>
        <v>143.91666666666666</v>
      </c>
      <c r="N262" s="11">
        <f t="shared" si="3"/>
        <v>143.91666666666666</v>
      </c>
      <c r="O262" s="144">
        <f t="shared" si="10"/>
        <v>0</v>
      </c>
      <c r="P262" s="2">
        <f>SUMIFS('XBS '!T:T,'XBS '!H:H,' General Stock Summary View  '!$P$2,'XBS '!L:L,' General Stock Summary View  '!B262,'XBS '!C:C,' General Stock Summary View  '!C262)</f>
        <v>0</v>
      </c>
      <c r="Q262" s="3">
        <f>SUMIFS('PowerApp_Physical count'!H:H,'PowerApp_Physical count'!B:B,' General Stock Summary View  '!$P$2,'PowerApp_Physical count'!C:C,' General Stock Summary View  '!C262,'PowerApp_Physical count'!A:A,' General Stock Summary View  '!B262)</f>
        <v>0</v>
      </c>
      <c r="R262" s="4">
        <f t="shared" si="11"/>
        <v>0</v>
      </c>
      <c r="S262" s="5">
        <f>SUMIFS('XBS '!T:T,'XBS '!L:L,' General Stock Summary View  '!B262,'XBS '!H:H,' General Stock Summary View  '!$S$2,'XBS '!C:C,' General Stock Summary View  '!C262)</f>
        <v>0</v>
      </c>
      <c r="T262" s="3">
        <f>SUMIFS('PowerApp_Physical count'!H:H,'PowerApp_Physical count'!B:B,' General Stock Summary View  '!$S$2,'PowerApp_Physical count'!C:C,' General Stock Summary View  '!C262,'PowerApp_Physical count'!A:A,' General Stock Summary View  '!B262)</f>
        <v>0</v>
      </c>
      <c r="U262" s="4">
        <f t="shared" si="4"/>
        <v>0</v>
      </c>
      <c r="V262" s="2">
        <f>SUMIFS('XBS '!T:T,'XBS '!H:H,' General Stock Summary View  '!$V$2,'XBS '!B:B,' General Stock Summary View  '!C262,'XBS '!L:L,' General Stock Summary View  '!B262)</f>
        <v>0</v>
      </c>
      <c r="W262" s="3">
        <f>SUMIFS('PowerApp_Physical count'!H:H,'PowerApp_Physical count'!B:B,' General Stock Summary View  '!$V$2,'PowerApp_Physical count'!C:C,' General Stock Summary View  '!C262,'PowerApp_Physical count'!A:A,' General Stock Summary View  '!B262)</f>
        <v>0</v>
      </c>
      <c r="X262" s="4">
        <f t="shared" si="12"/>
        <v>0</v>
      </c>
      <c r="Y262" s="5">
        <f>SUMIFS('XBS '!T:T,'XBS '!H:H,' General Stock Summary View  '!$Y$2,'XBS '!B:B,' General Stock Summary View  '!C262,'XBS '!L:L,' General Stock Summary View  '!B262)</f>
        <v>0</v>
      </c>
      <c r="Z262" s="3">
        <f>SUMIFS('PowerApp_Physical count'!H:H,'PowerApp_Physical count'!B:B,' General Stock Summary View  '!$Y$2,'PowerApp_Physical count'!C:C,' General Stock Summary View  '!C262,'PowerApp_Physical count'!A:A,' General Stock Summary View  '!B262)</f>
        <v>0</v>
      </c>
      <c r="AA262" s="4">
        <f t="shared" si="13"/>
        <v>0</v>
      </c>
      <c r="AB262" s="5">
        <f>SUMIFS('XBS '!T:T,'XBS '!H:H,' General Stock Summary View  '!$AB$2,'XBS '!B:B,' General Stock Summary View  '!C262,'XBS '!L:L,' General Stock Summary View  '!B262)</f>
        <v>0</v>
      </c>
      <c r="AC262" s="3">
        <f>SUMIFS('PowerApp_Physical count'!H:H,'PowerApp_Physical count'!B:B,' General Stock Summary View  '!$AB$2,'PowerApp_Physical count'!C:C,' General Stock Summary View  '!C262,'PowerApp_Physical count'!A:A,' General Stock Summary View  '!B262)</f>
        <v>0</v>
      </c>
      <c r="AD262" s="6">
        <f t="shared" si="14"/>
        <v>0</v>
      </c>
      <c r="AE262" s="7">
        <f t="shared" si="8"/>
        <v>143.91666666666666</v>
      </c>
      <c r="AF262" s="8">
        <f t="shared" si="9"/>
        <v>0</v>
      </c>
      <c r="AG262" s="112"/>
    </row>
    <row r="263" spans="2:33" s="113" customFormat="1" ht="61.15">
      <c r="B263" s="117" t="s">
        <v>266</v>
      </c>
      <c r="C263" s="111" t="s">
        <v>240</v>
      </c>
      <c r="D263" s="11">
        <f>SUMIFS('XBS '!T:T,'XBS '!C:C,' General Stock Summary View  '!C263,'XBS '!L:L,' General Stock Summary View  '!B263)</f>
        <v>107.63333333333334</v>
      </c>
      <c r="E263" s="2">
        <f>SUMIFS('Blocked for Processing'!P:P,'Blocked for Processing'!I:I,' General Stock Summary View  '!B263,'Blocked for Processing'!C:C,' General Stock Summary View  '!C263)</f>
        <v>0</v>
      </c>
      <c r="F263" s="122">
        <f t="shared" si="0"/>
        <v>107.63333333333334</v>
      </c>
      <c r="G263" s="148">
        <f>SUMIFS('XBS '!T:T,'XBS '!H:H,' General Stock Summary View  '!$G$2,'XBS '!L:L,' General Stock Summary View  '!B263,'XBS '!C:C,' General Stock Summary View  '!C263)</f>
        <v>107.63333333333334</v>
      </c>
      <c r="H263" s="3">
        <f>SUMIFS('PowerApp_Physical count'!H:H,'PowerApp_Physical count'!B:B,' General Stock Summary View  '!$G$2,'PowerApp_Physical count'!C:C,' General Stock Summary View  '!C263,'PowerApp_Physical count'!A:A,' General Stock Summary View  '!B263)</f>
        <v>107.63333333333334</v>
      </c>
      <c r="I263" s="154">
        <f t="shared" si="42"/>
        <v>0</v>
      </c>
      <c r="J263" s="11">
        <f>SUMIFS('XBS '!T:T,'XBS '!H:H,' General Stock Summary View  '!$J$2,'XBS '!L:L,' General Stock Summary View  '!B263,'XBS '!C:C,' General Stock Summary View  '!C263)</f>
        <v>0</v>
      </c>
      <c r="K263" s="157">
        <f>SUMIFS('PowerApp_Physical count'!H:H,'PowerApp_Physical count'!B:B,' General Stock Summary View  '!$J$2,'PowerApp_Physical count'!C:C,' General Stock Summary View  '!C263,'PowerApp_Physical count'!A:A,' General Stock Summary View  '!B263)</f>
        <v>0</v>
      </c>
      <c r="L263" s="127">
        <f t="shared" si="15"/>
        <v>0</v>
      </c>
      <c r="M263" s="126">
        <f t="shared" si="2"/>
        <v>107.63333333333334</v>
      </c>
      <c r="N263" s="11">
        <f t="shared" si="3"/>
        <v>107.63333333333334</v>
      </c>
      <c r="O263" s="144">
        <f t="shared" si="10"/>
        <v>0</v>
      </c>
      <c r="P263" s="2">
        <f>SUMIFS('XBS '!T:T,'XBS '!H:H,' General Stock Summary View  '!$P$2,'XBS '!L:L,' General Stock Summary View  '!B263,'XBS '!C:C,' General Stock Summary View  '!C263)</f>
        <v>0</v>
      </c>
      <c r="Q263" s="3">
        <f>SUMIFS('PowerApp_Physical count'!H:H,'PowerApp_Physical count'!B:B,' General Stock Summary View  '!$P$2,'PowerApp_Physical count'!C:C,' General Stock Summary View  '!C263,'PowerApp_Physical count'!A:A,' General Stock Summary View  '!B263)</f>
        <v>0</v>
      </c>
      <c r="R263" s="4">
        <f t="shared" si="11"/>
        <v>0</v>
      </c>
      <c r="S263" s="5">
        <f>SUMIFS('XBS '!T:T,'XBS '!L:L,' General Stock Summary View  '!B263,'XBS '!H:H,' General Stock Summary View  '!$S$2,'XBS '!C:C,' General Stock Summary View  '!C263)</f>
        <v>0</v>
      </c>
      <c r="T263" s="3">
        <f>SUMIFS('PowerApp_Physical count'!H:H,'PowerApp_Physical count'!B:B,' General Stock Summary View  '!$S$2,'PowerApp_Physical count'!C:C,' General Stock Summary View  '!C263,'PowerApp_Physical count'!A:A,' General Stock Summary View  '!B263)</f>
        <v>0</v>
      </c>
      <c r="U263" s="4">
        <f t="shared" si="4"/>
        <v>0</v>
      </c>
      <c r="V263" s="2">
        <f>SUMIFS('XBS '!T:T,'XBS '!H:H,' General Stock Summary View  '!$V$2,'XBS '!B:B,' General Stock Summary View  '!C263,'XBS '!L:L,' General Stock Summary View  '!B263)</f>
        <v>0</v>
      </c>
      <c r="W263" s="3">
        <f>SUMIFS('PowerApp_Physical count'!H:H,'PowerApp_Physical count'!B:B,' General Stock Summary View  '!$V$2,'PowerApp_Physical count'!C:C,' General Stock Summary View  '!C263,'PowerApp_Physical count'!A:A,' General Stock Summary View  '!B263)</f>
        <v>0</v>
      </c>
      <c r="X263" s="4">
        <f t="shared" si="12"/>
        <v>0</v>
      </c>
      <c r="Y263" s="5">
        <f>SUMIFS('XBS '!T:T,'XBS '!H:H,' General Stock Summary View  '!$Y$2,'XBS '!B:B,' General Stock Summary View  '!C263,'XBS '!L:L,' General Stock Summary View  '!B263)</f>
        <v>0</v>
      </c>
      <c r="Z263" s="3">
        <f>SUMIFS('PowerApp_Physical count'!H:H,'PowerApp_Physical count'!B:B,' General Stock Summary View  '!$Y$2,'PowerApp_Physical count'!C:C,' General Stock Summary View  '!C263,'PowerApp_Physical count'!A:A,' General Stock Summary View  '!B263)</f>
        <v>0</v>
      </c>
      <c r="AA263" s="4">
        <f t="shared" si="13"/>
        <v>0</v>
      </c>
      <c r="AB263" s="5">
        <f>SUMIFS('XBS '!T:T,'XBS '!H:H,' General Stock Summary View  '!$AB$2,'XBS '!B:B,' General Stock Summary View  '!C263,'XBS '!L:L,' General Stock Summary View  '!B263)</f>
        <v>0</v>
      </c>
      <c r="AC263" s="3">
        <f>SUMIFS('PowerApp_Physical count'!H:H,'PowerApp_Physical count'!B:B,' General Stock Summary View  '!$AB$2,'PowerApp_Physical count'!C:C,' General Stock Summary View  '!C263,'PowerApp_Physical count'!A:A,' General Stock Summary View  '!B263)</f>
        <v>0</v>
      </c>
      <c r="AD263" s="6">
        <f t="shared" si="14"/>
        <v>0</v>
      </c>
      <c r="AE263" s="7">
        <f t="shared" si="8"/>
        <v>107.63333333333334</v>
      </c>
      <c r="AF263" s="8">
        <f t="shared" si="9"/>
        <v>0</v>
      </c>
      <c r="AG263" s="112"/>
    </row>
    <row r="264" spans="2:33" s="113" customFormat="1" ht="61.15">
      <c r="B264" s="117" t="s">
        <v>267</v>
      </c>
      <c r="C264" s="111" t="s">
        <v>240</v>
      </c>
      <c r="D264" s="11">
        <f>SUMIFS('XBS '!T:T,'XBS '!C:C,' General Stock Summary View  '!C264,'XBS '!L:L,' General Stock Summary View  '!B264)</f>
        <v>73.55</v>
      </c>
      <c r="E264" s="2">
        <f>SUMIFS('Blocked for Processing'!P:P,'Blocked for Processing'!I:I,' General Stock Summary View  '!B264,'Blocked for Processing'!C:C,' General Stock Summary View  '!C264)</f>
        <v>0</v>
      </c>
      <c r="F264" s="122">
        <f t="shared" si="0"/>
        <v>73.55</v>
      </c>
      <c r="G264" s="148">
        <f>SUMIFS('XBS '!T:T,'XBS '!H:H,' General Stock Summary View  '!$G$2,'XBS '!L:L,' General Stock Summary View  '!B264,'XBS '!C:C,' General Stock Summary View  '!C264)</f>
        <v>73.55</v>
      </c>
      <c r="H264" s="3">
        <f>SUMIFS('PowerApp_Physical count'!H:H,'PowerApp_Physical count'!B:B,' General Stock Summary View  '!$G$2,'PowerApp_Physical count'!C:C,' General Stock Summary View  '!C264,'PowerApp_Physical count'!A:A,' General Stock Summary View  '!B264)</f>
        <v>73.55</v>
      </c>
      <c r="I264" s="154">
        <f t="shared" si="42"/>
        <v>0</v>
      </c>
      <c r="J264" s="11">
        <f>SUMIFS('XBS '!T:T,'XBS '!H:H,' General Stock Summary View  '!$J$2,'XBS '!L:L,' General Stock Summary View  '!B264,'XBS '!C:C,' General Stock Summary View  '!C264)</f>
        <v>0</v>
      </c>
      <c r="K264" s="157">
        <f>SUMIFS('PowerApp_Physical count'!H:H,'PowerApp_Physical count'!B:B,' General Stock Summary View  '!$J$2,'PowerApp_Physical count'!C:C,' General Stock Summary View  '!C264,'PowerApp_Physical count'!A:A,' General Stock Summary View  '!B264)</f>
        <v>0</v>
      </c>
      <c r="L264" s="127">
        <f t="shared" si="15"/>
        <v>0</v>
      </c>
      <c r="M264" s="126">
        <f t="shared" si="2"/>
        <v>73.55</v>
      </c>
      <c r="N264" s="11">
        <f t="shared" si="3"/>
        <v>73.55</v>
      </c>
      <c r="O264" s="144">
        <f t="shared" si="10"/>
        <v>0</v>
      </c>
      <c r="P264" s="2">
        <f>SUMIFS('XBS '!T:T,'XBS '!H:H,' General Stock Summary View  '!$P$2,'XBS '!L:L,' General Stock Summary View  '!B264,'XBS '!C:C,' General Stock Summary View  '!C264)</f>
        <v>0</v>
      </c>
      <c r="Q264" s="3">
        <f>SUMIFS('PowerApp_Physical count'!H:H,'PowerApp_Physical count'!B:B,' General Stock Summary View  '!$P$2,'PowerApp_Physical count'!C:C,' General Stock Summary View  '!C264,'PowerApp_Physical count'!A:A,' General Stock Summary View  '!B264)</f>
        <v>0</v>
      </c>
      <c r="R264" s="4">
        <f t="shared" si="11"/>
        <v>0</v>
      </c>
      <c r="S264" s="5">
        <f>SUMIFS('XBS '!T:T,'XBS '!L:L,' General Stock Summary View  '!B264,'XBS '!H:H,' General Stock Summary View  '!$S$2,'XBS '!C:C,' General Stock Summary View  '!C264)</f>
        <v>0</v>
      </c>
      <c r="T264" s="3">
        <f>SUMIFS('PowerApp_Physical count'!H:H,'PowerApp_Physical count'!B:B,' General Stock Summary View  '!$S$2,'PowerApp_Physical count'!C:C,' General Stock Summary View  '!C264,'PowerApp_Physical count'!A:A,' General Stock Summary View  '!B264)</f>
        <v>0</v>
      </c>
      <c r="U264" s="4">
        <f t="shared" si="4"/>
        <v>0</v>
      </c>
      <c r="V264" s="2">
        <f>SUMIFS('XBS '!T:T,'XBS '!H:H,' General Stock Summary View  '!$V$2,'XBS '!B:B,' General Stock Summary View  '!C264,'XBS '!L:L,' General Stock Summary View  '!B264)</f>
        <v>0</v>
      </c>
      <c r="W264" s="3">
        <f>SUMIFS('PowerApp_Physical count'!H:H,'PowerApp_Physical count'!B:B,' General Stock Summary View  '!$V$2,'PowerApp_Physical count'!C:C,' General Stock Summary View  '!C264,'PowerApp_Physical count'!A:A,' General Stock Summary View  '!B264)</f>
        <v>0</v>
      </c>
      <c r="X264" s="4">
        <f t="shared" si="12"/>
        <v>0</v>
      </c>
      <c r="Y264" s="5">
        <f>SUMIFS('XBS '!T:T,'XBS '!H:H,' General Stock Summary View  '!$Y$2,'XBS '!B:B,' General Stock Summary View  '!C264,'XBS '!L:L,' General Stock Summary View  '!B264)</f>
        <v>0</v>
      </c>
      <c r="Z264" s="3">
        <f>SUMIFS('PowerApp_Physical count'!H:H,'PowerApp_Physical count'!B:B,' General Stock Summary View  '!$Y$2,'PowerApp_Physical count'!C:C,' General Stock Summary View  '!C264,'PowerApp_Physical count'!A:A,' General Stock Summary View  '!B264)</f>
        <v>0</v>
      </c>
      <c r="AA264" s="4">
        <f t="shared" si="13"/>
        <v>0</v>
      </c>
      <c r="AB264" s="5">
        <f>SUMIFS('XBS '!T:T,'XBS '!H:H,' General Stock Summary View  '!$AB$2,'XBS '!B:B,' General Stock Summary View  '!C264,'XBS '!L:L,' General Stock Summary View  '!B264)</f>
        <v>0</v>
      </c>
      <c r="AC264" s="3">
        <f>SUMIFS('PowerApp_Physical count'!H:H,'PowerApp_Physical count'!B:B,' General Stock Summary View  '!$AB$2,'PowerApp_Physical count'!C:C,' General Stock Summary View  '!C264,'PowerApp_Physical count'!A:A,' General Stock Summary View  '!B264)</f>
        <v>0</v>
      </c>
      <c r="AD264" s="6">
        <f t="shared" si="14"/>
        <v>0</v>
      </c>
      <c r="AE264" s="7">
        <f t="shared" si="8"/>
        <v>73.55</v>
      </c>
      <c r="AF264" s="8">
        <f t="shared" si="9"/>
        <v>0</v>
      </c>
      <c r="AG264" s="112"/>
    </row>
    <row r="265" spans="2:33" s="113" customFormat="1" ht="61.15">
      <c r="B265" s="117" t="s">
        <v>268</v>
      </c>
      <c r="C265" s="111" t="s">
        <v>240</v>
      </c>
      <c r="D265" s="11">
        <f>SUMIFS('XBS '!T:T,'XBS '!C:C,' General Stock Summary View  '!C265,'XBS '!L:L,' General Stock Summary View  '!B265)</f>
        <v>96.583333333333329</v>
      </c>
      <c r="E265" s="2">
        <f>SUMIFS('Blocked for Processing'!P:P,'Blocked for Processing'!I:I,' General Stock Summary View  '!B265,'Blocked for Processing'!C:C,' General Stock Summary View  '!C265)</f>
        <v>0</v>
      </c>
      <c r="F265" s="122">
        <f t="shared" si="0"/>
        <v>96.583333333333329</v>
      </c>
      <c r="G265" s="148">
        <f>SUMIFS('XBS '!T:T,'XBS '!H:H,' General Stock Summary View  '!$G$2,'XBS '!L:L,' General Stock Summary View  '!B265,'XBS '!C:C,' General Stock Summary View  '!C265)</f>
        <v>96.583333333333329</v>
      </c>
      <c r="H265" s="3">
        <f>SUMIFS('PowerApp_Physical count'!H:H,'PowerApp_Physical count'!B:B,' General Stock Summary View  '!$G$2,'PowerApp_Physical count'!C:C,' General Stock Summary View  '!C265,'PowerApp_Physical count'!A:A,' General Stock Summary View  '!B265)</f>
        <v>96.583333333333329</v>
      </c>
      <c r="I265" s="154">
        <f t="shared" si="42"/>
        <v>0</v>
      </c>
      <c r="J265" s="11">
        <f>SUMIFS('XBS '!T:T,'XBS '!H:H,' General Stock Summary View  '!$J$2,'XBS '!L:L,' General Stock Summary View  '!B265,'XBS '!C:C,' General Stock Summary View  '!C265)</f>
        <v>0</v>
      </c>
      <c r="K265" s="157">
        <f>SUMIFS('PowerApp_Physical count'!H:H,'PowerApp_Physical count'!B:B,' General Stock Summary View  '!$J$2,'PowerApp_Physical count'!C:C,' General Stock Summary View  '!C265,'PowerApp_Physical count'!A:A,' General Stock Summary View  '!B265)</f>
        <v>0</v>
      </c>
      <c r="L265" s="127">
        <f t="shared" si="15"/>
        <v>0</v>
      </c>
      <c r="M265" s="126">
        <f t="shared" si="2"/>
        <v>96.583333333333329</v>
      </c>
      <c r="N265" s="11">
        <f t="shared" si="3"/>
        <v>96.583333333333329</v>
      </c>
      <c r="O265" s="144">
        <f t="shared" si="10"/>
        <v>0</v>
      </c>
      <c r="P265" s="2">
        <f>SUMIFS('XBS '!T:T,'XBS '!H:H,' General Stock Summary View  '!$P$2,'XBS '!L:L,' General Stock Summary View  '!B265,'XBS '!C:C,' General Stock Summary View  '!C265)</f>
        <v>0</v>
      </c>
      <c r="Q265" s="3">
        <f>SUMIFS('PowerApp_Physical count'!H:H,'PowerApp_Physical count'!B:B,' General Stock Summary View  '!$P$2,'PowerApp_Physical count'!C:C,' General Stock Summary View  '!C265,'PowerApp_Physical count'!A:A,' General Stock Summary View  '!B265)</f>
        <v>0</v>
      </c>
      <c r="R265" s="4">
        <f t="shared" si="11"/>
        <v>0</v>
      </c>
      <c r="S265" s="5">
        <f>SUMIFS('XBS '!T:T,'XBS '!L:L,' General Stock Summary View  '!B265,'XBS '!H:H,' General Stock Summary View  '!$S$2,'XBS '!C:C,' General Stock Summary View  '!C265)</f>
        <v>0</v>
      </c>
      <c r="T265" s="3">
        <f>SUMIFS('PowerApp_Physical count'!H:H,'PowerApp_Physical count'!B:B,' General Stock Summary View  '!$S$2,'PowerApp_Physical count'!C:C,' General Stock Summary View  '!C265,'PowerApp_Physical count'!A:A,' General Stock Summary View  '!B265)</f>
        <v>0</v>
      </c>
      <c r="U265" s="4">
        <f t="shared" si="4"/>
        <v>0</v>
      </c>
      <c r="V265" s="2">
        <f>SUMIFS('XBS '!T:T,'XBS '!H:H,' General Stock Summary View  '!$V$2,'XBS '!B:B,' General Stock Summary View  '!C265,'XBS '!L:L,' General Stock Summary View  '!B265)</f>
        <v>0</v>
      </c>
      <c r="W265" s="3">
        <f>SUMIFS('PowerApp_Physical count'!H:H,'PowerApp_Physical count'!B:B,' General Stock Summary View  '!$V$2,'PowerApp_Physical count'!C:C,' General Stock Summary View  '!C265,'PowerApp_Physical count'!A:A,' General Stock Summary View  '!B265)</f>
        <v>0</v>
      </c>
      <c r="X265" s="4">
        <f t="shared" si="12"/>
        <v>0</v>
      </c>
      <c r="Y265" s="5">
        <f>SUMIFS('XBS '!T:T,'XBS '!H:H,' General Stock Summary View  '!$Y$2,'XBS '!B:B,' General Stock Summary View  '!C265,'XBS '!L:L,' General Stock Summary View  '!B265)</f>
        <v>0</v>
      </c>
      <c r="Z265" s="3">
        <f>SUMIFS('PowerApp_Physical count'!H:H,'PowerApp_Physical count'!B:B,' General Stock Summary View  '!$Y$2,'PowerApp_Physical count'!C:C,' General Stock Summary View  '!C265,'PowerApp_Physical count'!A:A,' General Stock Summary View  '!B265)</f>
        <v>0</v>
      </c>
      <c r="AA265" s="4">
        <f t="shared" si="13"/>
        <v>0</v>
      </c>
      <c r="AB265" s="5">
        <f>SUMIFS('XBS '!T:T,'XBS '!H:H,' General Stock Summary View  '!$AB$2,'XBS '!B:B,' General Stock Summary View  '!C265,'XBS '!L:L,' General Stock Summary View  '!B265)</f>
        <v>0</v>
      </c>
      <c r="AC265" s="3">
        <f>SUMIFS('PowerApp_Physical count'!H:H,'PowerApp_Physical count'!B:B,' General Stock Summary View  '!$AB$2,'PowerApp_Physical count'!C:C,' General Stock Summary View  '!C265,'PowerApp_Physical count'!A:A,' General Stock Summary View  '!B265)</f>
        <v>0</v>
      </c>
      <c r="AD265" s="6">
        <f t="shared" si="14"/>
        <v>0</v>
      </c>
      <c r="AE265" s="7">
        <f t="shared" si="8"/>
        <v>96.583333333333329</v>
      </c>
      <c r="AF265" s="8">
        <f t="shared" si="9"/>
        <v>0</v>
      </c>
      <c r="AG265" s="112"/>
    </row>
    <row r="266" spans="2:33" s="113" customFormat="1" ht="61.15">
      <c r="B266" s="117" t="s">
        <v>269</v>
      </c>
      <c r="C266" s="111" t="s">
        <v>240</v>
      </c>
      <c r="D266" s="11">
        <f>SUMIFS('XBS '!T:T,'XBS '!C:C,' General Stock Summary View  '!C266,'XBS '!L:L,' General Stock Summary View  '!B266)</f>
        <v>267.3</v>
      </c>
      <c r="E266" s="2">
        <f>SUMIFS('Blocked for Processing'!P:P,'Blocked for Processing'!I:I,' General Stock Summary View  '!B266,'Blocked for Processing'!C:C,' General Stock Summary View  '!C266)</f>
        <v>0</v>
      </c>
      <c r="F266" s="122">
        <f t="shared" si="0"/>
        <v>267.3</v>
      </c>
      <c r="G266" s="148">
        <f>SUMIFS('XBS '!T:T,'XBS '!H:H,' General Stock Summary View  '!$G$2,'XBS '!L:L,' General Stock Summary View  '!B266,'XBS '!C:C,' General Stock Summary View  '!C266)</f>
        <v>267.3</v>
      </c>
      <c r="H266" s="3">
        <f>SUMIFS('PowerApp_Physical count'!H:H,'PowerApp_Physical count'!B:B,' General Stock Summary View  '!$G$2,'PowerApp_Physical count'!C:C,' General Stock Summary View  '!C266,'PowerApp_Physical count'!A:A,' General Stock Summary View  '!B266)</f>
        <v>267.3</v>
      </c>
      <c r="I266" s="154">
        <f t="shared" si="42"/>
        <v>0</v>
      </c>
      <c r="J266" s="11">
        <f>SUMIFS('XBS '!T:T,'XBS '!H:H,' General Stock Summary View  '!$J$2,'XBS '!L:L,' General Stock Summary View  '!B266,'XBS '!C:C,' General Stock Summary View  '!C266)</f>
        <v>0</v>
      </c>
      <c r="K266" s="157">
        <f>SUMIFS('PowerApp_Physical count'!H:H,'PowerApp_Physical count'!B:B,' General Stock Summary View  '!$J$2,'PowerApp_Physical count'!C:C,' General Stock Summary View  '!C266,'PowerApp_Physical count'!A:A,' General Stock Summary View  '!B266)</f>
        <v>0</v>
      </c>
      <c r="L266" s="127">
        <f t="shared" si="15"/>
        <v>0</v>
      </c>
      <c r="M266" s="126">
        <f t="shared" si="2"/>
        <v>267.3</v>
      </c>
      <c r="N266" s="11">
        <f t="shared" si="3"/>
        <v>267.3</v>
      </c>
      <c r="O266" s="144">
        <f t="shared" si="10"/>
        <v>0</v>
      </c>
      <c r="P266" s="2">
        <f>SUMIFS('XBS '!T:T,'XBS '!H:H,' General Stock Summary View  '!$P$2,'XBS '!L:L,' General Stock Summary View  '!B266,'XBS '!C:C,' General Stock Summary View  '!C266)</f>
        <v>0</v>
      </c>
      <c r="Q266" s="3">
        <f>SUMIFS('PowerApp_Physical count'!H:H,'PowerApp_Physical count'!B:B,' General Stock Summary View  '!$P$2,'PowerApp_Physical count'!C:C,' General Stock Summary View  '!C266,'PowerApp_Physical count'!A:A,' General Stock Summary View  '!B266)</f>
        <v>0</v>
      </c>
      <c r="R266" s="4">
        <f t="shared" si="11"/>
        <v>0</v>
      </c>
      <c r="S266" s="5">
        <f>SUMIFS('XBS '!T:T,'XBS '!L:L,' General Stock Summary View  '!B266,'XBS '!H:H,' General Stock Summary View  '!$S$2,'XBS '!C:C,' General Stock Summary View  '!C266)</f>
        <v>0</v>
      </c>
      <c r="T266" s="3">
        <f>SUMIFS('PowerApp_Physical count'!H:H,'PowerApp_Physical count'!B:B,' General Stock Summary View  '!$S$2,'PowerApp_Physical count'!C:C,' General Stock Summary View  '!C266,'PowerApp_Physical count'!A:A,' General Stock Summary View  '!B266)</f>
        <v>0</v>
      </c>
      <c r="U266" s="4">
        <f t="shared" si="4"/>
        <v>0</v>
      </c>
      <c r="V266" s="2">
        <f>SUMIFS('XBS '!T:T,'XBS '!H:H,' General Stock Summary View  '!$V$2,'XBS '!B:B,' General Stock Summary View  '!C266,'XBS '!L:L,' General Stock Summary View  '!B266)</f>
        <v>0</v>
      </c>
      <c r="W266" s="3">
        <f>SUMIFS('PowerApp_Physical count'!H:H,'PowerApp_Physical count'!B:B,' General Stock Summary View  '!$V$2,'PowerApp_Physical count'!C:C,' General Stock Summary View  '!C266,'PowerApp_Physical count'!A:A,' General Stock Summary View  '!B266)</f>
        <v>0</v>
      </c>
      <c r="X266" s="4">
        <f t="shared" si="12"/>
        <v>0</v>
      </c>
      <c r="Y266" s="5">
        <f>SUMIFS('XBS '!T:T,'XBS '!H:H,' General Stock Summary View  '!$Y$2,'XBS '!B:B,' General Stock Summary View  '!C266,'XBS '!L:L,' General Stock Summary View  '!B266)</f>
        <v>0</v>
      </c>
      <c r="Z266" s="3">
        <f>SUMIFS('PowerApp_Physical count'!H:H,'PowerApp_Physical count'!B:B,' General Stock Summary View  '!$Y$2,'PowerApp_Physical count'!C:C,' General Stock Summary View  '!C266,'PowerApp_Physical count'!A:A,' General Stock Summary View  '!B266)</f>
        <v>0</v>
      </c>
      <c r="AA266" s="4">
        <f t="shared" si="13"/>
        <v>0</v>
      </c>
      <c r="AB266" s="5">
        <f>SUMIFS('XBS '!T:T,'XBS '!H:H,' General Stock Summary View  '!$AB$2,'XBS '!B:B,' General Stock Summary View  '!C266,'XBS '!L:L,' General Stock Summary View  '!B266)</f>
        <v>0</v>
      </c>
      <c r="AC266" s="3">
        <f>SUMIFS('PowerApp_Physical count'!H:H,'PowerApp_Physical count'!B:B,' General Stock Summary View  '!$AB$2,'PowerApp_Physical count'!C:C,' General Stock Summary View  '!C266,'PowerApp_Physical count'!A:A,' General Stock Summary View  '!B266)</f>
        <v>0</v>
      </c>
      <c r="AD266" s="6">
        <f t="shared" si="14"/>
        <v>0</v>
      </c>
      <c r="AE266" s="7">
        <f t="shared" si="8"/>
        <v>267.3</v>
      </c>
      <c r="AF266" s="8">
        <f t="shared" si="9"/>
        <v>0</v>
      </c>
      <c r="AG266" s="112"/>
    </row>
    <row r="267" spans="2:33" s="113" customFormat="1" ht="61.15">
      <c r="B267" s="117" t="s">
        <v>270</v>
      </c>
      <c r="C267" s="111" t="s">
        <v>240</v>
      </c>
      <c r="D267" s="11">
        <f>SUMIFS('XBS '!T:T,'XBS '!C:C,' General Stock Summary View  '!C267,'XBS '!L:L,' General Stock Summary View  '!B267)</f>
        <v>42.333333333333336</v>
      </c>
      <c r="E267" s="2">
        <f>SUMIFS('Blocked for Processing'!P:P,'Blocked for Processing'!I:I,' General Stock Summary View  '!B267,'Blocked for Processing'!C:C,' General Stock Summary View  '!C267)</f>
        <v>20.083333333333332</v>
      </c>
      <c r="F267" s="122">
        <f t="shared" si="0"/>
        <v>62.416666666666671</v>
      </c>
      <c r="G267" s="148">
        <f>SUMIFS('XBS '!T:T,'XBS '!H:H,' General Stock Summary View  '!$G$2,'XBS '!L:L,' General Stock Summary View  '!B267,'XBS '!C:C,' General Stock Summary View  '!C267)</f>
        <v>42.333333333333336</v>
      </c>
      <c r="H267" s="3">
        <f>SUMIFS('PowerApp_Physical count'!H:H,'PowerApp_Physical count'!B:B,' General Stock Summary View  '!$G$2,'PowerApp_Physical count'!C:C,' General Stock Summary View  '!C267,'PowerApp_Physical count'!A:A,' General Stock Summary View  '!B267)</f>
        <v>62.416666666666664</v>
      </c>
      <c r="I267" s="154">
        <f t="shared" si="42"/>
        <v>20.083333333333329</v>
      </c>
      <c r="J267" s="11">
        <f>SUMIFS('XBS '!T:T,'XBS '!H:H,' General Stock Summary View  '!$J$2,'XBS '!L:L,' General Stock Summary View  '!B267,'XBS '!C:C,' General Stock Summary View  '!C267)</f>
        <v>0</v>
      </c>
      <c r="K267" s="157">
        <f>SUMIFS('PowerApp_Physical count'!H:H,'PowerApp_Physical count'!B:B,' General Stock Summary View  '!$J$2,'PowerApp_Physical count'!C:C,' General Stock Summary View  '!C267,'PowerApp_Physical count'!A:A,' General Stock Summary View  '!B267)</f>
        <v>0</v>
      </c>
      <c r="L267" s="127">
        <f t="shared" si="15"/>
        <v>0</v>
      </c>
      <c r="M267" s="126">
        <f t="shared" si="2"/>
        <v>62.416666666666671</v>
      </c>
      <c r="N267" s="11">
        <f t="shared" si="3"/>
        <v>62.416666666666664</v>
      </c>
      <c r="O267" s="144">
        <f t="shared" si="10"/>
        <v>0</v>
      </c>
      <c r="P267" s="2">
        <f>SUMIFS('XBS '!T:T,'XBS '!H:H,' General Stock Summary View  '!$P$2,'XBS '!L:L,' General Stock Summary View  '!B267,'XBS '!C:C,' General Stock Summary View  '!C267)</f>
        <v>0</v>
      </c>
      <c r="Q267" s="3">
        <f>SUMIFS('PowerApp_Physical count'!H:H,'PowerApp_Physical count'!B:B,' General Stock Summary View  '!$P$2,'PowerApp_Physical count'!C:C,' General Stock Summary View  '!C267,'PowerApp_Physical count'!A:A,' General Stock Summary View  '!B267)</f>
        <v>0</v>
      </c>
      <c r="R267" s="4">
        <f t="shared" si="11"/>
        <v>0</v>
      </c>
      <c r="S267" s="5">
        <f>SUMIFS('XBS '!T:T,'XBS '!L:L,' General Stock Summary View  '!B267,'XBS '!H:H,' General Stock Summary View  '!$S$2,'XBS '!C:C,' General Stock Summary View  '!C267)</f>
        <v>0</v>
      </c>
      <c r="T267" s="3">
        <f>SUMIFS('PowerApp_Physical count'!H:H,'PowerApp_Physical count'!B:B,' General Stock Summary View  '!$S$2,'PowerApp_Physical count'!C:C,' General Stock Summary View  '!C267,'PowerApp_Physical count'!A:A,' General Stock Summary View  '!B267)</f>
        <v>0</v>
      </c>
      <c r="U267" s="4">
        <f t="shared" si="4"/>
        <v>0</v>
      </c>
      <c r="V267" s="2">
        <f>SUMIFS('XBS '!T:T,'XBS '!H:H,' General Stock Summary View  '!$V$2,'XBS '!B:B,' General Stock Summary View  '!C267,'XBS '!L:L,' General Stock Summary View  '!B267)</f>
        <v>0</v>
      </c>
      <c r="W267" s="3">
        <f>SUMIFS('PowerApp_Physical count'!H:H,'PowerApp_Physical count'!B:B,' General Stock Summary View  '!$V$2,'PowerApp_Physical count'!C:C,' General Stock Summary View  '!C267,'PowerApp_Physical count'!A:A,' General Stock Summary View  '!B267)</f>
        <v>0</v>
      </c>
      <c r="X267" s="4">
        <f t="shared" si="12"/>
        <v>0</v>
      </c>
      <c r="Y267" s="5">
        <f>SUMIFS('XBS '!T:T,'XBS '!H:H,' General Stock Summary View  '!$Y$2,'XBS '!B:B,' General Stock Summary View  '!C267,'XBS '!L:L,' General Stock Summary View  '!B267)</f>
        <v>0</v>
      </c>
      <c r="Z267" s="3">
        <f>SUMIFS('PowerApp_Physical count'!H:H,'PowerApp_Physical count'!B:B,' General Stock Summary View  '!$Y$2,'PowerApp_Physical count'!C:C,' General Stock Summary View  '!C267,'PowerApp_Physical count'!A:A,' General Stock Summary View  '!B267)</f>
        <v>0</v>
      </c>
      <c r="AA267" s="4">
        <f t="shared" si="13"/>
        <v>0</v>
      </c>
      <c r="AB267" s="5">
        <f>SUMIFS('XBS '!T:T,'XBS '!H:H,' General Stock Summary View  '!$AB$2,'XBS '!B:B,' General Stock Summary View  '!C267,'XBS '!L:L,' General Stock Summary View  '!B267)</f>
        <v>0</v>
      </c>
      <c r="AC267" s="3">
        <f>SUMIFS('PowerApp_Physical count'!H:H,'PowerApp_Physical count'!B:B,' General Stock Summary View  '!$AB$2,'PowerApp_Physical count'!C:C,' General Stock Summary View  '!C267,'PowerApp_Physical count'!A:A,' General Stock Summary View  '!B267)</f>
        <v>0</v>
      </c>
      <c r="AD267" s="6">
        <f t="shared" si="14"/>
        <v>0</v>
      </c>
      <c r="AE267" s="7">
        <f t="shared" si="8"/>
        <v>62.416666666666664</v>
      </c>
      <c r="AF267" s="8">
        <f t="shared" si="9"/>
        <v>0</v>
      </c>
      <c r="AG267" s="112"/>
    </row>
    <row r="268" spans="2:33" s="113" customFormat="1" ht="61.15">
      <c r="B268" s="117" t="s">
        <v>271</v>
      </c>
      <c r="C268" s="111" t="s">
        <v>240</v>
      </c>
      <c r="D268" s="11">
        <f>SUMIFS('XBS '!T:T,'XBS '!C:C,' General Stock Summary View  '!C268,'XBS '!L:L,' General Stock Summary View  '!B268)</f>
        <v>326.33333333333331</v>
      </c>
      <c r="E268" s="2">
        <f>SUMIFS('Blocked for Processing'!P:P,'Blocked for Processing'!I:I,' General Stock Summary View  '!B268,'Blocked for Processing'!C:C,' General Stock Summary View  '!C268)</f>
        <v>0</v>
      </c>
      <c r="F268" s="122">
        <f t="shared" si="0"/>
        <v>326.33333333333331</v>
      </c>
      <c r="G268" s="148">
        <f>SUMIFS('XBS '!T:T,'XBS '!H:H,' General Stock Summary View  '!$G$2,'XBS '!L:L,' General Stock Summary View  '!B268,'XBS '!C:C,' General Stock Summary View  '!C268)</f>
        <v>326.33333333333331</v>
      </c>
      <c r="H268" s="3">
        <f>SUMIFS('PowerApp_Physical count'!H:H,'PowerApp_Physical count'!B:B,' General Stock Summary View  '!$G$2,'PowerApp_Physical count'!C:C,' General Stock Summary View  '!C268,'PowerApp_Physical count'!A:A,' General Stock Summary View  '!B268)</f>
        <v>326.33333333333331</v>
      </c>
      <c r="I268" s="154">
        <f t="shared" si="42"/>
        <v>0</v>
      </c>
      <c r="J268" s="11">
        <f>SUMIFS('XBS '!T:T,'XBS '!H:H,' General Stock Summary View  '!$J$2,'XBS '!L:L,' General Stock Summary View  '!B268,'XBS '!C:C,' General Stock Summary View  '!C268)</f>
        <v>0</v>
      </c>
      <c r="K268" s="157">
        <f>SUMIFS('PowerApp_Physical count'!H:H,'PowerApp_Physical count'!B:B,' General Stock Summary View  '!$J$2,'PowerApp_Physical count'!C:C,' General Stock Summary View  '!C268,'PowerApp_Physical count'!A:A,' General Stock Summary View  '!B268)</f>
        <v>0</v>
      </c>
      <c r="L268" s="127">
        <f t="shared" si="15"/>
        <v>0</v>
      </c>
      <c r="M268" s="126">
        <f t="shared" si="2"/>
        <v>326.33333333333331</v>
      </c>
      <c r="N268" s="11">
        <f t="shared" si="3"/>
        <v>326.33333333333331</v>
      </c>
      <c r="O268" s="144">
        <f t="shared" si="10"/>
        <v>0</v>
      </c>
      <c r="P268" s="2">
        <f>SUMIFS('XBS '!T:T,'XBS '!H:H,' General Stock Summary View  '!$P$2,'XBS '!L:L,' General Stock Summary View  '!B268,'XBS '!C:C,' General Stock Summary View  '!C268)</f>
        <v>0</v>
      </c>
      <c r="Q268" s="3">
        <f>SUMIFS('PowerApp_Physical count'!H:H,'PowerApp_Physical count'!B:B,' General Stock Summary View  '!$P$2,'PowerApp_Physical count'!C:C,' General Stock Summary View  '!C268,'PowerApp_Physical count'!A:A,' General Stock Summary View  '!B268)</f>
        <v>0</v>
      </c>
      <c r="R268" s="4">
        <f t="shared" si="11"/>
        <v>0</v>
      </c>
      <c r="S268" s="5">
        <f>SUMIFS('XBS '!T:T,'XBS '!L:L,' General Stock Summary View  '!B268,'XBS '!H:H,' General Stock Summary View  '!$S$2,'XBS '!C:C,' General Stock Summary View  '!C268)</f>
        <v>0</v>
      </c>
      <c r="T268" s="3">
        <f>SUMIFS('PowerApp_Physical count'!H:H,'PowerApp_Physical count'!B:B,' General Stock Summary View  '!$S$2,'PowerApp_Physical count'!C:C,' General Stock Summary View  '!C268,'PowerApp_Physical count'!A:A,' General Stock Summary View  '!B268)</f>
        <v>0</v>
      </c>
      <c r="U268" s="4">
        <f t="shared" si="4"/>
        <v>0</v>
      </c>
      <c r="V268" s="2">
        <f>SUMIFS('XBS '!T:T,'XBS '!H:H,' General Stock Summary View  '!$V$2,'XBS '!B:B,' General Stock Summary View  '!C268,'XBS '!L:L,' General Stock Summary View  '!B268)</f>
        <v>0</v>
      </c>
      <c r="W268" s="3">
        <f>SUMIFS('PowerApp_Physical count'!H:H,'PowerApp_Physical count'!B:B,' General Stock Summary View  '!$V$2,'PowerApp_Physical count'!C:C,' General Stock Summary View  '!C268,'PowerApp_Physical count'!A:A,' General Stock Summary View  '!B268)</f>
        <v>0</v>
      </c>
      <c r="X268" s="4">
        <f t="shared" si="12"/>
        <v>0</v>
      </c>
      <c r="Y268" s="5">
        <f>SUMIFS('XBS '!T:T,'XBS '!H:H,' General Stock Summary View  '!$Y$2,'XBS '!B:B,' General Stock Summary View  '!C268,'XBS '!L:L,' General Stock Summary View  '!B268)</f>
        <v>0</v>
      </c>
      <c r="Z268" s="3">
        <f>SUMIFS('PowerApp_Physical count'!H:H,'PowerApp_Physical count'!B:B,' General Stock Summary View  '!$Y$2,'PowerApp_Physical count'!C:C,' General Stock Summary View  '!C268,'PowerApp_Physical count'!A:A,' General Stock Summary View  '!B268)</f>
        <v>0</v>
      </c>
      <c r="AA268" s="4">
        <f t="shared" si="13"/>
        <v>0</v>
      </c>
      <c r="AB268" s="5">
        <f>SUMIFS('XBS '!T:T,'XBS '!H:H,' General Stock Summary View  '!$AB$2,'XBS '!B:B,' General Stock Summary View  '!C268,'XBS '!L:L,' General Stock Summary View  '!B268)</f>
        <v>0</v>
      </c>
      <c r="AC268" s="3">
        <f>SUMIFS('PowerApp_Physical count'!H:H,'PowerApp_Physical count'!B:B,' General Stock Summary View  '!$AB$2,'PowerApp_Physical count'!C:C,' General Stock Summary View  '!C268,'PowerApp_Physical count'!A:A,' General Stock Summary View  '!B268)</f>
        <v>0</v>
      </c>
      <c r="AD268" s="6">
        <f t="shared" si="14"/>
        <v>0</v>
      </c>
      <c r="AE268" s="7">
        <f t="shared" si="8"/>
        <v>326.33333333333331</v>
      </c>
      <c r="AF268" s="8">
        <f t="shared" si="9"/>
        <v>0</v>
      </c>
      <c r="AG268" s="112"/>
    </row>
    <row r="269" spans="2:33" s="113" customFormat="1" ht="61.15">
      <c r="B269" s="117" t="s">
        <v>272</v>
      </c>
      <c r="C269" s="111" t="s">
        <v>240</v>
      </c>
      <c r="D269" s="11">
        <f>SUMIFS('XBS '!T:T,'XBS '!C:C,' General Stock Summary View  '!C269,'XBS '!L:L,' General Stock Summary View  '!B269)</f>
        <v>60.6</v>
      </c>
      <c r="E269" s="2">
        <f>SUMIFS('Blocked for Processing'!P:P,'Blocked for Processing'!I:I,' General Stock Summary View  '!B269,'Blocked for Processing'!C:C,' General Stock Summary View  '!C269)</f>
        <v>0</v>
      </c>
      <c r="F269" s="122">
        <f t="shared" si="0"/>
        <v>60.6</v>
      </c>
      <c r="G269" s="148">
        <f>SUMIFS('XBS '!T:T,'XBS '!H:H,' General Stock Summary View  '!$G$2,'XBS '!L:L,' General Stock Summary View  '!B269,'XBS '!C:C,' General Stock Summary View  '!C269)</f>
        <v>60.6</v>
      </c>
      <c r="H269" s="3">
        <f>SUMIFS('PowerApp_Physical count'!H:H,'PowerApp_Physical count'!B:B,' General Stock Summary View  '!$G$2,'PowerApp_Physical count'!C:C,' General Stock Summary View  '!C269,'PowerApp_Physical count'!A:A,' General Stock Summary View  '!B269)</f>
        <v>60.6</v>
      </c>
      <c r="I269" s="154">
        <f t="shared" si="42"/>
        <v>0</v>
      </c>
      <c r="J269" s="11">
        <f>SUMIFS('XBS '!T:T,'XBS '!H:H,' General Stock Summary View  '!$J$2,'XBS '!L:L,' General Stock Summary View  '!B269,'XBS '!C:C,' General Stock Summary View  '!C269)</f>
        <v>0</v>
      </c>
      <c r="K269" s="157">
        <f>SUMIFS('PowerApp_Physical count'!H:H,'PowerApp_Physical count'!B:B,' General Stock Summary View  '!$J$2,'PowerApp_Physical count'!C:C,' General Stock Summary View  '!C269,'PowerApp_Physical count'!A:A,' General Stock Summary View  '!B269)</f>
        <v>0</v>
      </c>
      <c r="L269" s="127">
        <f t="shared" si="15"/>
        <v>0</v>
      </c>
      <c r="M269" s="126">
        <f t="shared" si="2"/>
        <v>60.6</v>
      </c>
      <c r="N269" s="11">
        <f t="shared" si="3"/>
        <v>60.6</v>
      </c>
      <c r="O269" s="144">
        <f t="shared" si="10"/>
        <v>0</v>
      </c>
      <c r="P269" s="2">
        <f>SUMIFS('XBS '!T:T,'XBS '!H:H,' General Stock Summary View  '!$P$2,'XBS '!L:L,' General Stock Summary View  '!B269,'XBS '!C:C,' General Stock Summary View  '!C269)</f>
        <v>0</v>
      </c>
      <c r="Q269" s="3">
        <f>SUMIFS('PowerApp_Physical count'!H:H,'PowerApp_Physical count'!B:B,' General Stock Summary View  '!$P$2,'PowerApp_Physical count'!C:C,' General Stock Summary View  '!C269,'PowerApp_Physical count'!A:A,' General Stock Summary View  '!B269)</f>
        <v>0</v>
      </c>
      <c r="R269" s="4">
        <f t="shared" si="11"/>
        <v>0</v>
      </c>
      <c r="S269" s="5">
        <f>SUMIFS('XBS '!T:T,'XBS '!L:L,' General Stock Summary View  '!B269,'XBS '!H:H,' General Stock Summary View  '!$S$2,'XBS '!C:C,' General Stock Summary View  '!C269)</f>
        <v>0</v>
      </c>
      <c r="T269" s="3">
        <f>SUMIFS('PowerApp_Physical count'!H:H,'PowerApp_Physical count'!B:B,' General Stock Summary View  '!$S$2,'PowerApp_Physical count'!C:C,' General Stock Summary View  '!C269,'PowerApp_Physical count'!A:A,' General Stock Summary View  '!B269)</f>
        <v>0</v>
      </c>
      <c r="U269" s="4">
        <f t="shared" si="4"/>
        <v>0</v>
      </c>
      <c r="V269" s="2">
        <f>SUMIFS('XBS '!T:T,'XBS '!H:H,' General Stock Summary View  '!$V$2,'XBS '!B:B,' General Stock Summary View  '!C269,'XBS '!L:L,' General Stock Summary View  '!B269)</f>
        <v>0</v>
      </c>
      <c r="W269" s="3">
        <f>SUMIFS('PowerApp_Physical count'!H:H,'PowerApp_Physical count'!B:B,' General Stock Summary View  '!$V$2,'PowerApp_Physical count'!C:C,' General Stock Summary View  '!C269,'PowerApp_Physical count'!A:A,' General Stock Summary View  '!B269)</f>
        <v>0</v>
      </c>
      <c r="X269" s="4">
        <f t="shared" si="12"/>
        <v>0</v>
      </c>
      <c r="Y269" s="5">
        <f>SUMIFS('XBS '!T:T,'XBS '!H:H,' General Stock Summary View  '!$Y$2,'XBS '!B:B,' General Stock Summary View  '!C269,'XBS '!L:L,' General Stock Summary View  '!B269)</f>
        <v>0</v>
      </c>
      <c r="Z269" s="3">
        <f>SUMIFS('PowerApp_Physical count'!H:H,'PowerApp_Physical count'!B:B,' General Stock Summary View  '!$Y$2,'PowerApp_Physical count'!C:C,' General Stock Summary View  '!C269,'PowerApp_Physical count'!A:A,' General Stock Summary View  '!B269)</f>
        <v>0</v>
      </c>
      <c r="AA269" s="4">
        <f t="shared" si="13"/>
        <v>0</v>
      </c>
      <c r="AB269" s="5">
        <f>SUMIFS('XBS '!T:T,'XBS '!H:H,' General Stock Summary View  '!$AB$2,'XBS '!B:B,' General Stock Summary View  '!C269,'XBS '!L:L,' General Stock Summary View  '!B269)</f>
        <v>0</v>
      </c>
      <c r="AC269" s="3">
        <f>SUMIFS('PowerApp_Physical count'!H:H,'PowerApp_Physical count'!B:B,' General Stock Summary View  '!$AB$2,'PowerApp_Physical count'!C:C,' General Stock Summary View  '!C269,'PowerApp_Physical count'!A:A,' General Stock Summary View  '!B269)</f>
        <v>0</v>
      </c>
      <c r="AD269" s="6">
        <f t="shared" si="14"/>
        <v>0</v>
      </c>
      <c r="AE269" s="7">
        <f t="shared" si="8"/>
        <v>60.6</v>
      </c>
      <c r="AF269" s="8">
        <f t="shared" si="9"/>
        <v>0</v>
      </c>
      <c r="AG269" s="112"/>
    </row>
    <row r="270" spans="2:33" s="113" customFormat="1" ht="61.15">
      <c r="B270" s="117" t="s">
        <v>273</v>
      </c>
      <c r="C270" s="111" t="s">
        <v>240</v>
      </c>
      <c r="D270" s="11">
        <f>SUMIFS('XBS '!T:T,'XBS '!C:C,' General Stock Summary View  '!C270,'XBS '!L:L,' General Stock Summary View  '!B270)</f>
        <v>35.616666666666667</v>
      </c>
      <c r="E270" s="2">
        <f>SUMIFS('Blocked for Processing'!P:P,'Blocked for Processing'!I:I,' General Stock Summary View  '!B270,'Blocked for Processing'!C:C,' General Stock Summary View  '!C270)</f>
        <v>0</v>
      </c>
      <c r="F270" s="122">
        <f t="shared" si="0"/>
        <v>35.616666666666667</v>
      </c>
      <c r="G270" s="148">
        <f>SUMIFS('XBS '!T:T,'XBS '!H:H,' General Stock Summary View  '!$G$2,'XBS '!L:L,' General Stock Summary View  '!B270,'XBS '!C:C,' General Stock Summary View  '!C270)</f>
        <v>35.616666666666667</v>
      </c>
      <c r="H270" s="3">
        <f>SUMIFS('PowerApp_Physical count'!H:H,'PowerApp_Physical count'!B:B,' General Stock Summary View  '!$G$2,'PowerApp_Physical count'!C:C,' General Stock Summary View  '!C270,'PowerApp_Physical count'!A:A,' General Stock Summary View  '!B270)</f>
        <v>35.616666666666667</v>
      </c>
      <c r="I270" s="154">
        <f t="shared" si="42"/>
        <v>0</v>
      </c>
      <c r="J270" s="11">
        <f>SUMIFS('XBS '!T:T,'XBS '!H:H,' General Stock Summary View  '!$J$2,'XBS '!L:L,' General Stock Summary View  '!B270,'XBS '!C:C,' General Stock Summary View  '!C270)</f>
        <v>0</v>
      </c>
      <c r="K270" s="157">
        <f>SUMIFS('PowerApp_Physical count'!H:H,'PowerApp_Physical count'!B:B,' General Stock Summary View  '!$J$2,'PowerApp_Physical count'!C:C,' General Stock Summary View  '!C270,'PowerApp_Physical count'!A:A,' General Stock Summary View  '!B270)</f>
        <v>0</v>
      </c>
      <c r="L270" s="127">
        <f t="shared" si="15"/>
        <v>0</v>
      </c>
      <c r="M270" s="126">
        <f t="shared" si="2"/>
        <v>35.616666666666667</v>
      </c>
      <c r="N270" s="11">
        <f t="shared" si="3"/>
        <v>35.616666666666667</v>
      </c>
      <c r="O270" s="144">
        <f t="shared" si="10"/>
        <v>0</v>
      </c>
      <c r="P270" s="2">
        <f>SUMIFS('XBS '!T:T,'XBS '!H:H,' General Stock Summary View  '!$P$2,'XBS '!L:L,' General Stock Summary View  '!B270,'XBS '!C:C,' General Stock Summary View  '!C270)</f>
        <v>0</v>
      </c>
      <c r="Q270" s="3">
        <f>SUMIFS('PowerApp_Physical count'!H:H,'PowerApp_Physical count'!B:B,' General Stock Summary View  '!$P$2,'PowerApp_Physical count'!C:C,' General Stock Summary View  '!C270,'PowerApp_Physical count'!A:A,' General Stock Summary View  '!B270)</f>
        <v>0</v>
      </c>
      <c r="R270" s="4">
        <f t="shared" si="11"/>
        <v>0</v>
      </c>
      <c r="S270" s="5">
        <f>SUMIFS('XBS '!T:T,'XBS '!L:L,' General Stock Summary View  '!B270,'XBS '!H:H,' General Stock Summary View  '!$S$2,'XBS '!C:C,' General Stock Summary View  '!C270)</f>
        <v>0</v>
      </c>
      <c r="T270" s="3">
        <f>SUMIFS('PowerApp_Physical count'!H:H,'PowerApp_Physical count'!B:B,' General Stock Summary View  '!$S$2,'PowerApp_Physical count'!C:C,' General Stock Summary View  '!C270,'PowerApp_Physical count'!A:A,' General Stock Summary View  '!B270)</f>
        <v>0</v>
      </c>
      <c r="U270" s="4">
        <f t="shared" si="4"/>
        <v>0</v>
      </c>
      <c r="V270" s="2">
        <f>SUMIFS('XBS '!T:T,'XBS '!H:H,' General Stock Summary View  '!$V$2,'XBS '!B:B,' General Stock Summary View  '!C270,'XBS '!L:L,' General Stock Summary View  '!B270)</f>
        <v>0</v>
      </c>
      <c r="W270" s="3">
        <f>SUMIFS('PowerApp_Physical count'!H:H,'PowerApp_Physical count'!B:B,' General Stock Summary View  '!$V$2,'PowerApp_Physical count'!C:C,' General Stock Summary View  '!C270,'PowerApp_Physical count'!A:A,' General Stock Summary View  '!B270)</f>
        <v>0</v>
      </c>
      <c r="X270" s="4">
        <f t="shared" si="12"/>
        <v>0</v>
      </c>
      <c r="Y270" s="5">
        <f>SUMIFS('XBS '!T:T,'XBS '!H:H,' General Stock Summary View  '!$Y$2,'XBS '!B:B,' General Stock Summary View  '!C270,'XBS '!L:L,' General Stock Summary View  '!B270)</f>
        <v>0</v>
      </c>
      <c r="Z270" s="3">
        <f>SUMIFS('PowerApp_Physical count'!H:H,'PowerApp_Physical count'!B:B,' General Stock Summary View  '!$Y$2,'PowerApp_Physical count'!C:C,' General Stock Summary View  '!C270,'PowerApp_Physical count'!A:A,' General Stock Summary View  '!B270)</f>
        <v>0</v>
      </c>
      <c r="AA270" s="4">
        <f t="shared" si="13"/>
        <v>0</v>
      </c>
      <c r="AB270" s="5">
        <f>SUMIFS('XBS '!T:T,'XBS '!H:H,' General Stock Summary View  '!$AB$2,'XBS '!B:B,' General Stock Summary View  '!C270,'XBS '!L:L,' General Stock Summary View  '!B270)</f>
        <v>0</v>
      </c>
      <c r="AC270" s="3">
        <f>SUMIFS('PowerApp_Physical count'!H:H,'PowerApp_Physical count'!B:B,' General Stock Summary View  '!$AB$2,'PowerApp_Physical count'!C:C,' General Stock Summary View  '!C270,'PowerApp_Physical count'!A:A,' General Stock Summary View  '!B270)</f>
        <v>0</v>
      </c>
      <c r="AD270" s="6">
        <f t="shared" si="14"/>
        <v>0</v>
      </c>
      <c r="AE270" s="7">
        <f t="shared" si="8"/>
        <v>35.616666666666667</v>
      </c>
      <c r="AF270" s="8">
        <f t="shared" si="9"/>
        <v>0</v>
      </c>
      <c r="AG270" s="112"/>
    </row>
    <row r="271" spans="2:33" s="113" customFormat="1" ht="61.15">
      <c r="B271" s="117" t="s">
        <v>274</v>
      </c>
      <c r="C271" s="111" t="s">
        <v>240</v>
      </c>
      <c r="D271" s="11">
        <f>SUMIFS('XBS '!T:T,'XBS '!C:C,' General Stock Summary View  '!C271,'XBS '!L:L,' General Stock Summary View  '!B271)</f>
        <v>69.86666666666666</v>
      </c>
      <c r="E271" s="2">
        <f>SUMIFS('Blocked for Processing'!P:P,'Blocked for Processing'!I:I,' General Stock Summary View  '!B271,'Blocked for Processing'!C:C,' General Stock Summary View  '!C271)</f>
        <v>0</v>
      </c>
      <c r="F271" s="122">
        <f t="shared" si="0"/>
        <v>69.86666666666666</v>
      </c>
      <c r="G271" s="148">
        <f>SUMIFS('XBS '!T:T,'XBS '!H:H,' General Stock Summary View  '!$G$2,'XBS '!L:L,' General Stock Summary View  '!B271,'XBS '!C:C,' General Stock Summary View  '!C271)</f>
        <v>69.86666666666666</v>
      </c>
      <c r="H271" s="3">
        <f>SUMIFS('PowerApp_Physical count'!H:H,'PowerApp_Physical count'!B:B,' General Stock Summary View  '!$G$2,'PowerApp_Physical count'!C:C,' General Stock Summary View  '!C271,'PowerApp_Physical count'!A:A,' General Stock Summary View  '!B271)</f>
        <v>69.86666666666666</v>
      </c>
      <c r="I271" s="154">
        <f t="shared" si="42"/>
        <v>0</v>
      </c>
      <c r="J271" s="11">
        <f>SUMIFS('XBS '!T:T,'XBS '!H:H,' General Stock Summary View  '!$J$2,'XBS '!L:L,' General Stock Summary View  '!B271,'XBS '!C:C,' General Stock Summary View  '!C271)</f>
        <v>0</v>
      </c>
      <c r="K271" s="157">
        <f>SUMIFS('PowerApp_Physical count'!H:H,'PowerApp_Physical count'!B:B,' General Stock Summary View  '!$J$2,'PowerApp_Physical count'!C:C,' General Stock Summary View  '!C271,'PowerApp_Physical count'!A:A,' General Stock Summary View  '!B271)</f>
        <v>0</v>
      </c>
      <c r="L271" s="127">
        <f t="shared" si="15"/>
        <v>0</v>
      </c>
      <c r="M271" s="126">
        <f t="shared" si="2"/>
        <v>69.86666666666666</v>
      </c>
      <c r="N271" s="11">
        <f t="shared" si="3"/>
        <v>69.86666666666666</v>
      </c>
      <c r="O271" s="144">
        <f t="shared" si="10"/>
        <v>0</v>
      </c>
      <c r="P271" s="2">
        <f>SUMIFS('XBS '!T:T,'XBS '!H:H,' General Stock Summary View  '!$P$2,'XBS '!L:L,' General Stock Summary View  '!B271,'XBS '!C:C,' General Stock Summary View  '!C271)</f>
        <v>0</v>
      </c>
      <c r="Q271" s="3">
        <f>SUMIFS('PowerApp_Physical count'!H:H,'PowerApp_Physical count'!B:B,' General Stock Summary View  '!$P$2,'PowerApp_Physical count'!C:C,' General Stock Summary View  '!C271,'PowerApp_Physical count'!A:A,' General Stock Summary View  '!B271)</f>
        <v>0</v>
      </c>
      <c r="R271" s="4">
        <f t="shared" si="11"/>
        <v>0</v>
      </c>
      <c r="S271" s="5">
        <f>SUMIFS('XBS '!T:T,'XBS '!L:L,' General Stock Summary View  '!B271,'XBS '!H:H,' General Stock Summary View  '!$S$2,'XBS '!C:C,' General Stock Summary View  '!C271)</f>
        <v>0</v>
      </c>
      <c r="T271" s="3">
        <f>SUMIFS('PowerApp_Physical count'!H:H,'PowerApp_Physical count'!B:B,' General Stock Summary View  '!$S$2,'PowerApp_Physical count'!C:C,' General Stock Summary View  '!C271,'PowerApp_Physical count'!A:A,' General Stock Summary View  '!B271)</f>
        <v>0</v>
      </c>
      <c r="U271" s="4">
        <f t="shared" si="4"/>
        <v>0</v>
      </c>
      <c r="V271" s="2">
        <f>SUMIFS('XBS '!T:T,'XBS '!H:H,' General Stock Summary View  '!$V$2,'XBS '!B:B,' General Stock Summary View  '!C271,'XBS '!L:L,' General Stock Summary View  '!B271)</f>
        <v>0</v>
      </c>
      <c r="W271" s="3">
        <f>SUMIFS('PowerApp_Physical count'!H:H,'PowerApp_Physical count'!B:B,' General Stock Summary View  '!$V$2,'PowerApp_Physical count'!C:C,' General Stock Summary View  '!C271,'PowerApp_Physical count'!A:A,' General Stock Summary View  '!B271)</f>
        <v>0</v>
      </c>
      <c r="X271" s="4">
        <f t="shared" si="12"/>
        <v>0</v>
      </c>
      <c r="Y271" s="5">
        <f>SUMIFS('XBS '!T:T,'XBS '!H:H,' General Stock Summary View  '!$Y$2,'XBS '!B:B,' General Stock Summary View  '!C271,'XBS '!L:L,' General Stock Summary View  '!B271)</f>
        <v>0</v>
      </c>
      <c r="Z271" s="3">
        <f>SUMIFS('PowerApp_Physical count'!H:H,'PowerApp_Physical count'!B:B,' General Stock Summary View  '!$Y$2,'PowerApp_Physical count'!C:C,' General Stock Summary View  '!C271,'PowerApp_Physical count'!A:A,' General Stock Summary View  '!B271)</f>
        <v>0</v>
      </c>
      <c r="AA271" s="4">
        <f t="shared" si="13"/>
        <v>0</v>
      </c>
      <c r="AB271" s="5">
        <f>SUMIFS('XBS '!T:T,'XBS '!H:H,' General Stock Summary View  '!$AB$2,'XBS '!B:B,' General Stock Summary View  '!C271,'XBS '!L:L,' General Stock Summary View  '!B271)</f>
        <v>0</v>
      </c>
      <c r="AC271" s="3">
        <f>SUMIFS('PowerApp_Physical count'!H:H,'PowerApp_Physical count'!B:B,' General Stock Summary View  '!$AB$2,'PowerApp_Physical count'!C:C,' General Stock Summary View  '!C271,'PowerApp_Physical count'!A:A,' General Stock Summary View  '!B271)</f>
        <v>0</v>
      </c>
      <c r="AD271" s="6">
        <f t="shared" si="14"/>
        <v>0</v>
      </c>
      <c r="AE271" s="7">
        <f t="shared" si="8"/>
        <v>69.86666666666666</v>
      </c>
      <c r="AF271" s="8">
        <f t="shared" si="9"/>
        <v>0</v>
      </c>
      <c r="AG271" s="112"/>
    </row>
    <row r="272" spans="2:33" s="113" customFormat="1" ht="61.15">
      <c r="B272" s="117" t="s">
        <v>275</v>
      </c>
      <c r="C272" s="111" t="s">
        <v>240</v>
      </c>
      <c r="D272" s="11">
        <f>SUMIFS('XBS '!T:T,'XBS '!C:C,' General Stock Summary View  '!C272,'XBS '!L:L,' General Stock Summary View  '!B272)</f>
        <v>91.183333333333337</v>
      </c>
      <c r="E272" s="2">
        <f>SUMIFS('Blocked for Processing'!P:P,'Blocked for Processing'!I:I,' General Stock Summary View  '!B272,'Blocked for Processing'!C:C,' General Stock Summary View  '!C272)</f>
        <v>0</v>
      </c>
      <c r="F272" s="122">
        <f t="shared" si="0"/>
        <v>91.183333333333337</v>
      </c>
      <c r="G272" s="148">
        <f>SUMIFS('XBS '!T:T,'XBS '!H:H,' General Stock Summary View  '!$G$2,'XBS '!L:L,' General Stock Summary View  '!B272,'XBS '!C:C,' General Stock Summary View  '!C272)</f>
        <v>91.183333333333337</v>
      </c>
      <c r="H272" s="3">
        <f>SUMIFS('PowerApp_Physical count'!H:H,'PowerApp_Physical count'!B:B,' General Stock Summary View  '!$G$2,'PowerApp_Physical count'!C:C,' General Stock Summary View  '!C272,'PowerApp_Physical count'!A:A,' General Stock Summary View  '!B272)</f>
        <v>91.183333333333337</v>
      </c>
      <c r="I272" s="154">
        <f t="shared" si="42"/>
        <v>0</v>
      </c>
      <c r="J272" s="11">
        <f>SUMIFS('XBS '!T:T,'XBS '!H:H,' General Stock Summary View  '!$J$2,'XBS '!L:L,' General Stock Summary View  '!B272,'XBS '!C:C,' General Stock Summary View  '!C272)</f>
        <v>0</v>
      </c>
      <c r="K272" s="157">
        <f>SUMIFS('PowerApp_Physical count'!H:H,'PowerApp_Physical count'!B:B,' General Stock Summary View  '!$J$2,'PowerApp_Physical count'!C:C,' General Stock Summary View  '!C272,'PowerApp_Physical count'!A:A,' General Stock Summary View  '!B272)</f>
        <v>0</v>
      </c>
      <c r="L272" s="127">
        <f t="shared" si="15"/>
        <v>0</v>
      </c>
      <c r="M272" s="126">
        <f t="shared" si="2"/>
        <v>91.183333333333337</v>
      </c>
      <c r="N272" s="11">
        <f t="shared" si="3"/>
        <v>91.183333333333337</v>
      </c>
      <c r="O272" s="144">
        <f t="shared" si="10"/>
        <v>0</v>
      </c>
      <c r="P272" s="2">
        <f>SUMIFS('XBS '!T:T,'XBS '!H:H,' General Stock Summary View  '!$P$2,'XBS '!L:L,' General Stock Summary View  '!B272,'XBS '!C:C,' General Stock Summary View  '!C272)</f>
        <v>0</v>
      </c>
      <c r="Q272" s="3">
        <f>SUMIFS('PowerApp_Physical count'!H:H,'PowerApp_Physical count'!B:B,' General Stock Summary View  '!$P$2,'PowerApp_Physical count'!C:C,' General Stock Summary View  '!C272,'PowerApp_Physical count'!A:A,' General Stock Summary View  '!B272)</f>
        <v>0</v>
      </c>
      <c r="R272" s="4">
        <f t="shared" si="11"/>
        <v>0</v>
      </c>
      <c r="S272" s="5">
        <f>SUMIFS('XBS '!T:T,'XBS '!L:L,' General Stock Summary View  '!B272,'XBS '!H:H,' General Stock Summary View  '!$S$2,'XBS '!C:C,' General Stock Summary View  '!C272)</f>
        <v>0</v>
      </c>
      <c r="T272" s="3">
        <f>SUMIFS('PowerApp_Physical count'!H:H,'PowerApp_Physical count'!B:B,' General Stock Summary View  '!$S$2,'PowerApp_Physical count'!C:C,' General Stock Summary View  '!C272,'PowerApp_Physical count'!A:A,' General Stock Summary View  '!B272)</f>
        <v>0</v>
      </c>
      <c r="U272" s="4">
        <f t="shared" si="4"/>
        <v>0</v>
      </c>
      <c r="V272" s="2">
        <f>SUMIFS('XBS '!T:T,'XBS '!H:H,' General Stock Summary View  '!$V$2,'XBS '!B:B,' General Stock Summary View  '!C272,'XBS '!L:L,' General Stock Summary View  '!B272)</f>
        <v>0</v>
      </c>
      <c r="W272" s="3">
        <f>SUMIFS('PowerApp_Physical count'!H:H,'PowerApp_Physical count'!B:B,' General Stock Summary View  '!$V$2,'PowerApp_Physical count'!C:C,' General Stock Summary View  '!C272,'PowerApp_Physical count'!A:A,' General Stock Summary View  '!B272)</f>
        <v>0</v>
      </c>
      <c r="X272" s="4">
        <f t="shared" si="12"/>
        <v>0</v>
      </c>
      <c r="Y272" s="5">
        <f>SUMIFS('XBS '!T:T,'XBS '!H:H,' General Stock Summary View  '!$Y$2,'XBS '!B:B,' General Stock Summary View  '!C272,'XBS '!L:L,' General Stock Summary View  '!B272)</f>
        <v>0</v>
      </c>
      <c r="Z272" s="3">
        <f>SUMIFS('PowerApp_Physical count'!H:H,'PowerApp_Physical count'!B:B,' General Stock Summary View  '!$Y$2,'PowerApp_Physical count'!C:C,' General Stock Summary View  '!C272,'PowerApp_Physical count'!A:A,' General Stock Summary View  '!B272)</f>
        <v>0</v>
      </c>
      <c r="AA272" s="4">
        <f t="shared" si="13"/>
        <v>0</v>
      </c>
      <c r="AB272" s="5">
        <f>SUMIFS('XBS '!T:T,'XBS '!H:H,' General Stock Summary View  '!$AB$2,'XBS '!B:B,' General Stock Summary View  '!C272,'XBS '!L:L,' General Stock Summary View  '!B272)</f>
        <v>0</v>
      </c>
      <c r="AC272" s="3">
        <f>SUMIFS('PowerApp_Physical count'!H:H,'PowerApp_Physical count'!B:B,' General Stock Summary View  '!$AB$2,'PowerApp_Physical count'!C:C,' General Stock Summary View  '!C272,'PowerApp_Physical count'!A:A,' General Stock Summary View  '!B272)</f>
        <v>0</v>
      </c>
      <c r="AD272" s="6">
        <f t="shared" si="14"/>
        <v>0</v>
      </c>
      <c r="AE272" s="7">
        <f t="shared" si="8"/>
        <v>91.183333333333337</v>
      </c>
      <c r="AF272" s="8">
        <f t="shared" si="9"/>
        <v>0</v>
      </c>
      <c r="AG272" s="112"/>
    </row>
    <row r="273" spans="2:33" s="113" customFormat="1" ht="61.15">
      <c r="B273" s="117" t="s">
        <v>276</v>
      </c>
      <c r="C273" s="111" t="s">
        <v>240</v>
      </c>
      <c r="D273" s="11">
        <f>SUMIFS('XBS '!T:T,'XBS '!C:C,' General Stock Summary View  '!C273,'XBS '!L:L,' General Stock Summary View  '!B273)</f>
        <v>239.06666666666666</v>
      </c>
      <c r="E273" s="2">
        <f>SUMIFS('Blocked for Processing'!P:P,'Blocked for Processing'!I:I,' General Stock Summary View  '!B273,'Blocked for Processing'!C:C,' General Stock Summary View  '!C273)</f>
        <v>0</v>
      </c>
      <c r="F273" s="122">
        <f t="shared" si="0"/>
        <v>239.06666666666666</v>
      </c>
      <c r="G273" s="148">
        <f>SUMIFS('XBS '!T:T,'XBS '!H:H,' General Stock Summary View  '!$G$2,'XBS '!L:L,' General Stock Summary View  '!B273,'XBS '!C:C,' General Stock Summary View  '!C273)</f>
        <v>239.06666666666666</v>
      </c>
      <c r="H273" s="3">
        <f>SUMIFS('PowerApp_Physical count'!H:H,'PowerApp_Physical count'!B:B,' General Stock Summary View  '!$G$2,'PowerApp_Physical count'!C:C,' General Stock Summary View  '!C273,'PowerApp_Physical count'!A:A,' General Stock Summary View  '!B273)</f>
        <v>239.06666666666666</v>
      </c>
      <c r="I273" s="154">
        <f t="shared" si="42"/>
        <v>0</v>
      </c>
      <c r="J273" s="11">
        <f>SUMIFS('XBS '!T:T,'XBS '!H:H,' General Stock Summary View  '!$J$2,'XBS '!L:L,' General Stock Summary View  '!B273,'XBS '!C:C,' General Stock Summary View  '!C273)</f>
        <v>0</v>
      </c>
      <c r="K273" s="157">
        <f>SUMIFS('PowerApp_Physical count'!H:H,'PowerApp_Physical count'!B:B,' General Stock Summary View  '!$J$2,'PowerApp_Physical count'!C:C,' General Stock Summary View  '!C273,'PowerApp_Physical count'!A:A,' General Stock Summary View  '!B273)</f>
        <v>0</v>
      </c>
      <c r="L273" s="127">
        <f t="shared" si="15"/>
        <v>0</v>
      </c>
      <c r="M273" s="126">
        <f t="shared" si="2"/>
        <v>239.06666666666666</v>
      </c>
      <c r="N273" s="11">
        <f t="shared" si="3"/>
        <v>239.06666666666666</v>
      </c>
      <c r="O273" s="144">
        <f t="shared" si="10"/>
        <v>0</v>
      </c>
      <c r="P273" s="2">
        <f>SUMIFS('XBS '!T:T,'XBS '!H:H,' General Stock Summary View  '!$P$2,'XBS '!L:L,' General Stock Summary View  '!B273,'XBS '!C:C,' General Stock Summary View  '!C273)</f>
        <v>0</v>
      </c>
      <c r="Q273" s="3">
        <f>SUMIFS('PowerApp_Physical count'!H:H,'PowerApp_Physical count'!B:B,' General Stock Summary View  '!$P$2,'PowerApp_Physical count'!C:C,' General Stock Summary View  '!C273,'PowerApp_Physical count'!A:A,' General Stock Summary View  '!B273)</f>
        <v>0</v>
      </c>
      <c r="R273" s="4">
        <f t="shared" si="11"/>
        <v>0</v>
      </c>
      <c r="S273" s="5">
        <f>SUMIFS('XBS '!T:T,'XBS '!L:L,' General Stock Summary View  '!B273,'XBS '!H:H,' General Stock Summary View  '!$S$2,'XBS '!C:C,' General Stock Summary View  '!C273)</f>
        <v>0</v>
      </c>
      <c r="T273" s="3">
        <f>SUMIFS('PowerApp_Physical count'!H:H,'PowerApp_Physical count'!B:B,' General Stock Summary View  '!$S$2,'PowerApp_Physical count'!C:C,' General Stock Summary View  '!C273,'PowerApp_Physical count'!A:A,' General Stock Summary View  '!B273)</f>
        <v>0</v>
      </c>
      <c r="U273" s="4">
        <f t="shared" si="4"/>
        <v>0</v>
      </c>
      <c r="V273" s="2">
        <f>SUMIFS('XBS '!T:T,'XBS '!H:H,' General Stock Summary View  '!$V$2,'XBS '!B:B,' General Stock Summary View  '!C273,'XBS '!L:L,' General Stock Summary View  '!B273)</f>
        <v>0</v>
      </c>
      <c r="W273" s="3">
        <f>SUMIFS('PowerApp_Physical count'!H:H,'PowerApp_Physical count'!B:B,' General Stock Summary View  '!$V$2,'PowerApp_Physical count'!C:C,' General Stock Summary View  '!C273,'PowerApp_Physical count'!A:A,' General Stock Summary View  '!B273)</f>
        <v>0</v>
      </c>
      <c r="X273" s="4">
        <f t="shared" si="12"/>
        <v>0</v>
      </c>
      <c r="Y273" s="5">
        <f>SUMIFS('XBS '!T:T,'XBS '!H:H,' General Stock Summary View  '!$Y$2,'XBS '!B:B,' General Stock Summary View  '!C273,'XBS '!L:L,' General Stock Summary View  '!B273)</f>
        <v>0</v>
      </c>
      <c r="Z273" s="3">
        <f>SUMIFS('PowerApp_Physical count'!H:H,'PowerApp_Physical count'!B:B,' General Stock Summary View  '!$Y$2,'PowerApp_Physical count'!C:C,' General Stock Summary View  '!C273,'PowerApp_Physical count'!A:A,' General Stock Summary View  '!B273)</f>
        <v>0</v>
      </c>
      <c r="AA273" s="4">
        <f t="shared" si="13"/>
        <v>0</v>
      </c>
      <c r="AB273" s="5">
        <f>SUMIFS('XBS '!T:T,'XBS '!H:H,' General Stock Summary View  '!$AB$2,'XBS '!B:B,' General Stock Summary View  '!C273,'XBS '!L:L,' General Stock Summary View  '!B273)</f>
        <v>0</v>
      </c>
      <c r="AC273" s="3">
        <f>SUMIFS('PowerApp_Physical count'!H:H,'PowerApp_Physical count'!B:B,' General Stock Summary View  '!$AB$2,'PowerApp_Physical count'!C:C,' General Stock Summary View  '!C273,'PowerApp_Physical count'!A:A,' General Stock Summary View  '!B273)</f>
        <v>0</v>
      </c>
      <c r="AD273" s="6">
        <f t="shared" si="14"/>
        <v>0</v>
      </c>
      <c r="AE273" s="7">
        <f t="shared" si="8"/>
        <v>239.06666666666666</v>
      </c>
      <c r="AF273" s="8">
        <f t="shared" si="9"/>
        <v>0</v>
      </c>
      <c r="AG273" s="112"/>
    </row>
    <row r="274" spans="2:33" s="113" customFormat="1" ht="61.15">
      <c r="B274" s="117" t="s">
        <v>277</v>
      </c>
      <c r="C274" s="111" t="s">
        <v>240</v>
      </c>
      <c r="D274" s="11">
        <f>SUMIFS('XBS '!T:T,'XBS '!C:C,' General Stock Summary View  '!C274,'XBS '!L:L,' General Stock Summary View  '!B274)</f>
        <v>226.5</v>
      </c>
      <c r="E274" s="2">
        <f>SUMIFS('Blocked for Processing'!P:P,'Blocked for Processing'!I:I,' General Stock Summary View  '!B274,'Blocked for Processing'!C:C,' General Stock Summary View  '!C274)</f>
        <v>0</v>
      </c>
      <c r="F274" s="122">
        <f t="shared" si="0"/>
        <v>226.5</v>
      </c>
      <c r="G274" s="148">
        <f>SUMIFS('XBS '!T:T,'XBS '!H:H,' General Stock Summary View  '!$G$2,'XBS '!L:L,' General Stock Summary View  '!B274,'XBS '!C:C,' General Stock Summary View  '!C274)</f>
        <v>226.5</v>
      </c>
      <c r="H274" s="3">
        <f>SUMIFS('PowerApp_Physical count'!H:H,'PowerApp_Physical count'!B:B,' General Stock Summary View  '!$G$2,'PowerApp_Physical count'!C:C,' General Stock Summary View  '!C274,'PowerApp_Physical count'!A:A,' General Stock Summary View  '!B274)</f>
        <v>226.5</v>
      </c>
      <c r="I274" s="154">
        <f t="shared" si="42"/>
        <v>0</v>
      </c>
      <c r="J274" s="11">
        <f>SUMIFS('XBS '!T:T,'XBS '!H:H,' General Stock Summary View  '!$J$2,'XBS '!L:L,' General Stock Summary View  '!B274,'XBS '!C:C,' General Stock Summary View  '!C274)</f>
        <v>0</v>
      </c>
      <c r="K274" s="157">
        <f>SUMIFS('PowerApp_Physical count'!H:H,'PowerApp_Physical count'!B:B,' General Stock Summary View  '!$J$2,'PowerApp_Physical count'!C:C,' General Stock Summary View  '!C274,'PowerApp_Physical count'!A:A,' General Stock Summary View  '!B274)</f>
        <v>0</v>
      </c>
      <c r="L274" s="127">
        <f t="shared" si="15"/>
        <v>0</v>
      </c>
      <c r="M274" s="126">
        <f t="shared" si="2"/>
        <v>226.5</v>
      </c>
      <c r="N274" s="11">
        <f t="shared" si="3"/>
        <v>226.5</v>
      </c>
      <c r="O274" s="144">
        <f t="shared" si="10"/>
        <v>0</v>
      </c>
      <c r="P274" s="2">
        <f>SUMIFS('XBS '!T:T,'XBS '!H:H,' General Stock Summary View  '!$P$2,'XBS '!L:L,' General Stock Summary View  '!B274,'XBS '!C:C,' General Stock Summary View  '!C274)</f>
        <v>0</v>
      </c>
      <c r="Q274" s="3">
        <f>SUMIFS('PowerApp_Physical count'!H:H,'PowerApp_Physical count'!B:B,' General Stock Summary View  '!$P$2,'PowerApp_Physical count'!C:C,' General Stock Summary View  '!C274,'PowerApp_Physical count'!A:A,' General Stock Summary View  '!B274)</f>
        <v>0</v>
      </c>
      <c r="R274" s="4">
        <f t="shared" si="11"/>
        <v>0</v>
      </c>
      <c r="S274" s="5">
        <f>SUMIFS('XBS '!T:T,'XBS '!L:L,' General Stock Summary View  '!B274,'XBS '!H:H,' General Stock Summary View  '!$S$2,'XBS '!C:C,' General Stock Summary View  '!C274)</f>
        <v>0</v>
      </c>
      <c r="T274" s="3">
        <f>SUMIFS('PowerApp_Physical count'!H:H,'PowerApp_Physical count'!B:B,' General Stock Summary View  '!$S$2,'PowerApp_Physical count'!C:C,' General Stock Summary View  '!C274,'PowerApp_Physical count'!A:A,' General Stock Summary View  '!B274)</f>
        <v>0</v>
      </c>
      <c r="U274" s="4">
        <f t="shared" si="4"/>
        <v>0</v>
      </c>
      <c r="V274" s="2">
        <f>SUMIFS('XBS '!T:T,'XBS '!H:H,' General Stock Summary View  '!$V$2,'XBS '!B:B,' General Stock Summary View  '!C274,'XBS '!L:L,' General Stock Summary View  '!B274)</f>
        <v>0</v>
      </c>
      <c r="W274" s="3">
        <f>SUMIFS('PowerApp_Physical count'!H:H,'PowerApp_Physical count'!B:B,' General Stock Summary View  '!$V$2,'PowerApp_Physical count'!C:C,' General Stock Summary View  '!C274,'PowerApp_Physical count'!A:A,' General Stock Summary View  '!B274)</f>
        <v>0</v>
      </c>
      <c r="X274" s="4">
        <f t="shared" si="12"/>
        <v>0</v>
      </c>
      <c r="Y274" s="5">
        <f>SUMIFS('XBS '!T:T,'XBS '!H:H,' General Stock Summary View  '!$Y$2,'XBS '!B:B,' General Stock Summary View  '!C274,'XBS '!L:L,' General Stock Summary View  '!B274)</f>
        <v>0</v>
      </c>
      <c r="Z274" s="3">
        <f>SUMIFS('PowerApp_Physical count'!H:H,'PowerApp_Physical count'!B:B,' General Stock Summary View  '!$Y$2,'PowerApp_Physical count'!C:C,' General Stock Summary View  '!C274,'PowerApp_Physical count'!A:A,' General Stock Summary View  '!B274)</f>
        <v>0</v>
      </c>
      <c r="AA274" s="4">
        <f t="shared" si="13"/>
        <v>0</v>
      </c>
      <c r="AB274" s="5">
        <f>SUMIFS('XBS '!T:T,'XBS '!H:H,' General Stock Summary View  '!$AB$2,'XBS '!B:B,' General Stock Summary View  '!C274,'XBS '!L:L,' General Stock Summary View  '!B274)</f>
        <v>0</v>
      </c>
      <c r="AC274" s="3">
        <f>SUMIFS('PowerApp_Physical count'!H:H,'PowerApp_Physical count'!B:B,' General Stock Summary View  '!$AB$2,'PowerApp_Physical count'!C:C,' General Stock Summary View  '!C274,'PowerApp_Physical count'!A:A,' General Stock Summary View  '!B274)</f>
        <v>0</v>
      </c>
      <c r="AD274" s="6">
        <f t="shared" si="14"/>
        <v>0</v>
      </c>
      <c r="AE274" s="7">
        <f t="shared" si="8"/>
        <v>226.5</v>
      </c>
      <c r="AF274" s="8">
        <f t="shared" si="9"/>
        <v>0</v>
      </c>
      <c r="AG274" s="112"/>
    </row>
    <row r="275" spans="2:33" s="113" customFormat="1" ht="61.15">
      <c r="B275" s="117" t="s">
        <v>278</v>
      </c>
      <c r="C275" s="111" t="s">
        <v>240</v>
      </c>
      <c r="D275" s="11">
        <f>SUMIFS('XBS '!T:T,'XBS '!C:C,' General Stock Summary View  '!C275,'XBS '!L:L,' General Stock Summary View  '!B275)</f>
        <v>16.383333333333333</v>
      </c>
      <c r="E275" s="2">
        <f>SUMIFS('Blocked for Processing'!P:P,'Blocked for Processing'!I:I,' General Stock Summary View  '!B275,'Blocked for Processing'!C:C,' General Stock Summary View  '!C275)</f>
        <v>0</v>
      </c>
      <c r="F275" s="122">
        <f t="shared" si="0"/>
        <v>16.383333333333333</v>
      </c>
      <c r="G275" s="148">
        <f>SUMIFS('XBS '!T:T,'XBS '!H:H,' General Stock Summary View  '!$G$2,'XBS '!L:L,' General Stock Summary View  '!B275,'XBS '!C:C,' General Stock Summary View  '!C275)</f>
        <v>16.383333333333333</v>
      </c>
      <c r="H275" s="3">
        <f>SUMIFS('PowerApp_Physical count'!H:H,'PowerApp_Physical count'!B:B,' General Stock Summary View  '!$G$2,'PowerApp_Physical count'!C:C,' General Stock Summary View  '!C275,'PowerApp_Physical count'!A:A,' General Stock Summary View  '!B275)</f>
        <v>16.383333333333333</v>
      </c>
      <c r="I275" s="154">
        <f t="shared" si="42"/>
        <v>0</v>
      </c>
      <c r="J275" s="11">
        <f>SUMIFS('XBS '!T:T,'XBS '!H:H,' General Stock Summary View  '!$J$2,'XBS '!L:L,' General Stock Summary View  '!B275,'XBS '!C:C,' General Stock Summary View  '!C275)</f>
        <v>0</v>
      </c>
      <c r="K275" s="157">
        <f>SUMIFS('PowerApp_Physical count'!H:H,'PowerApp_Physical count'!B:B,' General Stock Summary View  '!$J$2,'PowerApp_Physical count'!C:C,' General Stock Summary View  '!C275,'PowerApp_Physical count'!A:A,' General Stock Summary View  '!B275)</f>
        <v>0</v>
      </c>
      <c r="L275" s="127">
        <f t="shared" si="15"/>
        <v>0</v>
      </c>
      <c r="M275" s="126">
        <f t="shared" si="2"/>
        <v>16.383333333333333</v>
      </c>
      <c r="N275" s="11">
        <f t="shared" si="3"/>
        <v>16.383333333333333</v>
      </c>
      <c r="O275" s="144">
        <f t="shared" si="10"/>
        <v>0</v>
      </c>
      <c r="P275" s="2">
        <f>SUMIFS('XBS '!T:T,'XBS '!H:H,' General Stock Summary View  '!$P$2,'XBS '!L:L,' General Stock Summary View  '!B275,'XBS '!C:C,' General Stock Summary View  '!C275)</f>
        <v>0</v>
      </c>
      <c r="Q275" s="3">
        <f>SUMIFS('PowerApp_Physical count'!H:H,'PowerApp_Physical count'!B:B,' General Stock Summary View  '!$P$2,'PowerApp_Physical count'!C:C,' General Stock Summary View  '!C275,'PowerApp_Physical count'!A:A,' General Stock Summary View  '!B275)</f>
        <v>0</v>
      </c>
      <c r="R275" s="4">
        <f t="shared" si="11"/>
        <v>0</v>
      </c>
      <c r="S275" s="5">
        <f>SUMIFS('XBS '!T:T,'XBS '!L:L,' General Stock Summary View  '!B275,'XBS '!H:H,' General Stock Summary View  '!$S$2,'XBS '!C:C,' General Stock Summary View  '!C275)</f>
        <v>0</v>
      </c>
      <c r="T275" s="3">
        <f>SUMIFS('PowerApp_Physical count'!H:H,'PowerApp_Physical count'!B:B,' General Stock Summary View  '!$S$2,'PowerApp_Physical count'!C:C,' General Stock Summary View  '!C275,'PowerApp_Physical count'!A:A,' General Stock Summary View  '!B275)</f>
        <v>0</v>
      </c>
      <c r="U275" s="4">
        <f t="shared" si="4"/>
        <v>0</v>
      </c>
      <c r="V275" s="2">
        <f>SUMIFS('XBS '!T:T,'XBS '!H:H,' General Stock Summary View  '!$V$2,'XBS '!B:B,' General Stock Summary View  '!C275,'XBS '!L:L,' General Stock Summary View  '!B275)</f>
        <v>0</v>
      </c>
      <c r="W275" s="3">
        <f>SUMIFS('PowerApp_Physical count'!H:H,'PowerApp_Physical count'!B:B,' General Stock Summary View  '!$V$2,'PowerApp_Physical count'!C:C,' General Stock Summary View  '!C275,'PowerApp_Physical count'!A:A,' General Stock Summary View  '!B275)</f>
        <v>0</v>
      </c>
      <c r="X275" s="4">
        <f t="shared" si="12"/>
        <v>0</v>
      </c>
      <c r="Y275" s="5">
        <f>SUMIFS('XBS '!T:T,'XBS '!H:H,' General Stock Summary View  '!$Y$2,'XBS '!B:B,' General Stock Summary View  '!C275,'XBS '!L:L,' General Stock Summary View  '!B275)</f>
        <v>0</v>
      </c>
      <c r="Z275" s="3">
        <f>SUMIFS('PowerApp_Physical count'!H:H,'PowerApp_Physical count'!B:B,' General Stock Summary View  '!$Y$2,'PowerApp_Physical count'!C:C,' General Stock Summary View  '!C275,'PowerApp_Physical count'!A:A,' General Stock Summary View  '!B275)</f>
        <v>0</v>
      </c>
      <c r="AA275" s="4">
        <f t="shared" si="13"/>
        <v>0</v>
      </c>
      <c r="AB275" s="5">
        <f>SUMIFS('XBS '!T:T,'XBS '!H:H,' General Stock Summary View  '!$AB$2,'XBS '!B:B,' General Stock Summary View  '!C275,'XBS '!L:L,' General Stock Summary View  '!B275)</f>
        <v>0</v>
      </c>
      <c r="AC275" s="3">
        <f>SUMIFS('PowerApp_Physical count'!H:H,'PowerApp_Physical count'!B:B,' General Stock Summary View  '!$AB$2,'PowerApp_Physical count'!C:C,' General Stock Summary View  '!C275,'PowerApp_Physical count'!A:A,' General Stock Summary View  '!B275)</f>
        <v>0</v>
      </c>
      <c r="AD275" s="6">
        <f t="shared" si="14"/>
        <v>0</v>
      </c>
      <c r="AE275" s="7">
        <f t="shared" si="8"/>
        <v>16.383333333333333</v>
      </c>
      <c r="AF275" s="8">
        <f t="shared" si="9"/>
        <v>0</v>
      </c>
      <c r="AG275" s="112"/>
    </row>
    <row r="276" spans="2:33" s="113" customFormat="1" ht="61.15">
      <c r="B276" s="117" t="s">
        <v>279</v>
      </c>
      <c r="C276" s="111" t="s">
        <v>240</v>
      </c>
      <c r="D276" s="11">
        <f>SUMIFS('XBS '!T:T,'XBS '!C:C,' General Stock Summary View  '!C276,'XBS '!L:L,' General Stock Summary View  '!B276)</f>
        <v>15.683333333333334</v>
      </c>
      <c r="E276" s="2">
        <f>SUMIFS('Blocked for Processing'!P:P,'Blocked for Processing'!I:I,' General Stock Summary View  '!B276,'Blocked for Processing'!C:C,' General Stock Summary View  '!C276)</f>
        <v>0</v>
      </c>
      <c r="F276" s="122">
        <f t="shared" si="0"/>
        <v>15.683333333333334</v>
      </c>
      <c r="G276" s="148">
        <f>SUMIFS('XBS '!T:T,'XBS '!H:H,' General Stock Summary View  '!$G$2,'XBS '!L:L,' General Stock Summary View  '!B276,'XBS '!C:C,' General Stock Summary View  '!C276)</f>
        <v>15.683333333333334</v>
      </c>
      <c r="H276" s="3">
        <f>SUMIFS('PowerApp_Physical count'!H:H,'PowerApp_Physical count'!B:B,' General Stock Summary View  '!$G$2,'PowerApp_Physical count'!C:C,' General Stock Summary View  '!C276,'PowerApp_Physical count'!A:A,' General Stock Summary View  '!B276)</f>
        <v>15.683333333333334</v>
      </c>
      <c r="I276" s="154">
        <f t="shared" si="42"/>
        <v>0</v>
      </c>
      <c r="J276" s="11">
        <f>SUMIFS('XBS '!T:T,'XBS '!H:H,' General Stock Summary View  '!$J$2,'XBS '!L:L,' General Stock Summary View  '!B276,'XBS '!C:C,' General Stock Summary View  '!C276)</f>
        <v>0</v>
      </c>
      <c r="K276" s="157">
        <f>SUMIFS('PowerApp_Physical count'!H:H,'PowerApp_Physical count'!B:B,' General Stock Summary View  '!$J$2,'PowerApp_Physical count'!C:C,' General Stock Summary View  '!C276,'PowerApp_Physical count'!A:A,' General Stock Summary View  '!B276)</f>
        <v>0</v>
      </c>
      <c r="L276" s="127">
        <f t="shared" si="15"/>
        <v>0</v>
      </c>
      <c r="M276" s="126">
        <f t="shared" si="2"/>
        <v>15.683333333333334</v>
      </c>
      <c r="N276" s="11">
        <f t="shared" si="3"/>
        <v>15.683333333333334</v>
      </c>
      <c r="O276" s="144">
        <f t="shared" si="10"/>
        <v>0</v>
      </c>
      <c r="P276" s="2">
        <f>SUMIFS('XBS '!T:T,'XBS '!H:H,' General Stock Summary View  '!$P$2,'XBS '!L:L,' General Stock Summary View  '!B276,'XBS '!C:C,' General Stock Summary View  '!C276)</f>
        <v>0</v>
      </c>
      <c r="Q276" s="3">
        <f>SUMIFS('PowerApp_Physical count'!H:H,'PowerApp_Physical count'!B:B,' General Stock Summary View  '!$P$2,'PowerApp_Physical count'!C:C,' General Stock Summary View  '!C276,'PowerApp_Physical count'!A:A,' General Stock Summary View  '!B276)</f>
        <v>0</v>
      </c>
      <c r="R276" s="4">
        <f t="shared" si="11"/>
        <v>0</v>
      </c>
      <c r="S276" s="5">
        <f>SUMIFS('XBS '!T:T,'XBS '!L:L,' General Stock Summary View  '!B276,'XBS '!H:H,' General Stock Summary View  '!$S$2,'XBS '!C:C,' General Stock Summary View  '!C276)</f>
        <v>0</v>
      </c>
      <c r="T276" s="3">
        <f>SUMIFS('PowerApp_Physical count'!H:H,'PowerApp_Physical count'!B:B,' General Stock Summary View  '!$S$2,'PowerApp_Physical count'!C:C,' General Stock Summary View  '!C276,'PowerApp_Physical count'!A:A,' General Stock Summary View  '!B276)</f>
        <v>0</v>
      </c>
      <c r="U276" s="4">
        <f t="shared" si="4"/>
        <v>0</v>
      </c>
      <c r="V276" s="2">
        <f>SUMIFS('XBS '!T:T,'XBS '!H:H,' General Stock Summary View  '!$V$2,'XBS '!B:B,' General Stock Summary View  '!C276,'XBS '!L:L,' General Stock Summary View  '!B276)</f>
        <v>0</v>
      </c>
      <c r="W276" s="3">
        <f>SUMIFS('PowerApp_Physical count'!H:H,'PowerApp_Physical count'!B:B,' General Stock Summary View  '!$V$2,'PowerApp_Physical count'!C:C,' General Stock Summary View  '!C276,'PowerApp_Physical count'!A:A,' General Stock Summary View  '!B276)</f>
        <v>0</v>
      </c>
      <c r="X276" s="4">
        <f t="shared" si="12"/>
        <v>0</v>
      </c>
      <c r="Y276" s="5">
        <f>SUMIFS('XBS '!T:T,'XBS '!H:H,' General Stock Summary View  '!$Y$2,'XBS '!B:B,' General Stock Summary View  '!C276,'XBS '!L:L,' General Stock Summary View  '!B276)</f>
        <v>0</v>
      </c>
      <c r="Z276" s="3">
        <f>SUMIFS('PowerApp_Physical count'!H:H,'PowerApp_Physical count'!B:B,' General Stock Summary View  '!$Y$2,'PowerApp_Physical count'!C:C,' General Stock Summary View  '!C276,'PowerApp_Physical count'!A:A,' General Stock Summary View  '!B276)</f>
        <v>0</v>
      </c>
      <c r="AA276" s="4">
        <f t="shared" si="13"/>
        <v>0</v>
      </c>
      <c r="AB276" s="5">
        <f>SUMIFS('XBS '!T:T,'XBS '!H:H,' General Stock Summary View  '!$AB$2,'XBS '!B:B,' General Stock Summary View  '!C276,'XBS '!L:L,' General Stock Summary View  '!B276)</f>
        <v>0</v>
      </c>
      <c r="AC276" s="3">
        <f>SUMIFS('PowerApp_Physical count'!H:H,'PowerApp_Physical count'!B:B,' General Stock Summary View  '!$AB$2,'PowerApp_Physical count'!C:C,' General Stock Summary View  '!C276,'PowerApp_Physical count'!A:A,' General Stock Summary View  '!B276)</f>
        <v>0</v>
      </c>
      <c r="AD276" s="6">
        <f t="shared" si="14"/>
        <v>0</v>
      </c>
      <c r="AE276" s="7">
        <f t="shared" si="8"/>
        <v>15.683333333333334</v>
      </c>
      <c r="AF276" s="8">
        <f t="shared" si="9"/>
        <v>0</v>
      </c>
      <c r="AG276" s="112"/>
    </row>
    <row r="277" spans="2:33" s="113" customFormat="1" ht="61.15">
      <c r="B277" s="117" t="s">
        <v>280</v>
      </c>
      <c r="C277" s="111" t="s">
        <v>240</v>
      </c>
      <c r="D277" s="11">
        <f>SUMIFS('XBS '!T:T,'XBS '!C:C,' General Stock Summary View  '!C277,'XBS '!L:L,' General Stock Summary View  '!B277)</f>
        <v>23.666666666666668</v>
      </c>
      <c r="E277" s="2">
        <f>SUMIFS('Blocked for Processing'!P:P,'Blocked for Processing'!I:I,' General Stock Summary View  '!B277,'Blocked for Processing'!C:C,' General Stock Summary View  '!C277)</f>
        <v>0</v>
      </c>
      <c r="F277" s="122">
        <f t="shared" si="0"/>
        <v>23.666666666666668</v>
      </c>
      <c r="G277" s="148">
        <f>SUMIFS('XBS '!T:T,'XBS '!H:H,' General Stock Summary View  '!$G$2,'XBS '!L:L,' General Stock Summary View  '!B277,'XBS '!C:C,' General Stock Summary View  '!C277)</f>
        <v>23.666666666666668</v>
      </c>
      <c r="H277" s="3">
        <f>SUMIFS('PowerApp_Physical count'!H:H,'PowerApp_Physical count'!B:B,' General Stock Summary View  '!$G$2,'PowerApp_Physical count'!C:C,' General Stock Summary View  '!C277,'PowerApp_Physical count'!A:A,' General Stock Summary View  '!B277)</f>
        <v>23.666666666666668</v>
      </c>
      <c r="I277" s="154">
        <f t="shared" si="42"/>
        <v>0</v>
      </c>
      <c r="J277" s="11">
        <f>SUMIFS('XBS '!T:T,'XBS '!H:H,' General Stock Summary View  '!$J$2,'XBS '!L:L,' General Stock Summary View  '!B277,'XBS '!C:C,' General Stock Summary View  '!C277)</f>
        <v>0</v>
      </c>
      <c r="K277" s="157">
        <f>SUMIFS('PowerApp_Physical count'!H:H,'PowerApp_Physical count'!B:B,' General Stock Summary View  '!$J$2,'PowerApp_Physical count'!C:C,' General Stock Summary View  '!C277,'PowerApp_Physical count'!A:A,' General Stock Summary View  '!B277)</f>
        <v>0</v>
      </c>
      <c r="L277" s="127">
        <f t="shared" si="15"/>
        <v>0</v>
      </c>
      <c r="M277" s="126">
        <f t="shared" si="2"/>
        <v>23.666666666666668</v>
      </c>
      <c r="N277" s="11">
        <f t="shared" si="3"/>
        <v>23.666666666666668</v>
      </c>
      <c r="O277" s="144">
        <f t="shared" si="10"/>
        <v>0</v>
      </c>
      <c r="P277" s="2">
        <f>SUMIFS('XBS '!T:T,'XBS '!H:H,' General Stock Summary View  '!$P$2,'XBS '!L:L,' General Stock Summary View  '!B277,'XBS '!C:C,' General Stock Summary View  '!C277)</f>
        <v>0</v>
      </c>
      <c r="Q277" s="3">
        <f>SUMIFS('PowerApp_Physical count'!H:H,'PowerApp_Physical count'!B:B,' General Stock Summary View  '!$P$2,'PowerApp_Physical count'!C:C,' General Stock Summary View  '!C277,'PowerApp_Physical count'!A:A,' General Stock Summary View  '!B277)</f>
        <v>0</v>
      </c>
      <c r="R277" s="4">
        <f t="shared" si="11"/>
        <v>0</v>
      </c>
      <c r="S277" s="5">
        <f>SUMIFS('XBS '!T:T,'XBS '!L:L,' General Stock Summary View  '!B277,'XBS '!H:H,' General Stock Summary View  '!$S$2,'XBS '!C:C,' General Stock Summary View  '!C277)</f>
        <v>0</v>
      </c>
      <c r="T277" s="3">
        <f>SUMIFS('PowerApp_Physical count'!H:H,'PowerApp_Physical count'!B:B,' General Stock Summary View  '!$S$2,'PowerApp_Physical count'!C:C,' General Stock Summary View  '!C277,'PowerApp_Physical count'!A:A,' General Stock Summary View  '!B277)</f>
        <v>0</v>
      </c>
      <c r="U277" s="4">
        <f t="shared" si="4"/>
        <v>0</v>
      </c>
      <c r="V277" s="2">
        <f>SUMIFS('XBS '!T:T,'XBS '!H:H,' General Stock Summary View  '!$V$2,'XBS '!B:B,' General Stock Summary View  '!C277,'XBS '!L:L,' General Stock Summary View  '!B277)</f>
        <v>0</v>
      </c>
      <c r="W277" s="3">
        <f>SUMIFS('PowerApp_Physical count'!H:H,'PowerApp_Physical count'!B:B,' General Stock Summary View  '!$V$2,'PowerApp_Physical count'!C:C,' General Stock Summary View  '!C277,'PowerApp_Physical count'!A:A,' General Stock Summary View  '!B277)</f>
        <v>0</v>
      </c>
      <c r="X277" s="4">
        <f t="shared" si="12"/>
        <v>0</v>
      </c>
      <c r="Y277" s="5">
        <f>SUMIFS('XBS '!T:T,'XBS '!H:H,' General Stock Summary View  '!$Y$2,'XBS '!B:B,' General Stock Summary View  '!C277,'XBS '!L:L,' General Stock Summary View  '!B277)</f>
        <v>0</v>
      </c>
      <c r="Z277" s="3">
        <f>SUMIFS('PowerApp_Physical count'!H:H,'PowerApp_Physical count'!B:B,' General Stock Summary View  '!$Y$2,'PowerApp_Physical count'!C:C,' General Stock Summary View  '!C277,'PowerApp_Physical count'!A:A,' General Stock Summary View  '!B277)</f>
        <v>0</v>
      </c>
      <c r="AA277" s="4">
        <f t="shared" si="13"/>
        <v>0</v>
      </c>
      <c r="AB277" s="5">
        <f>SUMIFS('XBS '!T:T,'XBS '!H:H,' General Stock Summary View  '!$AB$2,'XBS '!B:B,' General Stock Summary View  '!C277,'XBS '!L:L,' General Stock Summary View  '!B277)</f>
        <v>0</v>
      </c>
      <c r="AC277" s="3">
        <f>SUMIFS('PowerApp_Physical count'!H:H,'PowerApp_Physical count'!B:B,' General Stock Summary View  '!$AB$2,'PowerApp_Physical count'!C:C,' General Stock Summary View  '!C277,'PowerApp_Physical count'!A:A,' General Stock Summary View  '!B277)</f>
        <v>0</v>
      </c>
      <c r="AD277" s="6">
        <f t="shared" si="14"/>
        <v>0</v>
      </c>
      <c r="AE277" s="7">
        <f t="shared" si="8"/>
        <v>23.666666666666668</v>
      </c>
      <c r="AF277" s="8">
        <f t="shared" si="9"/>
        <v>0</v>
      </c>
      <c r="AG277" s="112"/>
    </row>
    <row r="278" spans="2:33" s="113" customFormat="1" ht="61.15">
      <c r="B278" s="117" t="s">
        <v>281</v>
      </c>
      <c r="C278" s="111" t="s">
        <v>240</v>
      </c>
      <c r="D278" s="11">
        <f>SUMIFS('XBS '!T:T,'XBS '!C:C,' General Stock Summary View  '!C278,'XBS '!L:L,' General Stock Summary View  '!B278)</f>
        <v>133.61666666666667</v>
      </c>
      <c r="E278" s="2">
        <f>SUMIFS('Blocked for Processing'!P:P,'Blocked for Processing'!I:I,' General Stock Summary View  '!B278,'Blocked for Processing'!C:C,' General Stock Summary View  '!C278)</f>
        <v>0</v>
      </c>
      <c r="F278" s="122">
        <f t="shared" si="0"/>
        <v>133.61666666666667</v>
      </c>
      <c r="G278" s="148">
        <f>SUMIFS('XBS '!T:T,'XBS '!H:H,' General Stock Summary View  '!$G$2,'XBS '!L:L,' General Stock Summary View  '!B278,'XBS '!C:C,' General Stock Summary View  '!C278)</f>
        <v>133.61666666666667</v>
      </c>
      <c r="H278" s="3">
        <f>SUMIFS('PowerApp_Physical count'!H:H,'PowerApp_Physical count'!B:B,' General Stock Summary View  '!$G$2,'PowerApp_Physical count'!C:C,' General Stock Summary View  '!C278,'PowerApp_Physical count'!A:A,' General Stock Summary View  '!B278)</f>
        <v>133.61666666666667</v>
      </c>
      <c r="I278" s="154">
        <f t="shared" si="42"/>
        <v>0</v>
      </c>
      <c r="J278" s="11">
        <f>SUMIFS('XBS '!T:T,'XBS '!H:H,' General Stock Summary View  '!$J$2,'XBS '!L:L,' General Stock Summary View  '!B278,'XBS '!C:C,' General Stock Summary View  '!C278)</f>
        <v>0</v>
      </c>
      <c r="K278" s="157">
        <f>SUMIFS('PowerApp_Physical count'!H:H,'PowerApp_Physical count'!B:B,' General Stock Summary View  '!$J$2,'PowerApp_Physical count'!C:C,' General Stock Summary View  '!C278,'PowerApp_Physical count'!A:A,' General Stock Summary View  '!B278)</f>
        <v>0</v>
      </c>
      <c r="L278" s="127">
        <f t="shared" si="15"/>
        <v>0</v>
      </c>
      <c r="M278" s="126">
        <f t="shared" si="2"/>
        <v>133.61666666666667</v>
      </c>
      <c r="N278" s="11">
        <f t="shared" si="3"/>
        <v>133.61666666666667</v>
      </c>
      <c r="O278" s="144">
        <f t="shared" si="10"/>
        <v>0</v>
      </c>
      <c r="P278" s="2">
        <f>SUMIFS('XBS '!T:T,'XBS '!H:H,' General Stock Summary View  '!$P$2,'XBS '!L:L,' General Stock Summary View  '!B278,'XBS '!C:C,' General Stock Summary View  '!C278)</f>
        <v>0</v>
      </c>
      <c r="Q278" s="3">
        <f>SUMIFS('PowerApp_Physical count'!H:H,'PowerApp_Physical count'!B:B,' General Stock Summary View  '!$P$2,'PowerApp_Physical count'!C:C,' General Stock Summary View  '!C278,'PowerApp_Physical count'!A:A,' General Stock Summary View  '!B278)</f>
        <v>0</v>
      </c>
      <c r="R278" s="4">
        <f t="shared" si="11"/>
        <v>0</v>
      </c>
      <c r="S278" s="5">
        <f>SUMIFS('XBS '!T:T,'XBS '!L:L,' General Stock Summary View  '!B278,'XBS '!H:H,' General Stock Summary View  '!$S$2,'XBS '!C:C,' General Stock Summary View  '!C278)</f>
        <v>0</v>
      </c>
      <c r="T278" s="3">
        <f>SUMIFS('PowerApp_Physical count'!H:H,'PowerApp_Physical count'!B:B,' General Stock Summary View  '!$S$2,'PowerApp_Physical count'!C:C,' General Stock Summary View  '!C278,'PowerApp_Physical count'!A:A,' General Stock Summary View  '!B278)</f>
        <v>0</v>
      </c>
      <c r="U278" s="4">
        <f t="shared" si="4"/>
        <v>0</v>
      </c>
      <c r="V278" s="2">
        <f>SUMIFS('XBS '!T:T,'XBS '!H:H,' General Stock Summary View  '!$V$2,'XBS '!B:B,' General Stock Summary View  '!C278,'XBS '!L:L,' General Stock Summary View  '!B278)</f>
        <v>0</v>
      </c>
      <c r="W278" s="3">
        <f>SUMIFS('PowerApp_Physical count'!H:H,'PowerApp_Physical count'!B:B,' General Stock Summary View  '!$V$2,'PowerApp_Physical count'!C:C,' General Stock Summary View  '!C278,'PowerApp_Physical count'!A:A,' General Stock Summary View  '!B278)</f>
        <v>0</v>
      </c>
      <c r="X278" s="4">
        <f t="shared" si="12"/>
        <v>0</v>
      </c>
      <c r="Y278" s="5">
        <f>SUMIFS('XBS '!T:T,'XBS '!H:H,' General Stock Summary View  '!$Y$2,'XBS '!B:B,' General Stock Summary View  '!C278,'XBS '!L:L,' General Stock Summary View  '!B278)</f>
        <v>0</v>
      </c>
      <c r="Z278" s="3">
        <f>SUMIFS('PowerApp_Physical count'!H:H,'PowerApp_Physical count'!B:B,' General Stock Summary View  '!$Y$2,'PowerApp_Physical count'!C:C,' General Stock Summary View  '!C278,'PowerApp_Physical count'!A:A,' General Stock Summary View  '!B278)</f>
        <v>0</v>
      </c>
      <c r="AA278" s="4">
        <f t="shared" si="13"/>
        <v>0</v>
      </c>
      <c r="AB278" s="5">
        <f>SUMIFS('XBS '!T:T,'XBS '!H:H,' General Stock Summary View  '!$AB$2,'XBS '!B:B,' General Stock Summary View  '!C278,'XBS '!L:L,' General Stock Summary View  '!B278)</f>
        <v>0</v>
      </c>
      <c r="AC278" s="3">
        <f>SUMIFS('PowerApp_Physical count'!H:H,'PowerApp_Physical count'!B:B,' General Stock Summary View  '!$AB$2,'PowerApp_Physical count'!C:C,' General Stock Summary View  '!C278,'PowerApp_Physical count'!A:A,' General Stock Summary View  '!B278)</f>
        <v>0</v>
      </c>
      <c r="AD278" s="6">
        <f t="shared" si="14"/>
        <v>0</v>
      </c>
      <c r="AE278" s="7">
        <f t="shared" si="8"/>
        <v>133.61666666666667</v>
      </c>
      <c r="AF278" s="8">
        <f t="shared" si="9"/>
        <v>0</v>
      </c>
      <c r="AG278" s="112"/>
    </row>
    <row r="279" spans="2:33" s="113" customFormat="1" ht="61.15">
      <c r="B279" s="117" t="s">
        <v>282</v>
      </c>
      <c r="C279" s="111" t="s">
        <v>240</v>
      </c>
      <c r="D279" s="11">
        <f>SUMIFS('XBS '!T:T,'XBS '!C:C,' General Stock Summary View  '!C279,'XBS '!L:L,' General Stock Summary View  '!B279)</f>
        <v>101.86666666666666</v>
      </c>
      <c r="E279" s="2">
        <f>SUMIFS('Blocked for Processing'!P:P,'Blocked for Processing'!I:I,' General Stock Summary View  '!B279,'Blocked for Processing'!C:C,' General Stock Summary View  '!C279)</f>
        <v>0</v>
      </c>
      <c r="F279" s="122">
        <f t="shared" ref="F279:F335" si="43">SUM(D279:E279)</f>
        <v>101.86666666666666</v>
      </c>
      <c r="G279" s="148">
        <f>SUMIFS('XBS '!T:T,'XBS '!H:H,' General Stock Summary View  '!$G$2,'XBS '!L:L,' General Stock Summary View  '!B279,'XBS '!C:C,' General Stock Summary View  '!C279)</f>
        <v>101.86666666666666</v>
      </c>
      <c r="H279" s="3">
        <f>SUMIFS('PowerApp_Physical count'!H:H,'PowerApp_Physical count'!B:B,' General Stock Summary View  '!$G$2,'PowerApp_Physical count'!C:C,' General Stock Summary View  '!C279,'PowerApp_Physical count'!A:A,' General Stock Summary View  '!B279)</f>
        <v>101.86666666666666</v>
      </c>
      <c r="I279" s="154">
        <f t="shared" si="42"/>
        <v>0</v>
      </c>
      <c r="J279" s="11">
        <f>SUMIFS('XBS '!T:T,'XBS '!H:H,' General Stock Summary View  '!$J$2,'XBS '!L:L,' General Stock Summary View  '!B279,'XBS '!C:C,' General Stock Summary View  '!C279)</f>
        <v>0</v>
      </c>
      <c r="K279" s="157">
        <f>SUMIFS('PowerApp_Physical count'!H:H,'PowerApp_Physical count'!B:B,' General Stock Summary View  '!$J$2,'PowerApp_Physical count'!C:C,' General Stock Summary View  '!C279,'PowerApp_Physical count'!A:A,' General Stock Summary View  '!B279)</f>
        <v>0</v>
      </c>
      <c r="L279" s="127">
        <f t="shared" ref="L279:L335" si="44">K279-J279</f>
        <v>0</v>
      </c>
      <c r="M279" s="126">
        <f t="shared" ref="M279:M335" si="45">J279+G279+E279</f>
        <v>101.86666666666666</v>
      </c>
      <c r="N279" s="11">
        <f t="shared" ref="N279:N335" si="46">K279+H279</f>
        <v>101.86666666666666</v>
      </c>
      <c r="O279" s="144">
        <f t="shared" ref="O279:O335" si="47">N279-M279</f>
        <v>0</v>
      </c>
      <c r="P279" s="2">
        <f>SUMIFS('XBS '!T:T,'XBS '!H:H,' General Stock Summary View  '!$P$2,'XBS '!L:L,' General Stock Summary View  '!B279,'XBS '!C:C,' General Stock Summary View  '!C279)</f>
        <v>0</v>
      </c>
      <c r="Q279" s="3">
        <f>SUMIFS('PowerApp_Physical count'!H:H,'PowerApp_Physical count'!B:B,' General Stock Summary View  '!$P$2,'PowerApp_Physical count'!C:C,' General Stock Summary View  '!C279,'PowerApp_Physical count'!A:A,' General Stock Summary View  '!B279)</f>
        <v>0</v>
      </c>
      <c r="R279" s="4">
        <f t="shared" ref="R279:R335" si="48">Q279-P279</f>
        <v>0</v>
      </c>
      <c r="S279" s="5">
        <f>SUMIFS('XBS '!T:T,'XBS '!L:L,' General Stock Summary View  '!B279,'XBS '!H:H,' General Stock Summary View  '!$S$2,'XBS '!C:C,' General Stock Summary View  '!C279)</f>
        <v>0</v>
      </c>
      <c r="T279" s="3">
        <f>SUMIFS('PowerApp_Physical count'!H:H,'PowerApp_Physical count'!B:B,' General Stock Summary View  '!$S$2,'PowerApp_Physical count'!C:C,' General Stock Summary View  '!C279,'PowerApp_Physical count'!A:A,' General Stock Summary View  '!B279)</f>
        <v>0</v>
      </c>
      <c r="U279" s="4">
        <f t="shared" ref="U279:U335" si="49">T279-S279</f>
        <v>0</v>
      </c>
      <c r="V279" s="2">
        <f>SUMIFS('XBS '!T:T,'XBS '!H:H,' General Stock Summary View  '!$V$2,'XBS '!B:B,' General Stock Summary View  '!C279,'XBS '!L:L,' General Stock Summary View  '!B279)</f>
        <v>0</v>
      </c>
      <c r="W279" s="3">
        <f>SUMIFS('PowerApp_Physical count'!H:H,'PowerApp_Physical count'!B:B,' General Stock Summary View  '!$V$2,'PowerApp_Physical count'!C:C,' General Stock Summary View  '!C279,'PowerApp_Physical count'!A:A,' General Stock Summary View  '!B279)</f>
        <v>0</v>
      </c>
      <c r="X279" s="4">
        <f t="shared" ref="X279:X335" si="50">W279-V279</f>
        <v>0</v>
      </c>
      <c r="Y279" s="5">
        <f>SUMIFS('XBS '!T:T,'XBS '!H:H,' General Stock Summary View  '!$Y$2,'XBS '!B:B,' General Stock Summary View  '!C279,'XBS '!L:L,' General Stock Summary View  '!B279)</f>
        <v>0</v>
      </c>
      <c r="Z279" s="3">
        <f>SUMIFS('PowerApp_Physical count'!H:H,'PowerApp_Physical count'!B:B,' General Stock Summary View  '!$Y$2,'PowerApp_Physical count'!C:C,' General Stock Summary View  '!C279,'PowerApp_Physical count'!A:A,' General Stock Summary View  '!B279)</f>
        <v>0</v>
      </c>
      <c r="AA279" s="4">
        <f t="shared" ref="AA279:AA335" si="51">Z279-Y279</f>
        <v>0</v>
      </c>
      <c r="AB279" s="5">
        <f>SUMIFS('XBS '!T:T,'XBS '!H:H,' General Stock Summary View  '!$AB$2,'XBS '!B:B,' General Stock Summary View  '!C279,'XBS '!L:L,' General Stock Summary View  '!B279)</f>
        <v>0</v>
      </c>
      <c r="AC279" s="3">
        <f>SUMIFS('PowerApp_Physical count'!H:H,'PowerApp_Physical count'!B:B,' General Stock Summary View  '!$AB$2,'PowerApp_Physical count'!C:C,' General Stock Summary View  '!C279,'PowerApp_Physical count'!A:A,' General Stock Summary View  '!B279)</f>
        <v>0</v>
      </c>
      <c r="AD279" s="6">
        <f t="shared" ref="AD279:AD335" si="52">AC279-AB279</f>
        <v>0</v>
      </c>
      <c r="AE279" s="7">
        <f t="shared" ref="AE279:AE335" si="53">SUM(H279,Q279,T279,W279,Z279,AC279+K279)</f>
        <v>101.86666666666666</v>
      </c>
      <c r="AF279" s="8">
        <f t="shared" ref="AF279:AF335" si="54">AE279-F279</f>
        <v>0</v>
      </c>
      <c r="AG279" s="112"/>
    </row>
    <row r="280" spans="2:33" s="113" customFormat="1" ht="61.15">
      <c r="B280" s="117" t="s">
        <v>283</v>
      </c>
      <c r="C280" s="111" t="s">
        <v>240</v>
      </c>
      <c r="D280" s="11">
        <f>SUMIFS('XBS '!T:T,'XBS '!C:C,' General Stock Summary View  '!C280,'XBS '!L:L,' General Stock Summary View  '!B280)</f>
        <v>183.95</v>
      </c>
      <c r="E280" s="2">
        <f>SUMIFS('Blocked for Processing'!P:P,'Blocked for Processing'!I:I,' General Stock Summary View  '!B280,'Blocked for Processing'!C:C,' General Stock Summary View  '!C280)</f>
        <v>0</v>
      </c>
      <c r="F280" s="122">
        <f t="shared" si="43"/>
        <v>183.95</v>
      </c>
      <c r="G280" s="148">
        <f>SUMIFS('XBS '!T:T,'XBS '!H:H,' General Stock Summary View  '!$G$2,'XBS '!L:L,' General Stock Summary View  '!B280,'XBS '!C:C,' General Stock Summary View  '!C280)</f>
        <v>183.95</v>
      </c>
      <c r="H280" s="3">
        <f>SUMIFS('PowerApp_Physical count'!H:H,'PowerApp_Physical count'!B:B,' General Stock Summary View  '!$G$2,'PowerApp_Physical count'!C:C,' General Stock Summary View  '!C280,'PowerApp_Physical count'!A:A,' General Stock Summary View  '!B280)</f>
        <v>183.95</v>
      </c>
      <c r="I280" s="154">
        <f t="shared" ref="I280:I336" si="55">H280-G280</f>
        <v>0</v>
      </c>
      <c r="J280" s="11">
        <f>SUMIFS('XBS '!T:T,'XBS '!H:H,' General Stock Summary View  '!$J$2,'XBS '!L:L,' General Stock Summary View  '!B280,'XBS '!C:C,' General Stock Summary View  '!C280)</f>
        <v>0</v>
      </c>
      <c r="K280" s="157">
        <f>SUMIFS('PowerApp_Physical count'!H:H,'PowerApp_Physical count'!B:B,' General Stock Summary View  '!$J$2,'PowerApp_Physical count'!C:C,' General Stock Summary View  '!C280,'PowerApp_Physical count'!A:A,' General Stock Summary View  '!B280)</f>
        <v>0</v>
      </c>
      <c r="L280" s="127">
        <f t="shared" si="44"/>
        <v>0</v>
      </c>
      <c r="M280" s="126">
        <f t="shared" si="45"/>
        <v>183.95</v>
      </c>
      <c r="N280" s="11">
        <f t="shared" si="46"/>
        <v>183.95</v>
      </c>
      <c r="O280" s="144">
        <f t="shared" si="47"/>
        <v>0</v>
      </c>
      <c r="P280" s="2">
        <f>SUMIFS('XBS '!T:T,'XBS '!H:H,' General Stock Summary View  '!$P$2,'XBS '!L:L,' General Stock Summary View  '!B280,'XBS '!C:C,' General Stock Summary View  '!C280)</f>
        <v>0</v>
      </c>
      <c r="Q280" s="3">
        <f>SUMIFS('PowerApp_Physical count'!H:H,'PowerApp_Physical count'!B:B,' General Stock Summary View  '!$P$2,'PowerApp_Physical count'!C:C,' General Stock Summary View  '!C280,'PowerApp_Physical count'!A:A,' General Stock Summary View  '!B280)</f>
        <v>0</v>
      </c>
      <c r="R280" s="4">
        <f t="shared" si="48"/>
        <v>0</v>
      </c>
      <c r="S280" s="5">
        <f>SUMIFS('XBS '!T:T,'XBS '!L:L,' General Stock Summary View  '!B280,'XBS '!H:H,' General Stock Summary View  '!$S$2,'XBS '!C:C,' General Stock Summary View  '!C280)</f>
        <v>0</v>
      </c>
      <c r="T280" s="3">
        <f>SUMIFS('PowerApp_Physical count'!H:H,'PowerApp_Physical count'!B:B,' General Stock Summary View  '!$S$2,'PowerApp_Physical count'!C:C,' General Stock Summary View  '!C280,'PowerApp_Physical count'!A:A,' General Stock Summary View  '!B280)</f>
        <v>0</v>
      </c>
      <c r="U280" s="4">
        <f t="shared" si="49"/>
        <v>0</v>
      </c>
      <c r="V280" s="2">
        <f>SUMIFS('XBS '!T:T,'XBS '!H:H,' General Stock Summary View  '!$V$2,'XBS '!B:B,' General Stock Summary View  '!C280,'XBS '!L:L,' General Stock Summary View  '!B280)</f>
        <v>0</v>
      </c>
      <c r="W280" s="3">
        <f>SUMIFS('PowerApp_Physical count'!H:H,'PowerApp_Physical count'!B:B,' General Stock Summary View  '!$V$2,'PowerApp_Physical count'!C:C,' General Stock Summary View  '!C280,'PowerApp_Physical count'!A:A,' General Stock Summary View  '!B280)</f>
        <v>0</v>
      </c>
      <c r="X280" s="4">
        <f t="shared" si="50"/>
        <v>0</v>
      </c>
      <c r="Y280" s="5">
        <f>SUMIFS('XBS '!T:T,'XBS '!H:H,' General Stock Summary View  '!$Y$2,'XBS '!B:B,' General Stock Summary View  '!C280,'XBS '!L:L,' General Stock Summary View  '!B280)</f>
        <v>0</v>
      </c>
      <c r="Z280" s="3">
        <f>SUMIFS('PowerApp_Physical count'!H:H,'PowerApp_Physical count'!B:B,' General Stock Summary View  '!$Y$2,'PowerApp_Physical count'!C:C,' General Stock Summary View  '!C280,'PowerApp_Physical count'!A:A,' General Stock Summary View  '!B280)</f>
        <v>0</v>
      </c>
      <c r="AA280" s="4">
        <f t="shared" si="51"/>
        <v>0</v>
      </c>
      <c r="AB280" s="5">
        <f>SUMIFS('XBS '!T:T,'XBS '!H:H,' General Stock Summary View  '!$AB$2,'XBS '!B:B,' General Stock Summary View  '!C280,'XBS '!L:L,' General Stock Summary View  '!B280)</f>
        <v>0</v>
      </c>
      <c r="AC280" s="3">
        <f>SUMIFS('PowerApp_Physical count'!H:H,'PowerApp_Physical count'!B:B,' General Stock Summary View  '!$AB$2,'PowerApp_Physical count'!C:C,' General Stock Summary View  '!C280,'PowerApp_Physical count'!A:A,' General Stock Summary View  '!B280)</f>
        <v>0</v>
      </c>
      <c r="AD280" s="6">
        <f t="shared" si="52"/>
        <v>0</v>
      </c>
      <c r="AE280" s="7">
        <f t="shared" si="53"/>
        <v>183.95</v>
      </c>
      <c r="AF280" s="8">
        <f t="shared" si="54"/>
        <v>0</v>
      </c>
      <c r="AG280" s="112"/>
    </row>
    <row r="281" spans="2:33" s="113" customFormat="1" ht="61.15">
      <c r="B281" s="117" t="s">
        <v>284</v>
      </c>
      <c r="C281" s="111" t="s">
        <v>240</v>
      </c>
      <c r="D281" s="11">
        <f>SUMIFS('XBS '!T:T,'XBS '!C:C,' General Stock Summary View  '!C281,'XBS '!L:L,' General Stock Summary View  '!B281)</f>
        <v>351</v>
      </c>
      <c r="E281" s="2">
        <f>SUMIFS('Blocked for Processing'!P:P,'Blocked for Processing'!I:I,' General Stock Summary View  '!B281,'Blocked for Processing'!C:C,' General Stock Summary View  '!C281)</f>
        <v>0</v>
      </c>
      <c r="F281" s="122">
        <f t="shared" si="43"/>
        <v>351</v>
      </c>
      <c r="G281" s="148">
        <f>SUMIFS('XBS '!T:T,'XBS '!H:H,' General Stock Summary View  '!$G$2,'XBS '!L:L,' General Stock Summary View  '!B281,'XBS '!C:C,' General Stock Summary View  '!C281)</f>
        <v>351</v>
      </c>
      <c r="H281" s="3">
        <f>SUMIFS('PowerApp_Physical count'!H:H,'PowerApp_Physical count'!B:B,' General Stock Summary View  '!$G$2,'PowerApp_Physical count'!C:C,' General Stock Summary View  '!C281,'PowerApp_Physical count'!A:A,' General Stock Summary View  '!B281)</f>
        <v>351</v>
      </c>
      <c r="I281" s="154">
        <f t="shared" si="55"/>
        <v>0</v>
      </c>
      <c r="J281" s="11">
        <f>SUMIFS('XBS '!T:T,'XBS '!H:H,' General Stock Summary View  '!$J$2,'XBS '!L:L,' General Stock Summary View  '!B281,'XBS '!C:C,' General Stock Summary View  '!C281)</f>
        <v>0</v>
      </c>
      <c r="K281" s="157">
        <f>SUMIFS('PowerApp_Physical count'!H:H,'PowerApp_Physical count'!B:B,' General Stock Summary View  '!$J$2,'PowerApp_Physical count'!C:C,' General Stock Summary View  '!C281,'PowerApp_Physical count'!A:A,' General Stock Summary View  '!B281)</f>
        <v>0</v>
      </c>
      <c r="L281" s="127">
        <f t="shared" si="44"/>
        <v>0</v>
      </c>
      <c r="M281" s="126">
        <f t="shared" si="45"/>
        <v>351</v>
      </c>
      <c r="N281" s="11">
        <f t="shared" si="46"/>
        <v>351</v>
      </c>
      <c r="O281" s="144">
        <f t="shared" si="47"/>
        <v>0</v>
      </c>
      <c r="P281" s="2">
        <f>SUMIFS('XBS '!T:T,'XBS '!H:H,' General Stock Summary View  '!$P$2,'XBS '!L:L,' General Stock Summary View  '!B281,'XBS '!C:C,' General Stock Summary View  '!C281)</f>
        <v>0</v>
      </c>
      <c r="Q281" s="3">
        <f>SUMIFS('PowerApp_Physical count'!H:H,'PowerApp_Physical count'!B:B,' General Stock Summary View  '!$P$2,'PowerApp_Physical count'!C:C,' General Stock Summary View  '!C281,'PowerApp_Physical count'!A:A,' General Stock Summary View  '!B281)</f>
        <v>0</v>
      </c>
      <c r="R281" s="4">
        <f t="shared" si="48"/>
        <v>0</v>
      </c>
      <c r="S281" s="5">
        <f>SUMIFS('XBS '!T:T,'XBS '!L:L,' General Stock Summary View  '!B281,'XBS '!H:H,' General Stock Summary View  '!$S$2,'XBS '!C:C,' General Stock Summary View  '!C281)</f>
        <v>0</v>
      </c>
      <c r="T281" s="3">
        <f>SUMIFS('PowerApp_Physical count'!H:H,'PowerApp_Physical count'!B:B,' General Stock Summary View  '!$S$2,'PowerApp_Physical count'!C:C,' General Stock Summary View  '!C281,'PowerApp_Physical count'!A:A,' General Stock Summary View  '!B281)</f>
        <v>0</v>
      </c>
      <c r="U281" s="4">
        <f t="shared" si="49"/>
        <v>0</v>
      </c>
      <c r="V281" s="2">
        <f>SUMIFS('XBS '!T:T,'XBS '!H:H,' General Stock Summary View  '!$V$2,'XBS '!B:B,' General Stock Summary View  '!C281,'XBS '!L:L,' General Stock Summary View  '!B281)</f>
        <v>0</v>
      </c>
      <c r="W281" s="3">
        <f>SUMIFS('PowerApp_Physical count'!H:H,'PowerApp_Physical count'!B:B,' General Stock Summary View  '!$V$2,'PowerApp_Physical count'!C:C,' General Stock Summary View  '!C281,'PowerApp_Physical count'!A:A,' General Stock Summary View  '!B281)</f>
        <v>0</v>
      </c>
      <c r="X281" s="4">
        <f t="shared" si="50"/>
        <v>0</v>
      </c>
      <c r="Y281" s="5">
        <f>SUMIFS('XBS '!T:T,'XBS '!H:H,' General Stock Summary View  '!$Y$2,'XBS '!B:B,' General Stock Summary View  '!C281,'XBS '!L:L,' General Stock Summary View  '!B281)</f>
        <v>0</v>
      </c>
      <c r="Z281" s="3">
        <f>SUMIFS('PowerApp_Physical count'!H:H,'PowerApp_Physical count'!B:B,' General Stock Summary View  '!$Y$2,'PowerApp_Physical count'!C:C,' General Stock Summary View  '!C281,'PowerApp_Physical count'!A:A,' General Stock Summary View  '!B281)</f>
        <v>0</v>
      </c>
      <c r="AA281" s="4">
        <f t="shared" si="51"/>
        <v>0</v>
      </c>
      <c r="AB281" s="5">
        <f>SUMIFS('XBS '!T:T,'XBS '!H:H,' General Stock Summary View  '!$AB$2,'XBS '!B:B,' General Stock Summary View  '!C281,'XBS '!L:L,' General Stock Summary View  '!B281)</f>
        <v>0</v>
      </c>
      <c r="AC281" s="3">
        <f>SUMIFS('PowerApp_Physical count'!H:H,'PowerApp_Physical count'!B:B,' General Stock Summary View  '!$AB$2,'PowerApp_Physical count'!C:C,' General Stock Summary View  '!C281,'PowerApp_Physical count'!A:A,' General Stock Summary View  '!B281)</f>
        <v>0</v>
      </c>
      <c r="AD281" s="6">
        <f t="shared" si="52"/>
        <v>0</v>
      </c>
      <c r="AE281" s="7">
        <f t="shared" si="53"/>
        <v>351</v>
      </c>
      <c r="AF281" s="8">
        <f t="shared" si="54"/>
        <v>0</v>
      </c>
      <c r="AG281" s="112"/>
    </row>
    <row r="282" spans="2:33" s="113" customFormat="1" ht="61.15">
      <c r="B282" s="117" t="s">
        <v>285</v>
      </c>
      <c r="C282" s="111" t="s">
        <v>240</v>
      </c>
      <c r="D282" s="11">
        <f>SUMIFS('XBS '!T:T,'XBS '!C:C,' General Stock Summary View  '!C282,'XBS '!L:L,' General Stock Summary View  '!B282)</f>
        <v>162.80000000000001</v>
      </c>
      <c r="E282" s="2">
        <f>SUMIFS('Blocked for Processing'!P:P,'Blocked for Processing'!I:I,' General Stock Summary View  '!B282,'Blocked for Processing'!C:C,' General Stock Summary View  '!C282)</f>
        <v>0</v>
      </c>
      <c r="F282" s="122">
        <f t="shared" si="43"/>
        <v>162.80000000000001</v>
      </c>
      <c r="G282" s="148">
        <f>SUMIFS('XBS '!T:T,'XBS '!H:H,' General Stock Summary View  '!$G$2,'XBS '!L:L,' General Stock Summary View  '!B282,'XBS '!C:C,' General Stock Summary View  '!C282)</f>
        <v>162.80000000000001</v>
      </c>
      <c r="H282" s="3">
        <f>SUMIFS('PowerApp_Physical count'!H:H,'PowerApp_Physical count'!B:B,' General Stock Summary View  '!$G$2,'PowerApp_Physical count'!C:C,' General Stock Summary View  '!C282,'PowerApp_Physical count'!A:A,' General Stock Summary View  '!B282)</f>
        <v>162.80000000000001</v>
      </c>
      <c r="I282" s="154">
        <f t="shared" si="55"/>
        <v>0</v>
      </c>
      <c r="J282" s="11">
        <f>SUMIFS('XBS '!T:T,'XBS '!H:H,' General Stock Summary View  '!$J$2,'XBS '!L:L,' General Stock Summary View  '!B282,'XBS '!C:C,' General Stock Summary View  '!C282)</f>
        <v>0</v>
      </c>
      <c r="K282" s="157">
        <f>SUMIFS('PowerApp_Physical count'!H:H,'PowerApp_Physical count'!B:B,' General Stock Summary View  '!$J$2,'PowerApp_Physical count'!C:C,' General Stock Summary View  '!C282,'PowerApp_Physical count'!A:A,' General Stock Summary View  '!B282)</f>
        <v>0</v>
      </c>
      <c r="L282" s="127">
        <f t="shared" si="44"/>
        <v>0</v>
      </c>
      <c r="M282" s="126">
        <f t="shared" si="45"/>
        <v>162.80000000000001</v>
      </c>
      <c r="N282" s="11">
        <f t="shared" si="46"/>
        <v>162.80000000000001</v>
      </c>
      <c r="O282" s="144">
        <f t="shared" si="47"/>
        <v>0</v>
      </c>
      <c r="P282" s="2">
        <f>SUMIFS('XBS '!T:T,'XBS '!H:H,' General Stock Summary View  '!$P$2,'XBS '!L:L,' General Stock Summary View  '!B282,'XBS '!C:C,' General Stock Summary View  '!C282)</f>
        <v>0</v>
      </c>
      <c r="Q282" s="3">
        <f>SUMIFS('PowerApp_Physical count'!H:H,'PowerApp_Physical count'!B:B,' General Stock Summary View  '!$P$2,'PowerApp_Physical count'!C:C,' General Stock Summary View  '!C282,'PowerApp_Physical count'!A:A,' General Stock Summary View  '!B282)</f>
        <v>0</v>
      </c>
      <c r="R282" s="4">
        <f t="shared" si="48"/>
        <v>0</v>
      </c>
      <c r="S282" s="5">
        <f>SUMIFS('XBS '!T:T,'XBS '!L:L,' General Stock Summary View  '!B282,'XBS '!H:H,' General Stock Summary View  '!$S$2,'XBS '!C:C,' General Stock Summary View  '!C282)</f>
        <v>0</v>
      </c>
      <c r="T282" s="3">
        <f>SUMIFS('PowerApp_Physical count'!H:H,'PowerApp_Physical count'!B:B,' General Stock Summary View  '!$S$2,'PowerApp_Physical count'!C:C,' General Stock Summary View  '!C282,'PowerApp_Physical count'!A:A,' General Stock Summary View  '!B282)</f>
        <v>0</v>
      </c>
      <c r="U282" s="4">
        <f t="shared" si="49"/>
        <v>0</v>
      </c>
      <c r="V282" s="2">
        <f>SUMIFS('XBS '!T:T,'XBS '!H:H,' General Stock Summary View  '!$V$2,'XBS '!B:B,' General Stock Summary View  '!C282,'XBS '!L:L,' General Stock Summary View  '!B282)</f>
        <v>0</v>
      </c>
      <c r="W282" s="3">
        <f>SUMIFS('PowerApp_Physical count'!H:H,'PowerApp_Physical count'!B:B,' General Stock Summary View  '!$V$2,'PowerApp_Physical count'!C:C,' General Stock Summary View  '!C282,'PowerApp_Physical count'!A:A,' General Stock Summary View  '!B282)</f>
        <v>0</v>
      </c>
      <c r="X282" s="4">
        <f t="shared" si="50"/>
        <v>0</v>
      </c>
      <c r="Y282" s="5">
        <f>SUMIFS('XBS '!T:T,'XBS '!H:H,' General Stock Summary View  '!$Y$2,'XBS '!B:B,' General Stock Summary View  '!C282,'XBS '!L:L,' General Stock Summary View  '!B282)</f>
        <v>0</v>
      </c>
      <c r="Z282" s="3">
        <f>SUMIFS('PowerApp_Physical count'!H:H,'PowerApp_Physical count'!B:B,' General Stock Summary View  '!$Y$2,'PowerApp_Physical count'!C:C,' General Stock Summary View  '!C282,'PowerApp_Physical count'!A:A,' General Stock Summary View  '!B282)</f>
        <v>0</v>
      </c>
      <c r="AA282" s="4">
        <f t="shared" si="51"/>
        <v>0</v>
      </c>
      <c r="AB282" s="5">
        <f>SUMIFS('XBS '!T:T,'XBS '!H:H,' General Stock Summary View  '!$AB$2,'XBS '!B:B,' General Stock Summary View  '!C282,'XBS '!L:L,' General Stock Summary View  '!B282)</f>
        <v>0</v>
      </c>
      <c r="AC282" s="3">
        <f>SUMIFS('PowerApp_Physical count'!H:H,'PowerApp_Physical count'!B:B,' General Stock Summary View  '!$AB$2,'PowerApp_Physical count'!C:C,' General Stock Summary View  '!C282,'PowerApp_Physical count'!A:A,' General Stock Summary View  '!B282)</f>
        <v>0</v>
      </c>
      <c r="AD282" s="6">
        <f t="shared" si="52"/>
        <v>0</v>
      </c>
      <c r="AE282" s="7">
        <f t="shared" si="53"/>
        <v>162.80000000000001</v>
      </c>
      <c r="AF282" s="8">
        <f t="shared" si="54"/>
        <v>0</v>
      </c>
      <c r="AG282" s="112"/>
    </row>
    <row r="283" spans="2:33" s="113" customFormat="1" ht="61.15">
      <c r="B283" s="117" t="s">
        <v>286</v>
      </c>
      <c r="C283" s="111" t="s">
        <v>240</v>
      </c>
      <c r="D283" s="11">
        <f>SUMIFS('XBS '!T:T,'XBS '!C:C,' General Stock Summary View  '!C283,'XBS '!L:L,' General Stock Summary View  '!B283)</f>
        <v>373.41666666666669</v>
      </c>
      <c r="E283" s="2">
        <f>SUMIFS('Blocked for Processing'!P:P,'Blocked for Processing'!I:I,' General Stock Summary View  '!B283,'Blocked for Processing'!C:C,' General Stock Summary View  '!C283)</f>
        <v>0</v>
      </c>
      <c r="F283" s="122">
        <f t="shared" si="43"/>
        <v>373.41666666666669</v>
      </c>
      <c r="G283" s="148">
        <f>SUMIFS('XBS '!T:T,'XBS '!H:H,' General Stock Summary View  '!$G$2,'XBS '!L:L,' General Stock Summary View  '!B283,'XBS '!C:C,' General Stock Summary View  '!C283)</f>
        <v>373.41666666666669</v>
      </c>
      <c r="H283" s="3">
        <f>SUMIFS('PowerApp_Physical count'!H:H,'PowerApp_Physical count'!B:B,' General Stock Summary View  '!$G$2,'PowerApp_Physical count'!C:C,' General Stock Summary View  '!C283,'PowerApp_Physical count'!A:A,' General Stock Summary View  '!B283)</f>
        <v>373.41666666666669</v>
      </c>
      <c r="I283" s="154">
        <f t="shared" si="55"/>
        <v>0</v>
      </c>
      <c r="J283" s="11">
        <f>SUMIFS('XBS '!T:T,'XBS '!H:H,' General Stock Summary View  '!$J$2,'XBS '!L:L,' General Stock Summary View  '!B283,'XBS '!C:C,' General Stock Summary View  '!C283)</f>
        <v>0</v>
      </c>
      <c r="K283" s="157">
        <f>SUMIFS('PowerApp_Physical count'!H:H,'PowerApp_Physical count'!B:B,' General Stock Summary View  '!$J$2,'PowerApp_Physical count'!C:C,' General Stock Summary View  '!C283,'PowerApp_Physical count'!A:A,' General Stock Summary View  '!B283)</f>
        <v>0</v>
      </c>
      <c r="L283" s="127">
        <f t="shared" si="44"/>
        <v>0</v>
      </c>
      <c r="M283" s="126">
        <f t="shared" si="45"/>
        <v>373.41666666666669</v>
      </c>
      <c r="N283" s="11">
        <f t="shared" si="46"/>
        <v>373.41666666666669</v>
      </c>
      <c r="O283" s="144">
        <f t="shared" si="47"/>
        <v>0</v>
      </c>
      <c r="P283" s="2">
        <f>SUMIFS('XBS '!T:T,'XBS '!H:H,' General Stock Summary View  '!$P$2,'XBS '!L:L,' General Stock Summary View  '!B283,'XBS '!C:C,' General Stock Summary View  '!C283)</f>
        <v>0</v>
      </c>
      <c r="Q283" s="3">
        <f>SUMIFS('PowerApp_Physical count'!H:H,'PowerApp_Physical count'!B:B,' General Stock Summary View  '!$P$2,'PowerApp_Physical count'!C:C,' General Stock Summary View  '!C283,'PowerApp_Physical count'!A:A,' General Stock Summary View  '!B283)</f>
        <v>0</v>
      </c>
      <c r="R283" s="4">
        <f t="shared" si="48"/>
        <v>0</v>
      </c>
      <c r="S283" s="5">
        <f>SUMIFS('XBS '!T:T,'XBS '!L:L,' General Stock Summary View  '!B283,'XBS '!H:H,' General Stock Summary View  '!$S$2,'XBS '!C:C,' General Stock Summary View  '!C283)</f>
        <v>0</v>
      </c>
      <c r="T283" s="3">
        <f>SUMIFS('PowerApp_Physical count'!H:H,'PowerApp_Physical count'!B:B,' General Stock Summary View  '!$S$2,'PowerApp_Physical count'!C:C,' General Stock Summary View  '!C283,'PowerApp_Physical count'!A:A,' General Stock Summary View  '!B283)</f>
        <v>0</v>
      </c>
      <c r="U283" s="4">
        <f t="shared" si="49"/>
        <v>0</v>
      </c>
      <c r="V283" s="2">
        <f>SUMIFS('XBS '!T:T,'XBS '!H:H,' General Stock Summary View  '!$V$2,'XBS '!B:B,' General Stock Summary View  '!C283,'XBS '!L:L,' General Stock Summary View  '!B283)</f>
        <v>0</v>
      </c>
      <c r="W283" s="3">
        <f>SUMIFS('PowerApp_Physical count'!H:H,'PowerApp_Physical count'!B:B,' General Stock Summary View  '!$V$2,'PowerApp_Physical count'!C:C,' General Stock Summary View  '!C283,'PowerApp_Physical count'!A:A,' General Stock Summary View  '!B283)</f>
        <v>0</v>
      </c>
      <c r="X283" s="4">
        <f t="shared" si="50"/>
        <v>0</v>
      </c>
      <c r="Y283" s="5">
        <f>SUMIFS('XBS '!T:T,'XBS '!H:H,' General Stock Summary View  '!$Y$2,'XBS '!B:B,' General Stock Summary View  '!C283,'XBS '!L:L,' General Stock Summary View  '!B283)</f>
        <v>0</v>
      </c>
      <c r="Z283" s="3">
        <f>SUMIFS('PowerApp_Physical count'!H:H,'PowerApp_Physical count'!B:B,' General Stock Summary View  '!$Y$2,'PowerApp_Physical count'!C:C,' General Stock Summary View  '!C283,'PowerApp_Physical count'!A:A,' General Stock Summary View  '!B283)</f>
        <v>0</v>
      </c>
      <c r="AA283" s="4">
        <f t="shared" si="51"/>
        <v>0</v>
      </c>
      <c r="AB283" s="5">
        <f>SUMIFS('XBS '!T:T,'XBS '!H:H,' General Stock Summary View  '!$AB$2,'XBS '!B:B,' General Stock Summary View  '!C283,'XBS '!L:L,' General Stock Summary View  '!B283)</f>
        <v>0</v>
      </c>
      <c r="AC283" s="3">
        <f>SUMIFS('PowerApp_Physical count'!H:H,'PowerApp_Physical count'!B:B,' General Stock Summary View  '!$AB$2,'PowerApp_Physical count'!C:C,' General Stock Summary View  '!C283,'PowerApp_Physical count'!A:A,' General Stock Summary View  '!B283)</f>
        <v>0</v>
      </c>
      <c r="AD283" s="6">
        <f t="shared" si="52"/>
        <v>0</v>
      </c>
      <c r="AE283" s="7">
        <f t="shared" si="53"/>
        <v>373.41666666666669</v>
      </c>
      <c r="AF283" s="8">
        <f t="shared" si="54"/>
        <v>0</v>
      </c>
      <c r="AG283" s="112"/>
    </row>
    <row r="284" spans="2:33" s="113" customFormat="1" ht="61.15">
      <c r="B284" s="117" t="s">
        <v>287</v>
      </c>
      <c r="C284" s="111" t="s">
        <v>240</v>
      </c>
      <c r="D284" s="11">
        <f>SUMIFS('XBS '!T:T,'XBS '!C:C,' General Stock Summary View  '!C284,'XBS '!L:L,' General Stock Summary View  '!B284)</f>
        <v>183.28333333333333</v>
      </c>
      <c r="E284" s="2">
        <f>SUMIFS('Blocked for Processing'!P:P,'Blocked for Processing'!I:I,' General Stock Summary View  '!B284,'Blocked for Processing'!C:C,' General Stock Summary View  '!C284)</f>
        <v>0</v>
      </c>
      <c r="F284" s="122">
        <f t="shared" si="43"/>
        <v>183.28333333333333</v>
      </c>
      <c r="G284" s="148">
        <f>SUMIFS('XBS '!T:T,'XBS '!H:H,' General Stock Summary View  '!$G$2,'XBS '!L:L,' General Stock Summary View  '!B284,'XBS '!C:C,' General Stock Summary View  '!C284)</f>
        <v>183.28333333333333</v>
      </c>
      <c r="H284" s="3">
        <f>SUMIFS('PowerApp_Physical count'!H:H,'PowerApp_Physical count'!B:B,' General Stock Summary View  '!$G$2,'PowerApp_Physical count'!C:C,' General Stock Summary View  '!C284,'PowerApp_Physical count'!A:A,' General Stock Summary View  '!B284)</f>
        <v>183.28333333333333</v>
      </c>
      <c r="I284" s="154">
        <f t="shared" si="55"/>
        <v>0</v>
      </c>
      <c r="J284" s="11">
        <f>SUMIFS('XBS '!T:T,'XBS '!H:H,' General Stock Summary View  '!$J$2,'XBS '!L:L,' General Stock Summary View  '!B284,'XBS '!C:C,' General Stock Summary View  '!C284)</f>
        <v>0</v>
      </c>
      <c r="K284" s="157">
        <f>SUMIFS('PowerApp_Physical count'!H:H,'PowerApp_Physical count'!B:B,' General Stock Summary View  '!$J$2,'PowerApp_Physical count'!C:C,' General Stock Summary View  '!C284,'PowerApp_Physical count'!A:A,' General Stock Summary View  '!B284)</f>
        <v>0</v>
      </c>
      <c r="L284" s="127">
        <f t="shared" si="44"/>
        <v>0</v>
      </c>
      <c r="M284" s="126">
        <f t="shared" si="45"/>
        <v>183.28333333333333</v>
      </c>
      <c r="N284" s="11">
        <f t="shared" si="46"/>
        <v>183.28333333333333</v>
      </c>
      <c r="O284" s="144">
        <f t="shared" si="47"/>
        <v>0</v>
      </c>
      <c r="P284" s="2">
        <f>SUMIFS('XBS '!T:T,'XBS '!H:H,' General Stock Summary View  '!$P$2,'XBS '!L:L,' General Stock Summary View  '!B284,'XBS '!C:C,' General Stock Summary View  '!C284)</f>
        <v>0</v>
      </c>
      <c r="Q284" s="3">
        <f>SUMIFS('PowerApp_Physical count'!H:H,'PowerApp_Physical count'!B:B,' General Stock Summary View  '!$P$2,'PowerApp_Physical count'!C:C,' General Stock Summary View  '!C284,'PowerApp_Physical count'!A:A,' General Stock Summary View  '!B284)</f>
        <v>0</v>
      </c>
      <c r="R284" s="4">
        <f t="shared" si="48"/>
        <v>0</v>
      </c>
      <c r="S284" s="5">
        <f>SUMIFS('XBS '!T:T,'XBS '!L:L,' General Stock Summary View  '!B284,'XBS '!H:H,' General Stock Summary View  '!$S$2,'XBS '!C:C,' General Stock Summary View  '!C284)</f>
        <v>0</v>
      </c>
      <c r="T284" s="3">
        <f>SUMIFS('PowerApp_Physical count'!H:H,'PowerApp_Physical count'!B:B,' General Stock Summary View  '!$S$2,'PowerApp_Physical count'!C:C,' General Stock Summary View  '!C284,'PowerApp_Physical count'!A:A,' General Stock Summary View  '!B284)</f>
        <v>0</v>
      </c>
      <c r="U284" s="4">
        <f t="shared" si="49"/>
        <v>0</v>
      </c>
      <c r="V284" s="2">
        <f>SUMIFS('XBS '!T:T,'XBS '!H:H,' General Stock Summary View  '!$V$2,'XBS '!B:B,' General Stock Summary View  '!C284,'XBS '!L:L,' General Stock Summary View  '!B284)</f>
        <v>0</v>
      </c>
      <c r="W284" s="3">
        <f>SUMIFS('PowerApp_Physical count'!H:H,'PowerApp_Physical count'!B:B,' General Stock Summary View  '!$V$2,'PowerApp_Physical count'!C:C,' General Stock Summary View  '!C284,'PowerApp_Physical count'!A:A,' General Stock Summary View  '!B284)</f>
        <v>0</v>
      </c>
      <c r="X284" s="4">
        <f t="shared" si="50"/>
        <v>0</v>
      </c>
      <c r="Y284" s="5">
        <f>SUMIFS('XBS '!T:T,'XBS '!H:H,' General Stock Summary View  '!$Y$2,'XBS '!B:B,' General Stock Summary View  '!C284,'XBS '!L:L,' General Stock Summary View  '!B284)</f>
        <v>0</v>
      </c>
      <c r="Z284" s="3">
        <f>SUMIFS('PowerApp_Physical count'!H:H,'PowerApp_Physical count'!B:B,' General Stock Summary View  '!$Y$2,'PowerApp_Physical count'!C:C,' General Stock Summary View  '!C284,'PowerApp_Physical count'!A:A,' General Stock Summary View  '!B284)</f>
        <v>0</v>
      </c>
      <c r="AA284" s="4">
        <f t="shared" si="51"/>
        <v>0</v>
      </c>
      <c r="AB284" s="5">
        <f>SUMIFS('XBS '!T:T,'XBS '!H:H,' General Stock Summary View  '!$AB$2,'XBS '!B:B,' General Stock Summary View  '!C284,'XBS '!L:L,' General Stock Summary View  '!B284)</f>
        <v>0</v>
      </c>
      <c r="AC284" s="3">
        <f>SUMIFS('PowerApp_Physical count'!H:H,'PowerApp_Physical count'!B:B,' General Stock Summary View  '!$AB$2,'PowerApp_Physical count'!C:C,' General Stock Summary View  '!C284,'PowerApp_Physical count'!A:A,' General Stock Summary View  '!B284)</f>
        <v>0</v>
      </c>
      <c r="AD284" s="6">
        <f t="shared" si="52"/>
        <v>0</v>
      </c>
      <c r="AE284" s="7">
        <f t="shared" si="53"/>
        <v>183.28333333333333</v>
      </c>
      <c r="AF284" s="8">
        <f t="shared" si="54"/>
        <v>0</v>
      </c>
      <c r="AG284" s="112"/>
    </row>
    <row r="285" spans="2:33" s="113" customFormat="1" ht="61.15">
      <c r="B285" s="117" t="s">
        <v>288</v>
      </c>
      <c r="C285" s="111" t="s">
        <v>240</v>
      </c>
      <c r="D285" s="11">
        <f>SUMIFS('XBS '!T:T,'XBS '!C:C,' General Stock Summary View  '!C285,'XBS '!L:L,' General Stock Summary View  '!B285)</f>
        <v>347.06666666666666</v>
      </c>
      <c r="E285" s="2">
        <f>SUMIFS('Blocked for Processing'!P:P,'Blocked for Processing'!I:I,' General Stock Summary View  '!B285,'Blocked for Processing'!C:C,' General Stock Summary View  '!C285)</f>
        <v>0</v>
      </c>
      <c r="F285" s="122">
        <f t="shared" si="43"/>
        <v>347.06666666666666</v>
      </c>
      <c r="G285" s="148">
        <f>SUMIFS('XBS '!T:T,'XBS '!H:H,' General Stock Summary View  '!$G$2,'XBS '!L:L,' General Stock Summary View  '!B285,'XBS '!C:C,' General Stock Summary View  '!C285)</f>
        <v>347.06666666666666</v>
      </c>
      <c r="H285" s="3">
        <f>SUMIFS('PowerApp_Physical count'!H:H,'PowerApp_Physical count'!B:B,' General Stock Summary View  '!$G$2,'PowerApp_Physical count'!C:C,' General Stock Summary View  '!C285,'PowerApp_Physical count'!A:A,' General Stock Summary View  '!B285)</f>
        <v>347.06666666666666</v>
      </c>
      <c r="I285" s="154">
        <f t="shared" si="55"/>
        <v>0</v>
      </c>
      <c r="J285" s="11">
        <f>SUMIFS('XBS '!T:T,'XBS '!H:H,' General Stock Summary View  '!$J$2,'XBS '!L:L,' General Stock Summary View  '!B285,'XBS '!C:C,' General Stock Summary View  '!C285)</f>
        <v>0</v>
      </c>
      <c r="K285" s="157">
        <f>SUMIFS('PowerApp_Physical count'!H:H,'PowerApp_Physical count'!B:B,' General Stock Summary View  '!$J$2,'PowerApp_Physical count'!C:C,' General Stock Summary View  '!C285,'PowerApp_Physical count'!A:A,' General Stock Summary View  '!B285)</f>
        <v>0</v>
      </c>
      <c r="L285" s="127">
        <f t="shared" si="44"/>
        <v>0</v>
      </c>
      <c r="M285" s="126">
        <f t="shared" si="45"/>
        <v>347.06666666666666</v>
      </c>
      <c r="N285" s="11">
        <f t="shared" si="46"/>
        <v>347.06666666666666</v>
      </c>
      <c r="O285" s="144">
        <f t="shared" si="47"/>
        <v>0</v>
      </c>
      <c r="P285" s="2">
        <f>SUMIFS('XBS '!T:T,'XBS '!H:H,' General Stock Summary View  '!$P$2,'XBS '!L:L,' General Stock Summary View  '!B285,'XBS '!C:C,' General Stock Summary View  '!C285)</f>
        <v>0</v>
      </c>
      <c r="Q285" s="3">
        <f>SUMIFS('PowerApp_Physical count'!H:H,'PowerApp_Physical count'!B:B,' General Stock Summary View  '!$P$2,'PowerApp_Physical count'!C:C,' General Stock Summary View  '!C285,'PowerApp_Physical count'!A:A,' General Stock Summary View  '!B285)</f>
        <v>0</v>
      </c>
      <c r="R285" s="4">
        <f t="shared" si="48"/>
        <v>0</v>
      </c>
      <c r="S285" s="5">
        <f>SUMIFS('XBS '!T:T,'XBS '!L:L,' General Stock Summary View  '!B285,'XBS '!H:H,' General Stock Summary View  '!$S$2,'XBS '!C:C,' General Stock Summary View  '!C285)</f>
        <v>0</v>
      </c>
      <c r="T285" s="3">
        <f>SUMIFS('PowerApp_Physical count'!H:H,'PowerApp_Physical count'!B:B,' General Stock Summary View  '!$S$2,'PowerApp_Physical count'!C:C,' General Stock Summary View  '!C285,'PowerApp_Physical count'!A:A,' General Stock Summary View  '!B285)</f>
        <v>0</v>
      </c>
      <c r="U285" s="4">
        <f t="shared" si="49"/>
        <v>0</v>
      </c>
      <c r="V285" s="2">
        <f>SUMIFS('XBS '!T:T,'XBS '!H:H,' General Stock Summary View  '!$V$2,'XBS '!B:B,' General Stock Summary View  '!C285,'XBS '!L:L,' General Stock Summary View  '!B285)</f>
        <v>0</v>
      </c>
      <c r="W285" s="3">
        <f>SUMIFS('PowerApp_Physical count'!H:H,'PowerApp_Physical count'!B:B,' General Stock Summary View  '!$V$2,'PowerApp_Physical count'!C:C,' General Stock Summary View  '!C285,'PowerApp_Physical count'!A:A,' General Stock Summary View  '!B285)</f>
        <v>0</v>
      </c>
      <c r="X285" s="4">
        <f t="shared" si="50"/>
        <v>0</v>
      </c>
      <c r="Y285" s="5">
        <f>SUMIFS('XBS '!T:T,'XBS '!H:H,' General Stock Summary View  '!$Y$2,'XBS '!B:B,' General Stock Summary View  '!C285,'XBS '!L:L,' General Stock Summary View  '!B285)</f>
        <v>0</v>
      </c>
      <c r="Z285" s="3">
        <f>SUMIFS('PowerApp_Physical count'!H:H,'PowerApp_Physical count'!B:B,' General Stock Summary View  '!$Y$2,'PowerApp_Physical count'!C:C,' General Stock Summary View  '!C285,'PowerApp_Physical count'!A:A,' General Stock Summary View  '!B285)</f>
        <v>0</v>
      </c>
      <c r="AA285" s="4">
        <f t="shared" si="51"/>
        <v>0</v>
      </c>
      <c r="AB285" s="5">
        <f>SUMIFS('XBS '!T:T,'XBS '!H:H,' General Stock Summary View  '!$AB$2,'XBS '!B:B,' General Stock Summary View  '!C285,'XBS '!L:L,' General Stock Summary View  '!B285)</f>
        <v>0</v>
      </c>
      <c r="AC285" s="3">
        <f>SUMIFS('PowerApp_Physical count'!H:H,'PowerApp_Physical count'!B:B,' General Stock Summary View  '!$AB$2,'PowerApp_Physical count'!C:C,' General Stock Summary View  '!C285,'PowerApp_Physical count'!A:A,' General Stock Summary View  '!B285)</f>
        <v>0</v>
      </c>
      <c r="AD285" s="6">
        <f t="shared" si="52"/>
        <v>0</v>
      </c>
      <c r="AE285" s="7">
        <f t="shared" si="53"/>
        <v>347.06666666666666</v>
      </c>
      <c r="AF285" s="8">
        <f t="shared" si="54"/>
        <v>0</v>
      </c>
      <c r="AG285" s="112"/>
    </row>
    <row r="286" spans="2:33" s="113" customFormat="1" ht="61.15">
      <c r="B286" s="117" t="s">
        <v>289</v>
      </c>
      <c r="C286" s="111" t="s">
        <v>240</v>
      </c>
      <c r="D286" s="11">
        <f>SUMIFS('XBS '!T:T,'XBS '!C:C,' General Stock Summary View  '!C286,'XBS '!L:L,' General Stock Summary View  '!B286)</f>
        <v>189.51666666666668</v>
      </c>
      <c r="E286" s="2">
        <f>SUMIFS('Blocked for Processing'!P:P,'Blocked for Processing'!I:I,' General Stock Summary View  '!B286,'Blocked for Processing'!C:C,' General Stock Summary View  '!C286)</f>
        <v>0</v>
      </c>
      <c r="F286" s="122">
        <f t="shared" si="43"/>
        <v>189.51666666666668</v>
      </c>
      <c r="G286" s="148">
        <f>SUMIFS('XBS '!T:T,'XBS '!H:H,' General Stock Summary View  '!$G$2,'XBS '!L:L,' General Stock Summary View  '!B286,'XBS '!C:C,' General Stock Summary View  '!C286)</f>
        <v>189.51666666666668</v>
      </c>
      <c r="H286" s="3">
        <f>SUMIFS('PowerApp_Physical count'!H:H,'PowerApp_Physical count'!B:B,' General Stock Summary View  '!$G$2,'PowerApp_Physical count'!C:C,' General Stock Summary View  '!C286,'PowerApp_Physical count'!A:A,' General Stock Summary View  '!B286)</f>
        <v>189.71666666666667</v>
      </c>
      <c r="I286" s="154">
        <f t="shared" si="55"/>
        <v>0.19999999999998863</v>
      </c>
      <c r="J286" s="11">
        <f>SUMIFS('XBS '!T:T,'XBS '!H:H,' General Stock Summary View  '!$J$2,'XBS '!L:L,' General Stock Summary View  '!B286,'XBS '!C:C,' General Stock Summary View  '!C286)</f>
        <v>0</v>
      </c>
      <c r="K286" s="157">
        <f>SUMIFS('PowerApp_Physical count'!H:H,'PowerApp_Physical count'!B:B,' General Stock Summary View  '!$J$2,'PowerApp_Physical count'!C:C,' General Stock Summary View  '!C286,'PowerApp_Physical count'!A:A,' General Stock Summary View  '!B286)</f>
        <v>0</v>
      </c>
      <c r="L286" s="127">
        <f t="shared" si="44"/>
        <v>0</v>
      </c>
      <c r="M286" s="126">
        <f t="shared" si="45"/>
        <v>189.51666666666668</v>
      </c>
      <c r="N286" s="11">
        <f t="shared" si="46"/>
        <v>189.71666666666667</v>
      </c>
      <c r="O286" s="144">
        <f t="shared" si="47"/>
        <v>0.19999999999998863</v>
      </c>
      <c r="P286" s="2">
        <f>SUMIFS('XBS '!T:T,'XBS '!H:H,' General Stock Summary View  '!$P$2,'XBS '!L:L,' General Stock Summary View  '!B286,'XBS '!C:C,' General Stock Summary View  '!C286)</f>
        <v>0</v>
      </c>
      <c r="Q286" s="3">
        <f>SUMIFS('PowerApp_Physical count'!H:H,'PowerApp_Physical count'!B:B,' General Stock Summary View  '!$P$2,'PowerApp_Physical count'!C:C,' General Stock Summary View  '!C286,'PowerApp_Physical count'!A:A,' General Stock Summary View  '!B286)</f>
        <v>0</v>
      </c>
      <c r="R286" s="4">
        <f t="shared" si="48"/>
        <v>0</v>
      </c>
      <c r="S286" s="5">
        <f>SUMIFS('XBS '!T:T,'XBS '!L:L,' General Stock Summary View  '!B286,'XBS '!H:H,' General Stock Summary View  '!$S$2,'XBS '!C:C,' General Stock Summary View  '!C286)</f>
        <v>0</v>
      </c>
      <c r="T286" s="3">
        <f>SUMIFS('PowerApp_Physical count'!H:H,'PowerApp_Physical count'!B:B,' General Stock Summary View  '!$S$2,'PowerApp_Physical count'!C:C,' General Stock Summary View  '!C286,'PowerApp_Physical count'!A:A,' General Stock Summary View  '!B286)</f>
        <v>0</v>
      </c>
      <c r="U286" s="4">
        <f t="shared" si="49"/>
        <v>0</v>
      </c>
      <c r="V286" s="2">
        <f>SUMIFS('XBS '!T:T,'XBS '!H:H,' General Stock Summary View  '!$V$2,'XBS '!B:B,' General Stock Summary View  '!C286,'XBS '!L:L,' General Stock Summary View  '!B286)</f>
        <v>0</v>
      </c>
      <c r="W286" s="3">
        <f>SUMIFS('PowerApp_Physical count'!H:H,'PowerApp_Physical count'!B:B,' General Stock Summary View  '!$V$2,'PowerApp_Physical count'!C:C,' General Stock Summary View  '!C286,'PowerApp_Physical count'!A:A,' General Stock Summary View  '!B286)</f>
        <v>0</v>
      </c>
      <c r="X286" s="4">
        <f t="shared" si="50"/>
        <v>0</v>
      </c>
      <c r="Y286" s="5">
        <f>SUMIFS('XBS '!T:T,'XBS '!H:H,' General Stock Summary View  '!$Y$2,'XBS '!B:B,' General Stock Summary View  '!C286,'XBS '!L:L,' General Stock Summary View  '!B286)</f>
        <v>0</v>
      </c>
      <c r="Z286" s="3">
        <f>SUMIFS('PowerApp_Physical count'!H:H,'PowerApp_Physical count'!B:B,' General Stock Summary View  '!$Y$2,'PowerApp_Physical count'!C:C,' General Stock Summary View  '!C286,'PowerApp_Physical count'!A:A,' General Stock Summary View  '!B286)</f>
        <v>0</v>
      </c>
      <c r="AA286" s="4">
        <f t="shared" si="51"/>
        <v>0</v>
      </c>
      <c r="AB286" s="5">
        <f>SUMIFS('XBS '!T:T,'XBS '!H:H,' General Stock Summary View  '!$AB$2,'XBS '!B:B,' General Stock Summary View  '!C286,'XBS '!L:L,' General Stock Summary View  '!B286)</f>
        <v>0</v>
      </c>
      <c r="AC286" s="3">
        <f>SUMIFS('PowerApp_Physical count'!H:H,'PowerApp_Physical count'!B:B,' General Stock Summary View  '!$AB$2,'PowerApp_Physical count'!C:C,' General Stock Summary View  '!C286,'PowerApp_Physical count'!A:A,' General Stock Summary View  '!B286)</f>
        <v>0</v>
      </c>
      <c r="AD286" s="6">
        <f t="shared" si="52"/>
        <v>0</v>
      </c>
      <c r="AE286" s="7">
        <f t="shared" si="53"/>
        <v>189.71666666666667</v>
      </c>
      <c r="AF286" s="8">
        <f t="shared" si="54"/>
        <v>0.19999999999998863</v>
      </c>
      <c r="AG286" s="112"/>
    </row>
    <row r="287" spans="2:33" s="113" customFormat="1" ht="61.15">
      <c r="B287" s="117" t="s">
        <v>290</v>
      </c>
      <c r="C287" s="111" t="s">
        <v>240</v>
      </c>
      <c r="D287" s="11">
        <f>SUMIFS('XBS '!T:T,'XBS '!C:C,' General Stock Summary View  '!C287,'XBS '!L:L,' General Stock Summary View  '!B287)</f>
        <v>126</v>
      </c>
      <c r="E287" s="2">
        <f>SUMIFS('Blocked for Processing'!P:P,'Blocked for Processing'!I:I,' General Stock Summary View  '!B287,'Blocked for Processing'!C:C,' General Stock Summary View  '!C287)</f>
        <v>0</v>
      </c>
      <c r="F287" s="122">
        <f t="shared" si="43"/>
        <v>126</v>
      </c>
      <c r="G287" s="148">
        <f>SUMIFS('XBS '!T:T,'XBS '!H:H,' General Stock Summary View  '!$G$2,'XBS '!L:L,' General Stock Summary View  '!B287,'XBS '!C:C,' General Stock Summary View  '!C287)</f>
        <v>126</v>
      </c>
      <c r="H287" s="3">
        <f>SUMIFS('PowerApp_Physical count'!H:H,'PowerApp_Physical count'!B:B,' General Stock Summary View  '!$G$2,'PowerApp_Physical count'!C:C,' General Stock Summary View  '!C287,'PowerApp_Physical count'!A:A,' General Stock Summary View  '!B287)</f>
        <v>126</v>
      </c>
      <c r="I287" s="154">
        <f t="shared" si="55"/>
        <v>0</v>
      </c>
      <c r="J287" s="11">
        <f>SUMIFS('XBS '!T:T,'XBS '!H:H,' General Stock Summary View  '!$J$2,'XBS '!L:L,' General Stock Summary View  '!B287,'XBS '!C:C,' General Stock Summary View  '!C287)</f>
        <v>0</v>
      </c>
      <c r="K287" s="157">
        <f>SUMIFS('PowerApp_Physical count'!H:H,'PowerApp_Physical count'!B:B,' General Stock Summary View  '!$J$2,'PowerApp_Physical count'!C:C,' General Stock Summary View  '!C287,'PowerApp_Physical count'!A:A,' General Stock Summary View  '!B287)</f>
        <v>0</v>
      </c>
      <c r="L287" s="127">
        <f t="shared" si="44"/>
        <v>0</v>
      </c>
      <c r="M287" s="126">
        <f t="shared" si="45"/>
        <v>126</v>
      </c>
      <c r="N287" s="11">
        <f t="shared" si="46"/>
        <v>126</v>
      </c>
      <c r="O287" s="144">
        <f t="shared" si="47"/>
        <v>0</v>
      </c>
      <c r="P287" s="2">
        <f>SUMIFS('XBS '!T:T,'XBS '!H:H,' General Stock Summary View  '!$P$2,'XBS '!L:L,' General Stock Summary View  '!B287,'XBS '!C:C,' General Stock Summary View  '!C287)</f>
        <v>0</v>
      </c>
      <c r="Q287" s="3">
        <f>SUMIFS('PowerApp_Physical count'!H:H,'PowerApp_Physical count'!B:B,' General Stock Summary View  '!$P$2,'PowerApp_Physical count'!C:C,' General Stock Summary View  '!C287,'PowerApp_Physical count'!A:A,' General Stock Summary View  '!B287)</f>
        <v>0</v>
      </c>
      <c r="R287" s="4">
        <f t="shared" si="48"/>
        <v>0</v>
      </c>
      <c r="S287" s="5">
        <f>SUMIFS('XBS '!T:T,'XBS '!L:L,' General Stock Summary View  '!B287,'XBS '!H:H,' General Stock Summary View  '!$S$2,'XBS '!C:C,' General Stock Summary View  '!C287)</f>
        <v>0</v>
      </c>
      <c r="T287" s="3">
        <f>SUMIFS('PowerApp_Physical count'!H:H,'PowerApp_Physical count'!B:B,' General Stock Summary View  '!$S$2,'PowerApp_Physical count'!C:C,' General Stock Summary View  '!C287,'PowerApp_Physical count'!A:A,' General Stock Summary View  '!B287)</f>
        <v>0</v>
      </c>
      <c r="U287" s="4">
        <f t="shared" si="49"/>
        <v>0</v>
      </c>
      <c r="V287" s="2">
        <f>SUMIFS('XBS '!T:T,'XBS '!H:H,' General Stock Summary View  '!$V$2,'XBS '!B:B,' General Stock Summary View  '!C287,'XBS '!L:L,' General Stock Summary View  '!B287)</f>
        <v>0</v>
      </c>
      <c r="W287" s="3">
        <f>SUMIFS('PowerApp_Physical count'!H:H,'PowerApp_Physical count'!B:B,' General Stock Summary View  '!$V$2,'PowerApp_Physical count'!C:C,' General Stock Summary View  '!C287,'PowerApp_Physical count'!A:A,' General Stock Summary View  '!B287)</f>
        <v>0</v>
      </c>
      <c r="X287" s="4">
        <f t="shared" si="50"/>
        <v>0</v>
      </c>
      <c r="Y287" s="5">
        <f>SUMIFS('XBS '!T:T,'XBS '!H:H,' General Stock Summary View  '!$Y$2,'XBS '!B:B,' General Stock Summary View  '!C287,'XBS '!L:L,' General Stock Summary View  '!B287)</f>
        <v>0</v>
      </c>
      <c r="Z287" s="3">
        <f>SUMIFS('PowerApp_Physical count'!H:H,'PowerApp_Physical count'!B:B,' General Stock Summary View  '!$Y$2,'PowerApp_Physical count'!C:C,' General Stock Summary View  '!C287,'PowerApp_Physical count'!A:A,' General Stock Summary View  '!B287)</f>
        <v>0</v>
      </c>
      <c r="AA287" s="4">
        <f t="shared" si="51"/>
        <v>0</v>
      </c>
      <c r="AB287" s="5">
        <f>SUMIFS('XBS '!T:T,'XBS '!H:H,' General Stock Summary View  '!$AB$2,'XBS '!B:B,' General Stock Summary View  '!C287,'XBS '!L:L,' General Stock Summary View  '!B287)</f>
        <v>0</v>
      </c>
      <c r="AC287" s="3">
        <f>SUMIFS('PowerApp_Physical count'!H:H,'PowerApp_Physical count'!B:B,' General Stock Summary View  '!$AB$2,'PowerApp_Physical count'!C:C,' General Stock Summary View  '!C287,'PowerApp_Physical count'!A:A,' General Stock Summary View  '!B287)</f>
        <v>0</v>
      </c>
      <c r="AD287" s="6">
        <f t="shared" si="52"/>
        <v>0</v>
      </c>
      <c r="AE287" s="7">
        <f t="shared" si="53"/>
        <v>126</v>
      </c>
      <c r="AF287" s="8">
        <f t="shared" si="54"/>
        <v>0</v>
      </c>
      <c r="AG287" s="112"/>
    </row>
    <row r="288" spans="2:33" s="113" customFormat="1" ht="61.15">
      <c r="B288" s="117" t="s">
        <v>291</v>
      </c>
      <c r="C288" s="111" t="s">
        <v>240</v>
      </c>
      <c r="D288" s="11">
        <f>SUMIFS('XBS '!T:T,'XBS '!C:C,' General Stock Summary View  '!C288,'XBS '!L:L,' General Stock Summary View  '!B288)</f>
        <v>5.8833333333333337</v>
      </c>
      <c r="E288" s="2">
        <f>SUMIFS('Blocked for Processing'!P:P,'Blocked for Processing'!I:I,' General Stock Summary View  '!B288,'Blocked for Processing'!C:C,' General Stock Summary View  '!C288)</f>
        <v>0</v>
      </c>
      <c r="F288" s="122">
        <f t="shared" si="43"/>
        <v>5.8833333333333337</v>
      </c>
      <c r="G288" s="148">
        <f>SUMIFS('XBS '!T:T,'XBS '!H:H,' General Stock Summary View  '!$G$2,'XBS '!L:L,' General Stock Summary View  '!B288,'XBS '!C:C,' General Stock Summary View  '!C288)</f>
        <v>5.8833333333333337</v>
      </c>
      <c r="H288" s="3">
        <f>SUMIFS('PowerApp_Physical count'!H:H,'PowerApp_Physical count'!B:B,' General Stock Summary View  '!$G$2,'PowerApp_Physical count'!C:C,' General Stock Summary View  '!C288,'PowerApp_Physical count'!A:A,' General Stock Summary View  '!B288)</f>
        <v>5.8833333333333337</v>
      </c>
      <c r="I288" s="154">
        <f t="shared" si="55"/>
        <v>0</v>
      </c>
      <c r="J288" s="11">
        <f>SUMIFS('XBS '!T:T,'XBS '!H:H,' General Stock Summary View  '!$J$2,'XBS '!L:L,' General Stock Summary View  '!B288,'XBS '!C:C,' General Stock Summary View  '!C288)</f>
        <v>0</v>
      </c>
      <c r="K288" s="157">
        <f>SUMIFS('PowerApp_Physical count'!H:H,'PowerApp_Physical count'!B:B,' General Stock Summary View  '!$J$2,'PowerApp_Physical count'!C:C,' General Stock Summary View  '!C288,'PowerApp_Physical count'!A:A,' General Stock Summary View  '!B288)</f>
        <v>0</v>
      </c>
      <c r="L288" s="127">
        <f t="shared" si="44"/>
        <v>0</v>
      </c>
      <c r="M288" s="126">
        <f t="shared" si="45"/>
        <v>5.8833333333333337</v>
      </c>
      <c r="N288" s="11">
        <f t="shared" si="46"/>
        <v>5.8833333333333337</v>
      </c>
      <c r="O288" s="144">
        <f t="shared" si="47"/>
        <v>0</v>
      </c>
      <c r="P288" s="2">
        <f>SUMIFS('XBS '!T:T,'XBS '!H:H,' General Stock Summary View  '!$P$2,'XBS '!L:L,' General Stock Summary View  '!B288,'XBS '!C:C,' General Stock Summary View  '!C288)</f>
        <v>0</v>
      </c>
      <c r="Q288" s="3">
        <f>SUMIFS('PowerApp_Physical count'!H:H,'PowerApp_Physical count'!B:B,' General Stock Summary View  '!$P$2,'PowerApp_Physical count'!C:C,' General Stock Summary View  '!C288,'PowerApp_Physical count'!A:A,' General Stock Summary View  '!B288)</f>
        <v>0</v>
      </c>
      <c r="R288" s="4">
        <f t="shared" si="48"/>
        <v>0</v>
      </c>
      <c r="S288" s="5">
        <f>SUMIFS('XBS '!T:T,'XBS '!L:L,' General Stock Summary View  '!B288,'XBS '!H:H,' General Stock Summary View  '!$S$2,'XBS '!C:C,' General Stock Summary View  '!C288)</f>
        <v>0</v>
      </c>
      <c r="T288" s="3">
        <f>SUMIFS('PowerApp_Physical count'!H:H,'PowerApp_Physical count'!B:B,' General Stock Summary View  '!$S$2,'PowerApp_Physical count'!C:C,' General Stock Summary View  '!C288,'PowerApp_Physical count'!A:A,' General Stock Summary View  '!B288)</f>
        <v>0</v>
      </c>
      <c r="U288" s="4">
        <f t="shared" si="49"/>
        <v>0</v>
      </c>
      <c r="V288" s="2">
        <f>SUMIFS('XBS '!T:T,'XBS '!H:H,' General Stock Summary View  '!$V$2,'XBS '!B:B,' General Stock Summary View  '!C288,'XBS '!L:L,' General Stock Summary View  '!B288)</f>
        <v>0</v>
      </c>
      <c r="W288" s="3">
        <f>SUMIFS('PowerApp_Physical count'!H:H,'PowerApp_Physical count'!B:B,' General Stock Summary View  '!$V$2,'PowerApp_Physical count'!C:C,' General Stock Summary View  '!C288,'PowerApp_Physical count'!A:A,' General Stock Summary View  '!B288)</f>
        <v>0</v>
      </c>
      <c r="X288" s="4">
        <f t="shared" si="50"/>
        <v>0</v>
      </c>
      <c r="Y288" s="5">
        <f>SUMIFS('XBS '!T:T,'XBS '!H:H,' General Stock Summary View  '!$Y$2,'XBS '!B:B,' General Stock Summary View  '!C288,'XBS '!L:L,' General Stock Summary View  '!B288)</f>
        <v>0</v>
      </c>
      <c r="Z288" s="3">
        <f>SUMIFS('PowerApp_Physical count'!H:H,'PowerApp_Physical count'!B:B,' General Stock Summary View  '!$Y$2,'PowerApp_Physical count'!C:C,' General Stock Summary View  '!C288,'PowerApp_Physical count'!A:A,' General Stock Summary View  '!B288)</f>
        <v>0</v>
      </c>
      <c r="AA288" s="4">
        <f t="shared" si="51"/>
        <v>0</v>
      </c>
      <c r="AB288" s="5">
        <f>SUMIFS('XBS '!T:T,'XBS '!H:H,' General Stock Summary View  '!$AB$2,'XBS '!B:B,' General Stock Summary View  '!C288,'XBS '!L:L,' General Stock Summary View  '!B288)</f>
        <v>0</v>
      </c>
      <c r="AC288" s="3">
        <f>SUMIFS('PowerApp_Physical count'!H:H,'PowerApp_Physical count'!B:B,' General Stock Summary View  '!$AB$2,'PowerApp_Physical count'!C:C,' General Stock Summary View  '!C288,'PowerApp_Physical count'!A:A,' General Stock Summary View  '!B288)</f>
        <v>0</v>
      </c>
      <c r="AD288" s="6">
        <f t="shared" si="52"/>
        <v>0</v>
      </c>
      <c r="AE288" s="7">
        <f t="shared" si="53"/>
        <v>5.8833333333333337</v>
      </c>
      <c r="AF288" s="8">
        <f t="shared" si="54"/>
        <v>0</v>
      </c>
      <c r="AG288" s="112"/>
    </row>
    <row r="289" spans="2:33" s="113" customFormat="1" ht="61.15">
      <c r="B289" s="117" t="s">
        <v>292</v>
      </c>
      <c r="C289" s="111" t="s">
        <v>240</v>
      </c>
      <c r="D289" s="11">
        <f>SUMIFS('XBS '!T:T,'XBS '!C:C,' General Stock Summary View  '!C289,'XBS '!L:L,' General Stock Summary View  '!B289)</f>
        <v>320.25</v>
      </c>
      <c r="E289" s="2">
        <f>SUMIFS('Blocked for Processing'!P:P,'Blocked for Processing'!I:I,' General Stock Summary View  '!B289,'Blocked for Processing'!C:C,' General Stock Summary View  '!C289)</f>
        <v>0</v>
      </c>
      <c r="F289" s="122">
        <f t="shared" si="43"/>
        <v>320.25</v>
      </c>
      <c r="G289" s="148">
        <f>SUMIFS('XBS '!T:T,'XBS '!H:H,' General Stock Summary View  '!$G$2,'XBS '!L:L,' General Stock Summary View  '!B289,'XBS '!C:C,' General Stock Summary View  '!C289)</f>
        <v>320.25</v>
      </c>
      <c r="H289" s="3">
        <f>SUMIFS('PowerApp_Physical count'!H:H,'PowerApp_Physical count'!B:B,' General Stock Summary View  '!$G$2,'PowerApp_Physical count'!C:C,' General Stock Summary View  '!C289,'PowerApp_Physical count'!A:A,' General Stock Summary View  '!B289)</f>
        <v>320.25</v>
      </c>
      <c r="I289" s="154">
        <f t="shared" si="55"/>
        <v>0</v>
      </c>
      <c r="J289" s="11">
        <f>SUMIFS('XBS '!T:T,'XBS '!H:H,' General Stock Summary View  '!$J$2,'XBS '!L:L,' General Stock Summary View  '!B289,'XBS '!C:C,' General Stock Summary View  '!C289)</f>
        <v>0</v>
      </c>
      <c r="K289" s="157">
        <f>SUMIFS('PowerApp_Physical count'!H:H,'PowerApp_Physical count'!B:B,' General Stock Summary View  '!$J$2,'PowerApp_Physical count'!C:C,' General Stock Summary View  '!C289,'PowerApp_Physical count'!A:A,' General Stock Summary View  '!B289)</f>
        <v>0</v>
      </c>
      <c r="L289" s="127">
        <f t="shared" si="44"/>
        <v>0</v>
      </c>
      <c r="M289" s="126">
        <f t="shared" si="45"/>
        <v>320.25</v>
      </c>
      <c r="N289" s="11">
        <f t="shared" si="46"/>
        <v>320.25</v>
      </c>
      <c r="O289" s="144">
        <f t="shared" si="47"/>
        <v>0</v>
      </c>
      <c r="P289" s="2">
        <f>SUMIFS('XBS '!T:T,'XBS '!H:H,' General Stock Summary View  '!$P$2,'XBS '!L:L,' General Stock Summary View  '!B289,'XBS '!C:C,' General Stock Summary View  '!C289)</f>
        <v>0</v>
      </c>
      <c r="Q289" s="3">
        <f>SUMIFS('PowerApp_Physical count'!H:H,'PowerApp_Physical count'!B:B,' General Stock Summary View  '!$P$2,'PowerApp_Physical count'!C:C,' General Stock Summary View  '!C289,'PowerApp_Physical count'!A:A,' General Stock Summary View  '!B289)</f>
        <v>0</v>
      </c>
      <c r="R289" s="4">
        <f t="shared" si="48"/>
        <v>0</v>
      </c>
      <c r="S289" s="5">
        <f>SUMIFS('XBS '!T:T,'XBS '!L:L,' General Stock Summary View  '!B289,'XBS '!H:H,' General Stock Summary View  '!$S$2,'XBS '!C:C,' General Stock Summary View  '!C289)</f>
        <v>0</v>
      </c>
      <c r="T289" s="3">
        <f>SUMIFS('PowerApp_Physical count'!H:H,'PowerApp_Physical count'!B:B,' General Stock Summary View  '!$S$2,'PowerApp_Physical count'!C:C,' General Stock Summary View  '!C289,'PowerApp_Physical count'!A:A,' General Stock Summary View  '!B289)</f>
        <v>0</v>
      </c>
      <c r="U289" s="4">
        <f t="shared" si="49"/>
        <v>0</v>
      </c>
      <c r="V289" s="2">
        <f>SUMIFS('XBS '!T:T,'XBS '!H:H,' General Stock Summary View  '!$V$2,'XBS '!B:B,' General Stock Summary View  '!C289,'XBS '!L:L,' General Stock Summary View  '!B289)</f>
        <v>0</v>
      </c>
      <c r="W289" s="3">
        <f>SUMIFS('PowerApp_Physical count'!H:H,'PowerApp_Physical count'!B:B,' General Stock Summary View  '!$V$2,'PowerApp_Physical count'!C:C,' General Stock Summary View  '!C289,'PowerApp_Physical count'!A:A,' General Stock Summary View  '!B289)</f>
        <v>0</v>
      </c>
      <c r="X289" s="4">
        <f t="shared" si="50"/>
        <v>0</v>
      </c>
      <c r="Y289" s="5">
        <f>SUMIFS('XBS '!T:T,'XBS '!H:H,' General Stock Summary View  '!$Y$2,'XBS '!B:B,' General Stock Summary View  '!C289,'XBS '!L:L,' General Stock Summary View  '!B289)</f>
        <v>0</v>
      </c>
      <c r="Z289" s="3">
        <f>SUMIFS('PowerApp_Physical count'!H:H,'PowerApp_Physical count'!B:B,' General Stock Summary View  '!$Y$2,'PowerApp_Physical count'!C:C,' General Stock Summary View  '!C289,'PowerApp_Physical count'!A:A,' General Stock Summary View  '!B289)</f>
        <v>0</v>
      </c>
      <c r="AA289" s="4">
        <f t="shared" si="51"/>
        <v>0</v>
      </c>
      <c r="AB289" s="5">
        <f>SUMIFS('XBS '!T:T,'XBS '!H:H,' General Stock Summary View  '!$AB$2,'XBS '!B:B,' General Stock Summary View  '!C289,'XBS '!L:L,' General Stock Summary View  '!B289)</f>
        <v>0</v>
      </c>
      <c r="AC289" s="3">
        <f>SUMIFS('PowerApp_Physical count'!H:H,'PowerApp_Physical count'!B:B,' General Stock Summary View  '!$AB$2,'PowerApp_Physical count'!C:C,' General Stock Summary View  '!C289,'PowerApp_Physical count'!A:A,' General Stock Summary View  '!B289)</f>
        <v>0</v>
      </c>
      <c r="AD289" s="6">
        <f t="shared" si="52"/>
        <v>0</v>
      </c>
      <c r="AE289" s="7">
        <f t="shared" si="53"/>
        <v>320.25</v>
      </c>
      <c r="AF289" s="8">
        <f t="shared" si="54"/>
        <v>0</v>
      </c>
      <c r="AG289" s="112"/>
    </row>
    <row r="290" spans="2:33" s="113" customFormat="1" ht="61.15">
      <c r="B290" s="117" t="s">
        <v>293</v>
      </c>
      <c r="C290" s="111" t="s">
        <v>240</v>
      </c>
      <c r="D290" s="11">
        <f>SUMIFS('XBS '!T:T,'XBS '!C:C,' General Stock Summary View  '!C290,'XBS '!L:L,' General Stock Summary View  '!B290)</f>
        <v>155.98333333333332</v>
      </c>
      <c r="E290" s="2">
        <f>SUMIFS('Blocked for Processing'!P:P,'Blocked for Processing'!I:I,' General Stock Summary View  '!B290,'Blocked for Processing'!C:C,' General Stock Summary View  '!C290)</f>
        <v>0</v>
      </c>
      <c r="F290" s="122">
        <f t="shared" si="43"/>
        <v>155.98333333333332</v>
      </c>
      <c r="G290" s="148">
        <f>SUMIFS('XBS '!T:T,'XBS '!H:H,' General Stock Summary View  '!$G$2,'XBS '!L:L,' General Stock Summary View  '!B290,'XBS '!C:C,' General Stock Summary View  '!C290)</f>
        <v>155.98333333333332</v>
      </c>
      <c r="H290" s="3">
        <f>SUMIFS('PowerApp_Physical count'!H:H,'PowerApp_Physical count'!B:B,' General Stock Summary View  '!$G$2,'PowerApp_Physical count'!C:C,' General Stock Summary View  '!C290,'PowerApp_Physical count'!A:A,' General Stock Summary View  '!B290)</f>
        <v>155.98333333333332</v>
      </c>
      <c r="I290" s="154">
        <f t="shared" si="55"/>
        <v>0</v>
      </c>
      <c r="J290" s="11">
        <f>SUMIFS('XBS '!T:T,'XBS '!H:H,' General Stock Summary View  '!$J$2,'XBS '!L:L,' General Stock Summary View  '!B290,'XBS '!C:C,' General Stock Summary View  '!C290)</f>
        <v>0</v>
      </c>
      <c r="K290" s="157">
        <f>SUMIFS('PowerApp_Physical count'!H:H,'PowerApp_Physical count'!B:B,' General Stock Summary View  '!$J$2,'PowerApp_Physical count'!C:C,' General Stock Summary View  '!C290,'PowerApp_Physical count'!A:A,' General Stock Summary View  '!B290)</f>
        <v>0</v>
      </c>
      <c r="L290" s="127">
        <f t="shared" si="44"/>
        <v>0</v>
      </c>
      <c r="M290" s="126">
        <f t="shared" si="45"/>
        <v>155.98333333333332</v>
      </c>
      <c r="N290" s="11">
        <f t="shared" si="46"/>
        <v>155.98333333333332</v>
      </c>
      <c r="O290" s="144">
        <f t="shared" si="47"/>
        <v>0</v>
      </c>
      <c r="P290" s="2">
        <f>SUMIFS('XBS '!T:T,'XBS '!H:H,' General Stock Summary View  '!$P$2,'XBS '!L:L,' General Stock Summary View  '!B290,'XBS '!C:C,' General Stock Summary View  '!C290)</f>
        <v>0</v>
      </c>
      <c r="Q290" s="3">
        <f>SUMIFS('PowerApp_Physical count'!H:H,'PowerApp_Physical count'!B:B,' General Stock Summary View  '!$P$2,'PowerApp_Physical count'!C:C,' General Stock Summary View  '!C290,'PowerApp_Physical count'!A:A,' General Stock Summary View  '!B290)</f>
        <v>0</v>
      </c>
      <c r="R290" s="4">
        <f t="shared" si="48"/>
        <v>0</v>
      </c>
      <c r="S290" s="5">
        <f>SUMIFS('XBS '!T:T,'XBS '!L:L,' General Stock Summary View  '!B290,'XBS '!H:H,' General Stock Summary View  '!$S$2,'XBS '!C:C,' General Stock Summary View  '!C290)</f>
        <v>0</v>
      </c>
      <c r="T290" s="3">
        <f>SUMIFS('PowerApp_Physical count'!H:H,'PowerApp_Physical count'!B:B,' General Stock Summary View  '!$S$2,'PowerApp_Physical count'!C:C,' General Stock Summary View  '!C290,'PowerApp_Physical count'!A:A,' General Stock Summary View  '!B290)</f>
        <v>0</v>
      </c>
      <c r="U290" s="4">
        <f t="shared" si="49"/>
        <v>0</v>
      </c>
      <c r="V290" s="2">
        <f>SUMIFS('XBS '!T:T,'XBS '!H:H,' General Stock Summary View  '!$V$2,'XBS '!B:B,' General Stock Summary View  '!C290,'XBS '!L:L,' General Stock Summary View  '!B290)</f>
        <v>0</v>
      </c>
      <c r="W290" s="3">
        <f>SUMIFS('PowerApp_Physical count'!H:H,'PowerApp_Physical count'!B:B,' General Stock Summary View  '!$V$2,'PowerApp_Physical count'!C:C,' General Stock Summary View  '!C290,'PowerApp_Physical count'!A:A,' General Stock Summary View  '!B290)</f>
        <v>0</v>
      </c>
      <c r="X290" s="4">
        <f t="shared" si="50"/>
        <v>0</v>
      </c>
      <c r="Y290" s="5">
        <f>SUMIFS('XBS '!T:T,'XBS '!H:H,' General Stock Summary View  '!$Y$2,'XBS '!B:B,' General Stock Summary View  '!C290,'XBS '!L:L,' General Stock Summary View  '!B290)</f>
        <v>0</v>
      </c>
      <c r="Z290" s="3">
        <f>SUMIFS('PowerApp_Physical count'!H:H,'PowerApp_Physical count'!B:B,' General Stock Summary View  '!$Y$2,'PowerApp_Physical count'!C:C,' General Stock Summary View  '!C290,'PowerApp_Physical count'!A:A,' General Stock Summary View  '!B290)</f>
        <v>0</v>
      </c>
      <c r="AA290" s="4">
        <f t="shared" si="51"/>
        <v>0</v>
      </c>
      <c r="AB290" s="5">
        <f>SUMIFS('XBS '!T:T,'XBS '!H:H,' General Stock Summary View  '!$AB$2,'XBS '!B:B,' General Stock Summary View  '!C290,'XBS '!L:L,' General Stock Summary View  '!B290)</f>
        <v>0</v>
      </c>
      <c r="AC290" s="3">
        <f>SUMIFS('PowerApp_Physical count'!H:H,'PowerApp_Physical count'!B:B,' General Stock Summary View  '!$AB$2,'PowerApp_Physical count'!C:C,' General Stock Summary View  '!C290,'PowerApp_Physical count'!A:A,' General Stock Summary View  '!B290)</f>
        <v>0</v>
      </c>
      <c r="AD290" s="6">
        <f t="shared" si="52"/>
        <v>0</v>
      </c>
      <c r="AE290" s="7">
        <f t="shared" si="53"/>
        <v>155.98333333333332</v>
      </c>
      <c r="AF290" s="8">
        <f t="shared" si="54"/>
        <v>0</v>
      </c>
      <c r="AG290" s="112"/>
    </row>
    <row r="291" spans="2:33" s="113" customFormat="1" ht="61.15">
      <c r="B291" s="117" t="s">
        <v>294</v>
      </c>
      <c r="C291" s="111" t="s">
        <v>240</v>
      </c>
      <c r="D291" s="11">
        <f>SUMIFS('XBS '!T:T,'XBS '!C:C,' General Stock Summary View  '!C291,'XBS '!L:L,' General Stock Summary View  '!B291)</f>
        <v>137.38333333333333</v>
      </c>
      <c r="E291" s="2">
        <f>SUMIFS('Blocked for Processing'!P:P,'Blocked for Processing'!I:I,' General Stock Summary View  '!B291,'Blocked for Processing'!C:C,' General Stock Summary View  '!C291)</f>
        <v>0</v>
      </c>
      <c r="F291" s="122">
        <f t="shared" si="43"/>
        <v>137.38333333333333</v>
      </c>
      <c r="G291" s="148">
        <f>SUMIFS('XBS '!T:T,'XBS '!H:H,' General Stock Summary View  '!$G$2,'XBS '!L:L,' General Stock Summary View  '!B291,'XBS '!C:C,' General Stock Summary View  '!C291)</f>
        <v>137.38333333333333</v>
      </c>
      <c r="H291" s="3">
        <f>SUMIFS('PowerApp_Physical count'!H:H,'PowerApp_Physical count'!B:B,' General Stock Summary View  '!$G$2,'PowerApp_Physical count'!C:C,' General Stock Summary View  '!C291,'PowerApp_Physical count'!A:A,' General Stock Summary View  '!B291)</f>
        <v>137.38333333333333</v>
      </c>
      <c r="I291" s="154">
        <f t="shared" si="55"/>
        <v>0</v>
      </c>
      <c r="J291" s="11">
        <f>SUMIFS('XBS '!T:T,'XBS '!H:H,' General Stock Summary View  '!$J$2,'XBS '!L:L,' General Stock Summary View  '!B291,'XBS '!C:C,' General Stock Summary View  '!C291)</f>
        <v>0</v>
      </c>
      <c r="K291" s="157">
        <f>SUMIFS('PowerApp_Physical count'!H:H,'PowerApp_Physical count'!B:B,' General Stock Summary View  '!$J$2,'PowerApp_Physical count'!C:C,' General Stock Summary View  '!C291,'PowerApp_Physical count'!A:A,' General Stock Summary View  '!B291)</f>
        <v>0</v>
      </c>
      <c r="L291" s="127">
        <f t="shared" si="44"/>
        <v>0</v>
      </c>
      <c r="M291" s="126">
        <f t="shared" si="45"/>
        <v>137.38333333333333</v>
      </c>
      <c r="N291" s="11">
        <f t="shared" si="46"/>
        <v>137.38333333333333</v>
      </c>
      <c r="O291" s="144">
        <f t="shared" si="47"/>
        <v>0</v>
      </c>
      <c r="P291" s="2">
        <f>SUMIFS('XBS '!T:T,'XBS '!H:H,' General Stock Summary View  '!$P$2,'XBS '!L:L,' General Stock Summary View  '!B291,'XBS '!C:C,' General Stock Summary View  '!C291)</f>
        <v>0</v>
      </c>
      <c r="Q291" s="3">
        <f>SUMIFS('PowerApp_Physical count'!H:H,'PowerApp_Physical count'!B:B,' General Stock Summary View  '!$P$2,'PowerApp_Physical count'!C:C,' General Stock Summary View  '!C291,'PowerApp_Physical count'!A:A,' General Stock Summary View  '!B291)</f>
        <v>0</v>
      </c>
      <c r="R291" s="4">
        <f t="shared" si="48"/>
        <v>0</v>
      </c>
      <c r="S291" s="5">
        <f>SUMIFS('XBS '!T:T,'XBS '!L:L,' General Stock Summary View  '!B291,'XBS '!H:H,' General Stock Summary View  '!$S$2,'XBS '!C:C,' General Stock Summary View  '!C291)</f>
        <v>0</v>
      </c>
      <c r="T291" s="3">
        <f>SUMIFS('PowerApp_Physical count'!H:H,'PowerApp_Physical count'!B:B,' General Stock Summary View  '!$S$2,'PowerApp_Physical count'!C:C,' General Stock Summary View  '!C291,'PowerApp_Physical count'!A:A,' General Stock Summary View  '!B291)</f>
        <v>0</v>
      </c>
      <c r="U291" s="4">
        <f t="shared" si="49"/>
        <v>0</v>
      </c>
      <c r="V291" s="2">
        <f>SUMIFS('XBS '!T:T,'XBS '!H:H,' General Stock Summary View  '!$V$2,'XBS '!B:B,' General Stock Summary View  '!C291,'XBS '!L:L,' General Stock Summary View  '!B291)</f>
        <v>0</v>
      </c>
      <c r="W291" s="3">
        <f>SUMIFS('PowerApp_Physical count'!H:H,'PowerApp_Physical count'!B:B,' General Stock Summary View  '!$V$2,'PowerApp_Physical count'!C:C,' General Stock Summary View  '!C291,'PowerApp_Physical count'!A:A,' General Stock Summary View  '!B291)</f>
        <v>0</v>
      </c>
      <c r="X291" s="4">
        <f t="shared" si="50"/>
        <v>0</v>
      </c>
      <c r="Y291" s="5">
        <f>SUMIFS('XBS '!T:T,'XBS '!H:H,' General Stock Summary View  '!$Y$2,'XBS '!B:B,' General Stock Summary View  '!C291,'XBS '!L:L,' General Stock Summary View  '!B291)</f>
        <v>0</v>
      </c>
      <c r="Z291" s="3">
        <f>SUMIFS('PowerApp_Physical count'!H:H,'PowerApp_Physical count'!B:B,' General Stock Summary View  '!$Y$2,'PowerApp_Physical count'!C:C,' General Stock Summary View  '!C291,'PowerApp_Physical count'!A:A,' General Stock Summary View  '!B291)</f>
        <v>0</v>
      </c>
      <c r="AA291" s="4">
        <f t="shared" si="51"/>
        <v>0</v>
      </c>
      <c r="AB291" s="5">
        <f>SUMIFS('XBS '!T:T,'XBS '!H:H,' General Stock Summary View  '!$AB$2,'XBS '!B:B,' General Stock Summary View  '!C291,'XBS '!L:L,' General Stock Summary View  '!B291)</f>
        <v>0</v>
      </c>
      <c r="AC291" s="3">
        <f>SUMIFS('PowerApp_Physical count'!H:H,'PowerApp_Physical count'!B:B,' General Stock Summary View  '!$AB$2,'PowerApp_Physical count'!C:C,' General Stock Summary View  '!C291,'PowerApp_Physical count'!A:A,' General Stock Summary View  '!B291)</f>
        <v>0</v>
      </c>
      <c r="AD291" s="6">
        <f t="shared" si="52"/>
        <v>0</v>
      </c>
      <c r="AE291" s="7">
        <f t="shared" si="53"/>
        <v>137.38333333333333</v>
      </c>
      <c r="AF291" s="8">
        <f t="shared" si="54"/>
        <v>0</v>
      </c>
      <c r="AG291" s="112"/>
    </row>
    <row r="292" spans="2:33" s="113" customFormat="1" ht="61.15">
      <c r="B292" s="117" t="s">
        <v>295</v>
      </c>
      <c r="C292" s="111" t="s">
        <v>240</v>
      </c>
      <c r="D292" s="11">
        <f>SUMIFS('XBS '!T:T,'XBS '!C:C,' General Stock Summary View  '!C292,'XBS '!L:L,' General Stock Summary View  '!B292)</f>
        <v>574.88333333333333</v>
      </c>
      <c r="E292" s="2">
        <f>SUMIFS('Blocked for Processing'!P:P,'Blocked for Processing'!I:I,' General Stock Summary View  '!B292,'Blocked for Processing'!C:C,' General Stock Summary View  '!C292)</f>
        <v>0</v>
      </c>
      <c r="F292" s="122">
        <f t="shared" si="43"/>
        <v>574.88333333333333</v>
      </c>
      <c r="G292" s="148">
        <f>SUMIFS('XBS '!T:T,'XBS '!H:H,' General Stock Summary View  '!$G$2,'XBS '!L:L,' General Stock Summary View  '!B292,'XBS '!C:C,' General Stock Summary View  '!C292)</f>
        <v>574.88333333333333</v>
      </c>
      <c r="H292" s="3">
        <f>SUMIFS('PowerApp_Physical count'!H:H,'PowerApp_Physical count'!B:B,' General Stock Summary View  '!$G$2,'PowerApp_Physical count'!C:C,' General Stock Summary View  '!C292,'PowerApp_Physical count'!A:A,' General Stock Summary View  '!B292)</f>
        <v>574.88333333333333</v>
      </c>
      <c r="I292" s="154">
        <f t="shared" si="55"/>
        <v>0</v>
      </c>
      <c r="J292" s="11">
        <f>SUMIFS('XBS '!T:T,'XBS '!H:H,' General Stock Summary View  '!$J$2,'XBS '!L:L,' General Stock Summary View  '!B292,'XBS '!C:C,' General Stock Summary View  '!C292)</f>
        <v>0</v>
      </c>
      <c r="K292" s="157">
        <f>SUMIFS('PowerApp_Physical count'!H:H,'PowerApp_Physical count'!B:B,' General Stock Summary View  '!$J$2,'PowerApp_Physical count'!C:C,' General Stock Summary View  '!C292,'PowerApp_Physical count'!A:A,' General Stock Summary View  '!B292)</f>
        <v>0</v>
      </c>
      <c r="L292" s="127">
        <f t="shared" si="44"/>
        <v>0</v>
      </c>
      <c r="M292" s="126">
        <f t="shared" si="45"/>
        <v>574.88333333333333</v>
      </c>
      <c r="N292" s="11">
        <f t="shared" si="46"/>
        <v>574.88333333333333</v>
      </c>
      <c r="O292" s="144">
        <f t="shared" si="47"/>
        <v>0</v>
      </c>
      <c r="P292" s="2">
        <f>SUMIFS('XBS '!T:T,'XBS '!H:H,' General Stock Summary View  '!$P$2,'XBS '!L:L,' General Stock Summary View  '!B292,'XBS '!C:C,' General Stock Summary View  '!C292)</f>
        <v>0</v>
      </c>
      <c r="Q292" s="3">
        <f>SUMIFS('PowerApp_Physical count'!H:H,'PowerApp_Physical count'!B:B,' General Stock Summary View  '!$P$2,'PowerApp_Physical count'!C:C,' General Stock Summary View  '!C292,'PowerApp_Physical count'!A:A,' General Stock Summary View  '!B292)</f>
        <v>0</v>
      </c>
      <c r="R292" s="4">
        <f t="shared" si="48"/>
        <v>0</v>
      </c>
      <c r="S292" s="5">
        <f>SUMIFS('XBS '!T:T,'XBS '!L:L,' General Stock Summary View  '!B292,'XBS '!H:H,' General Stock Summary View  '!$S$2,'XBS '!C:C,' General Stock Summary View  '!C292)</f>
        <v>0</v>
      </c>
      <c r="T292" s="3">
        <f>SUMIFS('PowerApp_Physical count'!H:H,'PowerApp_Physical count'!B:B,' General Stock Summary View  '!$S$2,'PowerApp_Physical count'!C:C,' General Stock Summary View  '!C292,'PowerApp_Physical count'!A:A,' General Stock Summary View  '!B292)</f>
        <v>0</v>
      </c>
      <c r="U292" s="4">
        <f t="shared" si="49"/>
        <v>0</v>
      </c>
      <c r="V292" s="2">
        <f>SUMIFS('XBS '!T:T,'XBS '!H:H,' General Stock Summary View  '!$V$2,'XBS '!B:B,' General Stock Summary View  '!C292,'XBS '!L:L,' General Stock Summary View  '!B292)</f>
        <v>0</v>
      </c>
      <c r="W292" s="3">
        <f>SUMIFS('PowerApp_Physical count'!H:H,'PowerApp_Physical count'!B:B,' General Stock Summary View  '!$V$2,'PowerApp_Physical count'!C:C,' General Stock Summary View  '!C292,'PowerApp_Physical count'!A:A,' General Stock Summary View  '!B292)</f>
        <v>0</v>
      </c>
      <c r="X292" s="4">
        <f t="shared" si="50"/>
        <v>0</v>
      </c>
      <c r="Y292" s="5">
        <f>SUMIFS('XBS '!T:T,'XBS '!H:H,' General Stock Summary View  '!$Y$2,'XBS '!B:B,' General Stock Summary View  '!C292,'XBS '!L:L,' General Stock Summary View  '!B292)</f>
        <v>0</v>
      </c>
      <c r="Z292" s="3">
        <f>SUMIFS('PowerApp_Physical count'!H:H,'PowerApp_Physical count'!B:B,' General Stock Summary View  '!$Y$2,'PowerApp_Physical count'!C:C,' General Stock Summary View  '!C292,'PowerApp_Physical count'!A:A,' General Stock Summary View  '!B292)</f>
        <v>0</v>
      </c>
      <c r="AA292" s="4">
        <f t="shared" si="51"/>
        <v>0</v>
      </c>
      <c r="AB292" s="5">
        <f>SUMIFS('XBS '!T:T,'XBS '!H:H,' General Stock Summary View  '!$AB$2,'XBS '!B:B,' General Stock Summary View  '!C292,'XBS '!L:L,' General Stock Summary View  '!B292)</f>
        <v>0</v>
      </c>
      <c r="AC292" s="3">
        <f>SUMIFS('PowerApp_Physical count'!H:H,'PowerApp_Physical count'!B:B,' General Stock Summary View  '!$AB$2,'PowerApp_Physical count'!C:C,' General Stock Summary View  '!C292,'PowerApp_Physical count'!A:A,' General Stock Summary View  '!B292)</f>
        <v>0</v>
      </c>
      <c r="AD292" s="6">
        <f t="shared" si="52"/>
        <v>0</v>
      </c>
      <c r="AE292" s="7">
        <f t="shared" si="53"/>
        <v>574.88333333333333</v>
      </c>
      <c r="AF292" s="8">
        <f t="shared" si="54"/>
        <v>0</v>
      </c>
      <c r="AG292" s="112"/>
    </row>
    <row r="293" spans="2:33" s="113" customFormat="1" ht="61.15">
      <c r="B293" s="117" t="s">
        <v>296</v>
      </c>
      <c r="C293" s="111" t="s">
        <v>240</v>
      </c>
      <c r="D293" s="11">
        <f>SUMIFS('XBS '!T:T,'XBS '!C:C,' General Stock Summary View  '!C293,'XBS '!L:L,' General Stock Summary View  '!B293)</f>
        <v>135.78333333333333</v>
      </c>
      <c r="E293" s="2">
        <f>SUMIFS('Blocked for Processing'!P:P,'Blocked for Processing'!I:I,' General Stock Summary View  '!B293,'Blocked for Processing'!C:C,' General Stock Summary View  '!C293)</f>
        <v>0</v>
      </c>
      <c r="F293" s="122">
        <f t="shared" si="43"/>
        <v>135.78333333333333</v>
      </c>
      <c r="G293" s="148">
        <f>SUMIFS('XBS '!T:T,'XBS '!H:H,' General Stock Summary View  '!$G$2,'XBS '!L:L,' General Stock Summary View  '!B293,'XBS '!C:C,' General Stock Summary View  '!C293)</f>
        <v>135.78333333333333</v>
      </c>
      <c r="H293" s="3">
        <f>SUMIFS('PowerApp_Physical count'!H:H,'PowerApp_Physical count'!B:B,' General Stock Summary View  '!$G$2,'PowerApp_Physical count'!C:C,' General Stock Summary View  '!C293,'PowerApp_Physical count'!A:A,' General Stock Summary View  '!B293)</f>
        <v>135.78333333333333</v>
      </c>
      <c r="I293" s="154">
        <f t="shared" si="55"/>
        <v>0</v>
      </c>
      <c r="J293" s="11">
        <f>SUMIFS('XBS '!T:T,'XBS '!H:H,' General Stock Summary View  '!$J$2,'XBS '!L:L,' General Stock Summary View  '!B293,'XBS '!C:C,' General Stock Summary View  '!C293)</f>
        <v>0</v>
      </c>
      <c r="K293" s="157">
        <f>SUMIFS('PowerApp_Physical count'!H:H,'PowerApp_Physical count'!B:B,' General Stock Summary View  '!$J$2,'PowerApp_Physical count'!C:C,' General Stock Summary View  '!C293,'PowerApp_Physical count'!A:A,' General Stock Summary View  '!B293)</f>
        <v>0</v>
      </c>
      <c r="L293" s="127">
        <f t="shared" si="44"/>
        <v>0</v>
      </c>
      <c r="M293" s="126">
        <f t="shared" si="45"/>
        <v>135.78333333333333</v>
      </c>
      <c r="N293" s="11">
        <f t="shared" si="46"/>
        <v>135.78333333333333</v>
      </c>
      <c r="O293" s="144">
        <f t="shared" si="47"/>
        <v>0</v>
      </c>
      <c r="P293" s="2">
        <f>SUMIFS('XBS '!T:T,'XBS '!H:H,' General Stock Summary View  '!$P$2,'XBS '!L:L,' General Stock Summary View  '!B293,'XBS '!C:C,' General Stock Summary View  '!C293)</f>
        <v>0</v>
      </c>
      <c r="Q293" s="3">
        <f>SUMIFS('PowerApp_Physical count'!H:H,'PowerApp_Physical count'!B:B,' General Stock Summary View  '!$P$2,'PowerApp_Physical count'!C:C,' General Stock Summary View  '!C293,'PowerApp_Physical count'!A:A,' General Stock Summary View  '!B293)</f>
        <v>0</v>
      </c>
      <c r="R293" s="4">
        <f t="shared" si="48"/>
        <v>0</v>
      </c>
      <c r="S293" s="5">
        <f>SUMIFS('XBS '!T:T,'XBS '!L:L,' General Stock Summary View  '!B293,'XBS '!H:H,' General Stock Summary View  '!$S$2,'XBS '!C:C,' General Stock Summary View  '!C293)</f>
        <v>0</v>
      </c>
      <c r="T293" s="3">
        <f>SUMIFS('PowerApp_Physical count'!H:H,'PowerApp_Physical count'!B:B,' General Stock Summary View  '!$S$2,'PowerApp_Physical count'!C:C,' General Stock Summary View  '!C293,'PowerApp_Physical count'!A:A,' General Stock Summary View  '!B293)</f>
        <v>0</v>
      </c>
      <c r="U293" s="4">
        <f t="shared" si="49"/>
        <v>0</v>
      </c>
      <c r="V293" s="2">
        <f>SUMIFS('XBS '!T:T,'XBS '!H:H,' General Stock Summary View  '!$V$2,'XBS '!B:B,' General Stock Summary View  '!C293,'XBS '!L:L,' General Stock Summary View  '!B293)</f>
        <v>0</v>
      </c>
      <c r="W293" s="3">
        <f>SUMIFS('PowerApp_Physical count'!H:H,'PowerApp_Physical count'!B:B,' General Stock Summary View  '!$V$2,'PowerApp_Physical count'!C:C,' General Stock Summary View  '!C293,'PowerApp_Physical count'!A:A,' General Stock Summary View  '!B293)</f>
        <v>0</v>
      </c>
      <c r="X293" s="4">
        <f t="shared" si="50"/>
        <v>0</v>
      </c>
      <c r="Y293" s="5">
        <f>SUMIFS('XBS '!T:T,'XBS '!H:H,' General Stock Summary View  '!$Y$2,'XBS '!B:B,' General Stock Summary View  '!C293,'XBS '!L:L,' General Stock Summary View  '!B293)</f>
        <v>0</v>
      </c>
      <c r="Z293" s="3">
        <f>SUMIFS('PowerApp_Physical count'!H:H,'PowerApp_Physical count'!B:B,' General Stock Summary View  '!$Y$2,'PowerApp_Physical count'!C:C,' General Stock Summary View  '!C293,'PowerApp_Physical count'!A:A,' General Stock Summary View  '!B293)</f>
        <v>0</v>
      </c>
      <c r="AA293" s="4">
        <f t="shared" si="51"/>
        <v>0</v>
      </c>
      <c r="AB293" s="5">
        <f>SUMIFS('XBS '!T:T,'XBS '!H:H,' General Stock Summary View  '!$AB$2,'XBS '!B:B,' General Stock Summary View  '!C293,'XBS '!L:L,' General Stock Summary View  '!B293)</f>
        <v>0</v>
      </c>
      <c r="AC293" s="3">
        <f>SUMIFS('PowerApp_Physical count'!H:H,'PowerApp_Physical count'!B:B,' General Stock Summary View  '!$AB$2,'PowerApp_Physical count'!C:C,' General Stock Summary View  '!C293,'PowerApp_Physical count'!A:A,' General Stock Summary View  '!B293)</f>
        <v>0</v>
      </c>
      <c r="AD293" s="6">
        <f t="shared" si="52"/>
        <v>0</v>
      </c>
      <c r="AE293" s="7">
        <f t="shared" si="53"/>
        <v>135.78333333333333</v>
      </c>
      <c r="AF293" s="8">
        <f t="shared" si="54"/>
        <v>0</v>
      </c>
      <c r="AG293" s="112"/>
    </row>
    <row r="294" spans="2:33" s="113" customFormat="1" ht="61.15">
      <c r="B294" s="117" t="s">
        <v>297</v>
      </c>
      <c r="C294" s="111" t="s">
        <v>240</v>
      </c>
      <c r="D294" s="11">
        <f>SUMIFS('XBS '!T:T,'XBS '!C:C,' General Stock Summary View  '!C294,'XBS '!L:L,' General Stock Summary View  '!B294)</f>
        <v>51.25</v>
      </c>
      <c r="E294" s="2">
        <f>SUMIFS('Blocked for Processing'!P:P,'Blocked for Processing'!I:I,' General Stock Summary View  '!B294,'Blocked for Processing'!C:C,' General Stock Summary View  '!C294)</f>
        <v>0</v>
      </c>
      <c r="F294" s="122">
        <f t="shared" si="43"/>
        <v>51.25</v>
      </c>
      <c r="G294" s="148">
        <f>SUMIFS('XBS '!T:T,'XBS '!H:H,' General Stock Summary View  '!$G$2,'XBS '!L:L,' General Stock Summary View  '!B294,'XBS '!C:C,' General Stock Summary View  '!C294)</f>
        <v>51.25</v>
      </c>
      <c r="H294" s="3">
        <f>SUMIFS('PowerApp_Physical count'!H:H,'PowerApp_Physical count'!B:B,' General Stock Summary View  '!$G$2,'PowerApp_Physical count'!C:C,' General Stock Summary View  '!C294,'PowerApp_Physical count'!A:A,' General Stock Summary View  '!B294)</f>
        <v>51.25</v>
      </c>
      <c r="I294" s="154">
        <f t="shared" si="55"/>
        <v>0</v>
      </c>
      <c r="J294" s="11">
        <f>SUMIFS('XBS '!T:T,'XBS '!H:H,' General Stock Summary View  '!$J$2,'XBS '!L:L,' General Stock Summary View  '!B294,'XBS '!C:C,' General Stock Summary View  '!C294)</f>
        <v>0</v>
      </c>
      <c r="K294" s="157">
        <f>SUMIFS('PowerApp_Physical count'!H:H,'PowerApp_Physical count'!B:B,' General Stock Summary View  '!$J$2,'PowerApp_Physical count'!C:C,' General Stock Summary View  '!C294,'PowerApp_Physical count'!A:A,' General Stock Summary View  '!B294)</f>
        <v>0</v>
      </c>
      <c r="L294" s="127">
        <f t="shared" si="44"/>
        <v>0</v>
      </c>
      <c r="M294" s="126">
        <f t="shared" si="45"/>
        <v>51.25</v>
      </c>
      <c r="N294" s="11">
        <f t="shared" si="46"/>
        <v>51.25</v>
      </c>
      <c r="O294" s="144">
        <f t="shared" si="47"/>
        <v>0</v>
      </c>
      <c r="P294" s="2">
        <f>SUMIFS('XBS '!T:T,'XBS '!H:H,' General Stock Summary View  '!$P$2,'XBS '!L:L,' General Stock Summary View  '!B294,'XBS '!C:C,' General Stock Summary View  '!C294)</f>
        <v>0</v>
      </c>
      <c r="Q294" s="3">
        <f>SUMIFS('PowerApp_Physical count'!H:H,'PowerApp_Physical count'!B:B,' General Stock Summary View  '!$P$2,'PowerApp_Physical count'!C:C,' General Stock Summary View  '!C294,'PowerApp_Physical count'!A:A,' General Stock Summary View  '!B294)</f>
        <v>0</v>
      </c>
      <c r="R294" s="4">
        <f t="shared" si="48"/>
        <v>0</v>
      </c>
      <c r="S294" s="5">
        <f>SUMIFS('XBS '!T:T,'XBS '!L:L,' General Stock Summary View  '!B294,'XBS '!H:H,' General Stock Summary View  '!$S$2,'XBS '!C:C,' General Stock Summary View  '!C294)</f>
        <v>0</v>
      </c>
      <c r="T294" s="3">
        <f>SUMIFS('PowerApp_Physical count'!H:H,'PowerApp_Physical count'!B:B,' General Stock Summary View  '!$S$2,'PowerApp_Physical count'!C:C,' General Stock Summary View  '!C294,'PowerApp_Physical count'!A:A,' General Stock Summary View  '!B294)</f>
        <v>0</v>
      </c>
      <c r="U294" s="4">
        <f t="shared" si="49"/>
        <v>0</v>
      </c>
      <c r="V294" s="2">
        <f>SUMIFS('XBS '!T:T,'XBS '!H:H,' General Stock Summary View  '!$V$2,'XBS '!B:B,' General Stock Summary View  '!C294,'XBS '!L:L,' General Stock Summary View  '!B294)</f>
        <v>0</v>
      </c>
      <c r="W294" s="3">
        <f>SUMIFS('PowerApp_Physical count'!H:H,'PowerApp_Physical count'!B:B,' General Stock Summary View  '!$V$2,'PowerApp_Physical count'!C:C,' General Stock Summary View  '!C294,'PowerApp_Physical count'!A:A,' General Stock Summary View  '!B294)</f>
        <v>0</v>
      </c>
      <c r="X294" s="4">
        <f t="shared" si="50"/>
        <v>0</v>
      </c>
      <c r="Y294" s="5">
        <f>SUMIFS('XBS '!T:T,'XBS '!H:H,' General Stock Summary View  '!$Y$2,'XBS '!B:B,' General Stock Summary View  '!C294,'XBS '!L:L,' General Stock Summary View  '!B294)</f>
        <v>0</v>
      </c>
      <c r="Z294" s="3">
        <f>SUMIFS('PowerApp_Physical count'!H:H,'PowerApp_Physical count'!B:B,' General Stock Summary View  '!$Y$2,'PowerApp_Physical count'!C:C,' General Stock Summary View  '!C294,'PowerApp_Physical count'!A:A,' General Stock Summary View  '!B294)</f>
        <v>0</v>
      </c>
      <c r="AA294" s="4">
        <f t="shared" si="51"/>
        <v>0</v>
      </c>
      <c r="AB294" s="5">
        <f>SUMIFS('XBS '!T:T,'XBS '!H:H,' General Stock Summary View  '!$AB$2,'XBS '!B:B,' General Stock Summary View  '!C294,'XBS '!L:L,' General Stock Summary View  '!B294)</f>
        <v>0</v>
      </c>
      <c r="AC294" s="3">
        <f>SUMIFS('PowerApp_Physical count'!H:H,'PowerApp_Physical count'!B:B,' General Stock Summary View  '!$AB$2,'PowerApp_Physical count'!C:C,' General Stock Summary View  '!C294,'PowerApp_Physical count'!A:A,' General Stock Summary View  '!B294)</f>
        <v>0</v>
      </c>
      <c r="AD294" s="6">
        <f t="shared" si="52"/>
        <v>0</v>
      </c>
      <c r="AE294" s="7">
        <f t="shared" si="53"/>
        <v>51.25</v>
      </c>
      <c r="AF294" s="8">
        <f t="shared" si="54"/>
        <v>0</v>
      </c>
      <c r="AG294" s="112"/>
    </row>
    <row r="295" spans="2:33" s="113" customFormat="1" ht="61.15">
      <c r="B295" s="117" t="s">
        <v>298</v>
      </c>
      <c r="C295" s="111" t="s">
        <v>240</v>
      </c>
      <c r="D295" s="11">
        <f>SUMIFS('XBS '!T:T,'XBS '!C:C,' General Stock Summary View  '!C295,'XBS '!L:L,' General Stock Summary View  '!B295)</f>
        <v>147.63333333333333</v>
      </c>
      <c r="E295" s="2">
        <f>SUMIFS('Blocked for Processing'!P:P,'Blocked for Processing'!I:I,' General Stock Summary View  '!B295,'Blocked for Processing'!C:C,' General Stock Summary View  '!C295)</f>
        <v>0</v>
      </c>
      <c r="F295" s="122">
        <f t="shared" si="43"/>
        <v>147.63333333333333</v>
      </c>
      <c r="G295" s="148">
        <f>SUMIFS('XBS '!T:T,'XBS '!H:H,' General Stock Summary View  '!$G$2,'XBS '!L:L,' General Stock Summary View  '!B295,'XBS '!C:C,' General Stock Summary View  '!C295)</f>
        <v>147.63333333333333</v>
      </c>
      <c r="H295" s="3">
        <f>SUMIFS('PowerApp_Physical count'!H:H,'PowerApp_Physical count'!B:B,' General Stock Summary View  '!$G$2,'PowerApp_Physical count'!C:C,' General Stock Summary View  '!C295,'PowerApp_Physical count'!A:A,' General Stock Summary View  '!B295)</f>
        <v>147.63333333333333</v>
      </c>
      <c r="I295" s="154">
        <f t="shared" si="55"/>
        <v>0</v>
      </c>
      <c r="J295" s="11">
        <f>SUMIFS('XBS '!T:T,'XBS '!H:H,' General Stock Summary View  '!$J$2,'XBS '!L:L,' General Stock Summary View  '!B295,'XBS '!C:C,' General Stock Summary View  '!C295)</f>
        <v>0</v>
      </c>
      <c r="K295" s="157">
        <f>SUMIFS('PowerApp_Physical count'!H:H,'PowerApp_Physical count'!B:B,' General Stock Summary View  '!$J$2,'PowerApp_Physical count'!C:C,' General Stock Summary View  '!C295,'PowerApp_Physical count'!A:A,' General Stock Summary View  '!B295)</f>
        <v>0</v>
      </c>
      <c r="L295" s="127">
        <f t="shared" si="44"/>
        <v>0</v>
      </c>
      <c r="M295" s="126">
        <f t="shared" si="45"/>
        <v>147.63333333333333</v>
      </c>
      <c r="N295" s="11">
        <f t="shared" si="46"/>
        <v>147.63333333333333</v>
      </c>
      <c r="O295" s="144">
        <f t="shared" si="47"/>
        <v>0</v>
      </c>
      <c r="P295" s="2">
        <f>SUMIFS('XBS '!T:T,'XBS '!H:H,' General Stock Summary View  '!$P$2,'XBS '!L:L,' General Stock Summary View  '!B295,'XBS '!C:C,' General Stock Summary View  '!C295)</f>
        <v>0</v>
      </c>
      <c r="Q295" s="3">
        <f>SUMIFS('PowerApp_Physical count'!H:H,'PowerApp_Physical count'!B:B,' General Stock Summary View  '!$P$2,'PowerApp_Physical count'!C:C,' General Stock Summary View  '!C295,'PowerApp_Physical count'!A:A,' General Stock Summary View  '!B295)</f>
        <v>0</v>
      </c>
      <c r="R295" s="4">
        <f t="shared" si="48"/>
        <v>0</v>
      </c>
      <c r="S295" s="5">
        <f>SUMIFS('XBS '!T:T,'XBS '!L:L,' General Stock Summary View  '!B295,'XBS '!H:H,' General Stock Summary View  '!$S$2,'XBS '!C:C,' General Stock Summary View  '!C295)</f>
        <v>0</v>
      </c>
      <c r="T295" s="3">
        <f>SUMIFS('PowerApp_Physical count'!H:H,'PowerApp_Physical count'!B:B,' General Stock Summary View  '!$S$2,'PowerApp_Physical count'!C:C,' General Stock Summary View  '!C295,'PowerApp_Physical count'!A:A,' General Stock Summary View  '!B295)</f>
        <v>0</v>
      </c>
      <c r="U295" s="4">
        <f t="shared" si="49"/>
        <v>0</v>
      </c>
      <c r="V295" s="2">
        <f>SUMIFS('XBS '!T:T,'XBS '!H:H,' General Stock Summary View  '!$V$2,'XBS '!B:B,' General Stock Summary View  '!C295,'XBS '!L:L,' General Stock Summary View  '!B295)</f>
        <v>0</v>
      </c>
      <c r="W295" s="3">
        <f>SUMIFS('PowerApp_Physical count'!H:H,'PowerApp_Physical count'!B:B,' General Stock Summary View  '!$V$2,'PowerApp_Physical count'!C:C,' General Stock Summary View  '!C295,'PowerApp_Physical count'!A:A,' General Stock Summary View  '!B295)</f>
        <v>0</v>
      </c>
      <c r="X295" s="4">
        <f t="shared" si="50"/>
        <v>0</v>
      </c>
      <c r="Y295" s="5">
        <f>SUMIFS('XBS '!T:T,'XBS '!H:H,' General Stock Summary View  '!$Y$2,'XBS '!B:B,' General Stock Summary View  '!C295,'XBS '!L:L,' General Stock Summary View  '!B295)</f>
        <v>0</v>
      </c>
      <c r="Z295" s="3">
        <f>SUMIFS('PowerApp_Physical count'!H:H,'PowerApp_Physical count'!B:B,' General Stock Summary View  '!$Y$2,'PowerApp_Physical count'!C:C,' General Stock Summary View  '!C295,'PowerApp_Physical count'!A:A,' General Stock Summary View  '!B295)</f>
        <v>0</v>
      </c>
      <c r="AA295" s="4">
        <f t="shared" si="51"/>
        <v>0</v>
      </c>
      <c r="AB295" s="5">
        <f>SUMIFS('XBS '!T:T,'XBS '!H:H,' General Stock Summary View  '!$AB$2,'XBS '!B:B,' General Stock Summary View  '!C295,'XBS '!L:L,' General Stock Summary View  '!B295)</f>
        <v>0</v>
      </c>
      <c r="AC295" s="3">
        <f>SUMIFS('PowerApp_Physical count'!H:H,'PowerApp_Physical count'!B:B,' General Stock Summary View  '!$AB$2,'PowerApp_Physical count'!C:C,' General Stock Summary View  '!C295,'PowerApp_Physical count'!A:A,' General Stock Summary View  '!B295)</f>
        <v>0</v>
      </c>
      <c r="AD295" s="6">
        <f t="shared" si="52"/>
        <v>0</v>
      </c>
      <c r="AE295" s="7">
        <f t="shared" si="53"/>
        <v>147.63333333333333</v>
      </c>
      <c r="AF295" s="8">
        <f t="shared" si="54"/>
        <v>0</v>
      </c>
      <c r="AG295" s="112"/>
    </row>
    <row r="296" spans="2:33" s="113" customFormat="1" ht="61.15">
      <c r="B296" s="117" t="s">
        <v>299</v>
      </c>
      <c r="C296" s="111" t="s">
        <v>240</v>
      </c>
      <c r="D296" s="11">
        <f>SUMIFS('XBS '!T:T,'XBS '!C:C,' General Stock Summary View  '!C296,'XBS '!L:L,' General Stock Summary View  '!B296)</f>
        <v>8.65</v>
      </c>
      <c r="E296" s="2">
        <f>SUMIFS('Blocked for Processing'!P:P,'Blocked for Processing'!I:I,' General Stock Summary View  '!B296,'Blocked for Processing'!C:C,' General Stock Summary View  '!C296)</f>
        <v>0</v>
      </c>
      <c r="F296" s="122">
        <f t="shared" si="43"/>
        <v>8.65</v>
      </c>
      <c r="G296" s="148">
        <f>SUMIFS('XBS '!T:T,'XBS '!H:H,' General Stock Summary View  '!$G$2,'XBS '!L:L,' General Stock Summary View  '!B296,'XBS '!C:C,' General Stock Summary View  '!C296)</f>
        <v>8.65</v>
      </c>
      <c r="H296" s="3">
        <f>SUMIFS('PowerApp_Physical count'!H:H,'PowerApp_Physical count'!B:B,' General Stock Summary View  '!$G$2,'PowerApp_Physical count'!C:C,' General Stock Summary View  '!C296,'PowerApp_Physical count'!A:A,' General Stock Summary View  '!B296)</f>
        <v>8.65</v>
      </c>
      <c r="I296" s="154">
        <f t="shared" si="55"/>
        <v>0</v>
      </c>
      <c r="J296" s="11">
        <f>SUMIFS('XBS '!T:T,'XBS '!H:H,' General Stock Summary View  '!$J$2,'XBS '!L:L,' General Stock Summary View  '!B296,'XBS '!C:C,' General Stock Summary View  '!C296)</f>
        <v>0</v>
      </c>
      <c r="K296" s="157">
        <f>SUMIFS('PowerApp_Physical count'!H:H,'PowerApp_Physical count'!B:B,' General Stock Summary View  '!$J$2,'PowerApp_Physical count'!C:C,' General Stock Summary View  '!C296,'PowerApp_Physical count'!A:A,' General Stock Summary View  '!B296)</f>
        <v>0</v>
      </c>
      <c r="L296" s="127">
        <f t="shared" si="44"/>
        <v>0</v>
      </c>
      <c r="M296" s="126">
        <f t="shared" si="45"/>
        <v>8.65</v>
      </c>
      <c r="N296" s="11">
        <f t="shared" si="46"/>
        <v>8.65</v>
      </c>
      <c r="O296" s="144">
        <f t="shared" si="47"/>
        <v>0</v>
      </c>
      <c r="P296" s="2">
        <f>SUMIFS('XBS '!T:T,'XBS '!H:H,' General Stock Summary View  '!$P$2,'XBS '!L:L,' General Stock Summary View  '!B296,'XBS '!C:C,' General Stock Summary View  '!C296)</f>
        <v>0</v>
      </c>
      <c r="Q296" s="3">
        <f>SUMIFS('PowerApp_Physical count'!H:H,'PowerApp_Physical count'!B:B,' General Stock Summary View  '!$P$2,'PowerApp_Physical count'!C:C,' General Stock Summary View  '!C296,'PowerApp_Physical count'!A:A,' General Stock Summary View  '!B296)</f>
        <v>0</v>
      </c>
      <c r="R296" s="4">
        <f t="shared" si="48"/>
        <v>0</v>
      </c>
      <c r="S296" s="5">
        <f>SUMIFS('XBS '!T:T,'XBS '!L:L,' General Stock Summary View  '!B296,'XBS '!H:H,' General Stock Summary View  '!$S$2,'XBS '!C:C,' General Stock Summary View  '!C296)</f>
        <v>0</v>
      </c>
      <c r="T296" s="3">
        <f>SUMIFS('PowerApp_Physical count'!H:H,'PowerApp_Physical count'!B:B,' General Stock Summary View  '!$S$2,'PowerApp_Physical count'!C:C,' General Stock Summary View  '!C296,'PowerApp_Physical count'!A:A,' General Stock Summary View  '!B296)</f>
        <v>0</v>
      </c>
      <c r="U296" s="4">
        <f t="shared" si="49"/>
        <v>0</v>
      </c>
      <c r="V296" s="2">
        <f>SUMIFS('XBS '!T:T,'XBS '!H:H,' General Stock Summary View  '!$V$2,'XBS '!B:B,' General Stock Summary View  '!C296,'XBS '!L:L,' General Stock Summary View  '!B296)</f>
        <v>0</v>
      </c>
      <c r="W296" s="3">
        <f>SUMIFS('PowerApp_Physical count'!H:H,'PowerApp_Physical count'!B:B,' General Stock Summary View  '!$V$2,'PowerApp_Physical count'!C:C,' General Stock Summary View  '!C296,'PowerApp_Physical count'!A:A,' General Stock Summary View  '!B296)</f>
        <v>0</v>
      </c>
      <c r="X296" s="4">
        <f t="shared" si="50"/>
        <v>0</v>
      </c>
      <c r="Y296" s="5">
        <f>SUMIFS('XBS '!T:T,'XBS '!H:H,' General Stock Summary View  '!$Y$2,'XBS '!B:B,' General Stock Summary View  '!C296,'XBS '!L:L,' General Stock Summary View  '!B296)</f>
        <v>0</v>
      </c>
      <c r="Z296" s="3">
        <f>SUMIFS('PowerApp_Physical count'!H:H,'PowerApp_Physical count'!B:B,' General Stock Summary View  '!$Y$2,'PowerApp_Physical count'!C:C,' General Stock Summary View  '!C296,'PowerApp_Physical count'!A:A,' General Stock Summary View  '!B296)</f>
        <v>0</v>
      </c>
      <c r="AA296" s="4">
        <f t="shared" si="51"/>
        <v>0</v>
      </c>
      <c r="AB296" s="5">
        <f>SUMIFS('XBS '!T:T,'XBS '!H:H,' General Stock Summary View  '!$AB$2,'XBS '!B:B,' General Stock Summary View  '!C296,'XBS '!L:L,' General Stock Summary View  '!B296)</f>
        <v>0</v>
      </c>
      <c r="AC296" s="3">
        <f>SUMIFS('PowerApp_Physical count'!H:H,'PowerApp_Physical count'!B:B,' General Stock Summary View  '!$AB$2,'PowerApp_Physical count'!C:C,' General Stock Summary View  '!C296,'PowerApp_Physical count'!A:A,' General Stock Summary View  '!B296)</f>
        <v>0</v>
      </c>
      <c r="AD296" s="6">
        <f t="shared" si="52"/>
        <v>0</v>
      </c>
      <c r="AE296" s="7">
        <f t="shared" si="53"/>
        <v>8.65</v>
      </c>
      <c r="AF296" s="8">
        <f t="shared" si="54"/>
        <v>0</v>
      </c>
      <c r="AG296" s="112"/>
    </row>
    <row r="297" spans="2:33" s="113" customFormat="1" ht="61.15">
      <c r="B297" s="117" t="s">
        <v>300</v>
      </c>
      <c r="C297" s="111" t="s">
        <v>240</v>
      </c>
      <c r="D297" s="11">
        <f>SUMIFS('XBS '!T:T,'XBS '!C:C,' General Stock Summary View  '!C297,'XBS '!L:L,' General Stock Summary View  '!B297)</f>
        <v>251.63333333333333</v>
      </c>
      <c r="E297" s="2">
        <f>SUMIFS('Blocked for Processing'!P:P,'Blocked for Processing'!I:I,' General Stock Summary View  '!B297,'Blocked for Processing'!C:C,' General Stock Summary View  '!C297)</f>
        <v>0</v>
      </c>
      <c r="F297" s="122">
        <f t="shared" si="43"/>
        <v>251.63333333333333</v>
      </c>
      <c r="G297" s="148">
        <f>SUMIFS('XBS '!T:T,'XBS '!H:H,' General Stock Summary View  '!$G$2,'XBS '!L:L,' General Stock Summary View  '!B297,'XBS '!C:C,' General Stock Summary View  '!C297)</f>
        <v>251.63333333333333</v>
      </c>
      <c r="H297" s="3">
        <f>SUMIFS('PowerApp_Physical count'!H:H,'PowerApp_Physical count'!B:B,' General Stock Summary View  '!$G$2,'PowerApp_Physical count'!C:C,' General Stock Summary View  '!C297,'PowerApp_Physical count'!A:A,' General Stock Summary View  '!B297)</f>
        <v>251.63333333333333</v>
      </c>
      <c r="I297" s="154">
        <f t="shared" si="55"/>
        <v>0</v>
      </c>
      <c r="J297" s="11">
        <f>SUMIFS('XBS '!T:T,'XBS '!H:H,' General Stock Summary View  '!$J$2,'XBS '!L:L,' General Stock Summary View  '!B297,'XBS '!C:C,' General Stock Summary View  '!C297)</f>
        <v>0</v>
      </c>
      <c r="K297" s="157">
        <f>SUMIFS('PowerApp_Physical count'!H:H,'PowerApp_Physical count'!B:B,' General Stock Summary View  '!$J$2,'PowerApp_Physical count'!C:C,' General Stock Summary View  '!C297,'PowerApp_Physical count'!A:A,' General Stock Summary View  '!B297)</f>
        <v>0</v>
      </c>
      <c r="L297" s="127">
        <f t="shared" si="44"/>
        <v>0</v>
      </c>
      <c r="M297" s="126">
        <f t="shared" si="45"/>
        <v>251.63333333333333</v>
      </c>
      <c r="N297" s="11">
        <f t="shared" si="46"/>
        <v>251.63333333333333</v>
      </c>
      <c r="O297" s="144">
        <f t="shared" si="47"/>
        <v>0</v>
      </c>
      <c r="P297" s="2">
        <f>SUMIFS('XBS '!T:T,'XBS '!H:H,' General Stock Summary View  '!$P$2,'XBS '!L:L,' General Stock Summary View  '!B297,'XBS '!C:C,' General Stock Summary View  '!C297)</f>
        <v>0</v>
      </c>
      <c r="Q297" s="3">
        <f>SUMIFS('PowerApp_Physical count'!H:H,'PowerApp_Physical count'!B:B,' General Stock Summary View  '!$P$2,'PowerApp_Physical count'!C:C,' General Stock Summary View  '!C297,'PowerApp_Physical count'!A:A,' General Stock Summary View  '!B297)</f>
        <v>0</v>
      </c>
      <c r="R297" s="4">
        <f t="shared" si="48"/>
        <v>0</v>
      </c>
      <c r="S297" s="5">
        <f>SUMIFS('XBS '!T:T,'XBS '!L:L,' General Stock Summary View  '!B297,'XBS '!H:H,' General Stock Summary View  '!$S$2,'XBS '!C:C,' General Stock Summary View  '!C297)</f>
        <v>0</v>
      </c>
      <c r="T297" s="3">
        <f>SUMIFS('PowerApp_Physical count'!H:H,'PowerApp_Physical count'!B:B,' General Stock Summary View  '!$S$2,'PowerApp_Physical count'!C:C,' General Stock Summary View  '!C297,'PowerApp_Physical count'!A:A,' General Stock Summary View  '!B297)</f>
        <v>0</v>
      </c>
      <c r="U297" s="4">
        <f t="shared" si="49"/>
        <v>0</v>
      </c>
      <c r="V297" s="2">
        <f>SUMIFS('XBS '!T:T,'XBS '!H:H,' General Stock Summary View  '!$V$2,'XBS '!B:B,' General Stock Summary View  '!C297,'XBS '!L:L,' General Stock Summary View  '!B297)</f>
        <v>0</v>
      </c>
      <c r="W297" s="3">
        <f>SUMIFS('PowerApp_Physical count'!H:H,'PowerApp_Physical count'!B:B,' General Stock Summary View  '!$V$2,'PowerApp_Physical count'!C:C,' General Stock Summary View  '!C297,'PowerApp_Physical count'!A:A,' General Stock Summary View  '!B297)</f>
        <v>0</v>
      </c>
      <c r="X297" s="4">
        <f t="shared" si="50"/>
        <v>0</v>
      </c>
      <c r="Y297" s="5">
        <f>SUMIFS('XBS '!T:T,'XBS '!H:H,' General Stock Summary View  '!$Y$2,'XBS '!B:B,' General Stock Summary View  '!C297,'XBS '!L:L,' General Stock Summary View  '!B297)</f>
        <v>0</v>
      </c>
      <c r="Z297" s="3">
        <f>SUMIFS('PowerApp_Physical count'!H:H,'PowerApp_Physical count'!B:B,' General Stock Summary View  '!$Y$2,'PowerApp_Physical count'!C:C,' General Stock Summary View  '!C297,'PowerApp_Physical count'!A:A,' General Stock Summary View  '!B297)</f>
        <v>0</v>
      </c>
      <c r="AA297" s="4">
        <f t="shared" si="51"/>
        <v>0</v>
      </c>
      <c r="AB297" s="5">
        <f>SUMIFS('XBS '!T:T,'XBS '!H:H,' General Stock Summary View  '!$AB$2,'XBS '!B:B,' General Stock Summary View  '!C297,'XBS '!L:L,' General Stock Summary View  '!B297)</f>
        <v>0</v>
      </c>
      <c r="AC297" s="3">
        <f>SUMIFS('PowerApp_Physical count'!H:H,'PowerApp_Physical count'!B:B,' General Stock Summary View  '!$AB$2,'PowerApp_Physical count'!C:C,' General Stock Summary View  '!C297,'PowerApp_Physical count'!A:A,' General Stock Summary View  '!B297)</f>
        <v>0</v>
      </c>
      <c r="AD297" s="6">
        <f t="shared" si="52"/>
        <v>0</v>
      </c>
      <c r="AE297" s="7">
        <f t="shared" si="53"/>
        <v>251.63333333333333</v>
      </c>
      <c r="AF297" s="8">
        <f t="shared" si="54"/>
        <v>0</v>
      </c>
      <c r="AG297" s="112"/>
    </row>
    <row r="298" spans="2:33" s="113" customFormat="1" ht="61.15">
      <c r="B298" s="117" t="s">
        <v>301</v>
      </c>
      <c r="C298" s="111" t="s">
        <v>240</v>
      </c>
      <c r="D298" s="11">
        <f>SUMIFS('XBS '!T:T,'XBS '!C:C,' General Stock Summary View  '!C298,'XBS '!L:L,' General Stock Summary View  '!B298)</f>
        <v>310.73333333333335</v>
      </c>
      <c r="E298" s="2">
        <f>SUMIFS('Blocked for Processing'!P:P,'Blocked for Processing'!I:I,' General Stock Summary View  '!B298,'Blocked for Processing'!C:C,' General Stock Summary View  '!C298)</f>
        <v>0</v>
      </c>
      <c r="F298" s="122">
        <f t="shared" si="43"/>
        <v>310.73333333333335</v>
      </c>
      <c r="G298" s="148">
        <f>SUMIFS('XBS '!T:T,'XBS '!H:H,' General Stock Summary View  '!$G$2,'XBS '!L:L,' General Stock Summary View  '!B298,'XBS '!C:C,' General Stock Summary View  '!C298)</f>
        <v>310.73333333333335</v>
      </c>
      <c r="H298" s="3">
        <f>SUMIFS('PowerApp_Physical count'!H:H,'PowerApp_Physical count'!B:B,' General Stock Summary View  '!$G$2,'PowerApp_Physical count'!C:C,' General Stock Summary View  '!C298,'PowerApp_Physical count'!A:A,' General Stock Summary View  '!B298)</f>
        <v>310.64999999999998</v>
      </c>
      <c r="I298" s="154">
        <f t="shared" si="55"/>
        <v>-8.3333333333371229E-2</v>
      </c>
      <c r="J298" s="11">
        <f>SUMIFS('XBS '!T:T,'XBS '!H:H,' General Stock Summary View  '!$J$2,'XBS '!L:L,' General Stock Summary View  '!B298,'XBS '!C:C,' General Stock Summary View  '!C298)</f>
        <v>0</v>
      </c>
      <c r="K298" s="157">
        <f>SUMIFS('PowerApp_Physical count'!H:H,'PowerApp_Physical count'!B:B,' General Stock Summary View  '!$J$2,'PowerApp_Physical count'!C:C,' General Stock Summary View  '!C298,'PowerApp_Physical count'!A:A,' General Stock Summary View  '!B298)</f>
        <v>0</v>
      </c>
      <c r="L298" s="127">
        <f t="shared" si="44"/>
        <v>0</v>
      </c>
      <c r="M298" s="126">
        <f t="shared" si="45"/>
        <v>310.73333333333335</v>
      </c>
      <c r="N298" s="11">
        <f t="shared" si="46"/>
        <v>310.64999999999998</v>
      </c>
      <c r="O298" s="144">
        <f t="shared" si="47"/>
        <v>-8.3333333333371229E-2</v>
      </c>
      <c r="P298" s="2">
        <f>SUMIFS('XBS '!T:T,'XBS '!H:H,' General Stock Summary View  '!$P$2,'XBS '!L:L,' General Stock Summary View  '!B298,'XBS '!C:C,' General Stock Summary View  '!C298)</f>
        <v>0</v>
      </c>
      <c r="Q298" s="3">
        <f>SUMIFS('PowerApp_Physical count'!H:H,'PowerApp_Physical count'!B:B,' General Stock Summary View  '!$P$2,'PowerApp_Physical count'!C:C,' General Stock Summary View  '!C298,'PowerApp_Physical count'!A:A,' General Stock Summary View  '!B298)</f>
        <v>0</v>
      </c>
      <c r="R298" s="4">
        <f t="shared" si="48"/>
        <v>0</v>
      </c>
      <c r="S298" s="5">
        <f>SUMIFS('XBS '!T:T,'XBS '!L:L,' General Stock Summary View  '!B298,'XBS '!H:H,' General Stock Summary View  '!$S$2,'XBS '!C:C,' General Stock Summary View  '!C298)</f>
        <v>0</v>
      </c>
      <c r="T298" s="3">
        <f>SUMIFS('PowerApp_Physical count'!H:H,'PowerApp_Physical count'!B:B,' General Stock Summary View  '!$S$2,'PowerApp_Physical count'!C:C,' General Stock Summary View  '!C298,'PowerApp_Physical count'!A:A,' General Stock Summary View  '!B298)</f>
        <v>0</v>
      </c>
      <c r="U298" s="4">
        <f t="shared" si="49"/>
        <v>0</v>
      </c>
      <c r="V298" s="2">
        <f>SUMIFS('XBS '!T:T,'XBS '!H:H,' General Stock Summary View  '!$V$2,'XBS '!B:B,' General Stock Summary View  '!C298,'XBS '!L:L,' General Stock Summary View  '!B298)</f>
        <v>0</v>
      </c>
      <c r="W298" s="3">
        <f>SUMIFS('PowerApp_Physical count'!H:H,'PowerApp_Physical count'!B:B,' General Stock Summary View  '!$V$2,'PowerApp_Physical count'!C:C,' General Stock Summary View  '!C298,'PowerApp_Physical count'!A:A,' General Stock Summary View  '!B298)</f>
        <v>0</v>
      </c>
      <c r="X298" s="4">
        <f t="shared" si="50"/>
        <v>0</v>
      </c>
      <c r="Y298" s="5">
        <f>SUMIFS('XBS '!T:T,'XBS '!H:H,' General Stock Summary View  '!$Y$2,'XBS '!B:B,' General Stock Summary View  '!C298,'XBS '!L:L,' General Stock Summary View  '!B298)</f>
        <v>0</v>
      </c>
      <c r="Z298" s="3">
        <f>SUMIFS('PowerApp_Physical count'!H:H,'PowerApp_Physical count'!B:B,' General Stock Summary View  '!$Y$2,'PowerApp_Physical count'!C:C,' General Stock Summary View  '!C298,'PowerApp_Physical count'!A:A,' General Stock Summary View  '!B298)</f>
        <v>0</v>
      </c>
      <c r="AA298" s="4">
        <f t="shared" si="51"/>
        <v>0</v>
      </c>
      <c r="AB298" s="5">
        <f>SUMIFS('XBS '!T:T,'XBS '!H:H,' General Stock Summary View  '!$AB$2,'XBS '!B:B,' General Stock Summary View  '!C298,'XBS '!L:L,' General Stock Summary View  '!B298)</f>
        <v>0</v>
      </c>
      <c r="AC298" s="3">
        <f>SUMIFS('PowerApp_Physical count'!H:H,'PowerApp_Physical count'!B:B,' General Stock Summary View  '!$AB$2,'PowerApp_Physical count'!C:C,' General Stock Summary View  '!C298,'PowerApp_Physical count'!A:A,' General Stock Summary View  '!B298)</f>
        <v>0</v>
      </c>
      <c r="AD298" s="6">
        <f t="shared" si="52"/>
        <v>0</v>
      </c>
      <c r="AE298" s="7">
        <f t="shared" si="53"/>
        <v>310.64999999999998</v>
      </c>
      <c r="AF298" s="8">
        <f t="shared" si="54"/>
        <v>-8.3333333333371229E-2</v>
      </c>
      <c r="AG298" s="112"/>
    </row>
    <row r="299" spans="2:33" s="113" customFormat="1" ht="61.15">
      <c r="B299" s="117" t="s">
        <v>302</v>
      </c>
      <c r="C299" s="111" t="s">
        <v>240</v>
      </c>
      <c r="D299" s="11">
        <f>SUMIFS('XBS '!T:T,'XBS '!C:C,' General Stock Summary View  '!C299,'XBS '!L:L,' General Stock Summary View  '!B299)</f>
        <v>46.81666666666667</v>
      </c>
      <c r="E299" s="2">
        <f>SUMIFS('Blocked for Processing'!P:P,'Blocked for Processing'!I:I,' General Stock Summary View  '!B299,'Blocked for Processing'!C:C,' General Stock Summary View  '!C299)</f>
        <v>0</v>
      </c>
      <c r="F299" s="122">
        <f t="shared" si="43"/>
        <v>46.81666666666667</v>
      </c>
      <c r="G299" s="148">
        <f>SUMIFS('XBS '!T:T,'XBS '!H:H,' General Stock Summary View  '!$G$2,'XBS '!L:L,' General Stock Summary View  '!B299,'XBS '!C:C,' General Stock Summary View  '!C299)</f>
        <v>46.81666666666667</v>
      </c>
      <c r="H299" s="3">
        <f>SUMIFS('PowerApp_Physical count'!H:H,'PowerApp_Physical count'!B:B,' General Stock Summary View  '!$G$2,'PowerApp_Physical count'!C:C,' General Stock Summary View  '!C299,'PowerApp_Physical count'!A:A,' General Stock Summary View  '!B299)</f>
        <v>46.81666666666667</v>
      </c>
      <c r="I299" s="154">
        <f t="shared" si="55"/>
        <v>0</v>
      </c>
      <c r="J299" s="11">
        <f>SUMIFS('XBS '!T:T,'XBS '!H:H,' General Stock Summary View  '!$J$2,'XBS '!L:L,' General Stock Summary View  '!B299,'XBS '!C:C,' General Stock Summary View  '!C299)</f>
        <v>0</v>
      </c>
      <c r="K299" s="157">
        <f>SUMIFS('PowerApp_Physical count'!H:H,'PowerApp_Physical count'!B:B,' General Stock Summary View  '!$J$2,'PowerApp_Physical count'!C:C,' General Stock Summary View  '!C299,'PowerApp_Physical count'!A:A,' General Stock Summary View  '!B299)</f>
        <v>0</v>
      </c>
      <c r="L299" s="127">
        <f t="shared" si="44"/>
        <v>0</v>
      </c>
      <c r="M299" s="126">
        <f t="shared" si="45"/>
        <v>46.81666666666667</v>
      </c>
      <c r="N299" s="11">
        <f t="shared" si="46"/>
        <v>46.81666666666667</v>
      </c>
      <c r="O299" s="144">
        <f t="shared" si="47"/>
        <v>0</v>
      </c>
      <c r="P299" s="2">
        <f>SUMIFS('XBS '!T:T,'XBS '!H:H,' General Stock Summary View  '!$P$2,'XBS '!L:L,' General Stock Summary View  '!B299,'XBS '!C:C,' General Stock Summary View  '!C299)</f>
        <v>0</v>
      </c>
      <c r="Q299" s="3">
        <f>SUMIFS('PowerApp_Physical count'!H:H,'PowerApp_Physical count'!B:B,' General Stock Summary View  '!$P$2,'PowerApp_Physical count'!C:C,' General Stock Summary View  '!C299,'PowerApp_Physical count'!A:A,' General Stock Summary View  '!B299)</f>
        <v>0</v>
      </c>
      <c r="R299" s="4">
        <f t="shared" si="48"/>
        <v>0</v>
      </c>
      <c r="S299" s="5">
        <f>SUMIFS('XBS '!T:T,'XBS '!L:L,' General Stock Summary View  '!B299,'XBS '!H:H,' General Stock Summary View  '!$S$2,'XBS '!C:C,' General Stock Summary View  '!C299)</f>
        <v>0</v>
      </c>
      <c r="T299" s="3">
        <f>SUMIFS('PowerApp_Physical count'!H:H,'PowerApp_Physical count'!B:B,' General Stock Summary View  '!$S$2,'PowerApp_Physical count'!C:C,' General Stock Summary View  '!C299,'PowerApp_Physical count'!A:A,' General Stock Summary View  '!B299)</f>
        <v>0</v>
      </c>
      <c r="U299" s="4">
        <f t="shared" si="49"/>
        <v>0</v>
      </c>
      <c r="V299" s="2">
        <f>SUMIFS('XBS '!T:T,'XBS '!H:H,' General Stock Summary View  '!$V$2,'XBS '!B:B,' General Stock Summary View  '!C299,'XBS '!L:L,' General Stock Summary View  '!B299)</f>
        <v>0</v>
      </c>
      <c r="W299" s="3">
        <f>SUMIFS('PowerApp_Physical count'!H:H,'PowerApp_Physical count'!B:B,' General Stock Summary View  '!$V$2,'PowerApp_Physical count'!C:C,' General Stock Summary View  '!C299,'PowerApp_Physical count'!A:A,' General Stock Summary View  '!B299)</f>
        <v>0</v>
      </c>
      <c r="X299" s="4">
        <f t="shared" si="50"/>
        <v>0</v>
      </c>
      <c r="Y299" s="5">
        <f>SUMIFS('XBS '!T:T,'XBS '!H:H,' General Stock Summary View  '!$Y$2,'XBS '!B:B,' General Stock Summary View  '!C299,'XBS '!L:L,' General Stock Summary View  '!B299)</f>
        <v>0</v>
      </c>
      <c r="Z299" s="3">
        <f>SUMIFS('PowerApp_Physical count'!H:H,'PowerApp_Physical count'!B:B,' General Stock Summary View  '!$Y$2,'PowerApp_Physical count'!C:C,' General Stock Summary View  '!C299,'PowerApp_Physical count'!A:A,' General Stock Summary View  '!B299)</f>
        <v>0</v>
      </c>
      <c r="AA299" s="4">
        <f t="shared" si="51"/>
        <v>0</v>
      </c>
      <c r="AB299" s="5">
        <f>SUMIFS('XBS '!T:T,'XBS '!H:H,' General Stock Summary View  '!$AB$2,'XBS '!B:B,' General Stock Summary View  '!C299,'XBS '!L:L,' General Stock Summary View  '!B299)</f>
        <v>0</v>
      </c>
      <c r="AC299" s="3">
        <f>SUMIFS('PowerApp_Physical count'!H:H,'PowerApp_Physical count'!B:B,' General Stock Summary View  '!$AB$2,'PowerApp_Physical count'!C:C,' General Stock Summary View  '!C299,'PowerApp_Physical count'!A:A,' General Stock Summary View  '!B299)</f>
        <v>0</v>
      </c>
      <c r="AD299" s="6">
        <f t="shared" si="52"/>
        <v>0</v>
      </c>
      <c r="AE299" s="7">
        <f t="shared" si="53"/>
        <v>46.81666666666667</v>
      </c>
      <c r="AF299" s="8">
        <f t="shared" si="54"/>
        <v>0</v>
      </c>
      <c r="AG299" s="112"/>
    </row>
    <row r="300" spans="2:33" s="113" customFormat="1" ht="61.15">
      <c r="B300" s="117" t="s">
        <v>303</v>
      </c>
      <c r="C300" s="111" t="s">
        <v>240</v>
      </c>
      <c r="D300" s="11">
        <f>SUMIFS('XBS '!T:T,'XBS '!C:C,' General Stock Summary View  '!C300,'XBS '!L:L,' General Stock Summary View  '!B300)</f>
        <v>0.26666666666666666</v>
      </c>
      <c r="E300" s="2">
        <f>SUMIFS('Blocked for Processing'!P:P,'Blocked for Processing'!I:I,' General Stock Summary View  '!B300,'Blocked for Processing'!C:C,' General Stock Summary View  '!C300)</f>
        <v>0</v>
      </c>
      <c r="F300" s="122">
        <f t="shared" si="43"/>
        <v>0.26666666666666666</v>
      </c>
      <c r="G300" s="148">
        <f>SUMIFS('XBS '!T:T,'XBS '!H:H,' General Stock Summary View  '!$G$2,'XBS '!L:L,' General Stock Summary View  '!B300,'XBS '!C:C,' General Stock Summary View  '!C300)</f>
        <v>0.26666666666666666</v>
      </c>
      <c r="H300" s="3">
        <f>SUMIFS('PowerApp_Physical count'!H:H,'PowerApp_Physical count'!B:B,' General Stock Summary View  '!$G$2,'PowerApp_Physical count'!C:C,' General Stock Summary View  '!C300,'PowerApp_Physical count'!A:A,' General Stock Summary View  '!B300)</f>
        <v>0</v>
      </c>
      <c r="I300" s="154">
        <f t="shared" si="55"/>
        <v>-0.26666666666666666</v>
      </c>
      <c r="J300" s="11">
        <f>SUMIFS('XBS '!T:T,'XBS '!H:H,' General Stock Summary View  '!$J$2,'XBS '!L:L,' General Stock Summary View  '!B300,'XBS '!C:C,' General Stock Summary View  '!C300)</f>
        <v>0</v>
      </c>
      <c r="K300" s="157">
        <f>SUMIFS('PowerApp_Physical count'!H:H,'PowerApp_Physical count'!B:B,' General Stock Summary View  '!$J$2,'PowerApp_Physical count'!C:C,' General Stock Summary View  '!C300,'PowerApp_Physical count'!A:A,' General Stock Summary View  '!B300)</f>
        <v>0</v>
      </c>
      <c r="L300" s="127">
        <f t="shared" si="44"/>
        <v>0</v>
      </c>
      <c r="M300" s="126">
        <f t="shared" si="45"/>
        <v>0.26666666666666666</v>
      </c>
      <c r="N300" s="11">
        <f t="shared" si="46"/>
        <v>0</v>
      </c>
      <c r="O300" s="144">
        <f t="shared" si="47"/>
        <v>-0.26666666666666666</v>
      </c>
      <c r="P300" s="2">
        <f>SUMIFS('XBS '!T:T,'XBS '!H:H,' General Stock Summary View  '!$P$2,'XBS '!L:L,' General Stock Summary View  '!B300,'XBS '!C:C,' General Stock Summary View  '!C300)</f>
        <v>0</v>
      </c>
      <c r="Q300" s="3">
        <f>SUMIFS('PowerApp_Physical count'!H:H,'PowerApp_Physical count'!B:B,' General Stock Summary View  '!$P$2,'PowerApp_Physical count'!C:C,' General Stock Summary View  '!C300,'PowerApp_Physical count'!A:A,' General Stock Summary View  '!B300)</f>
        <v>0</v>
      </c>
      <c r="R300" s="4">
        <f t="shared" si="48"/>
        <v>0</v>
      </c>
      <c r="S300" s="5">
        <f>SUMIFS('XBS '!T:T,'XBS '!L:L,' General Stock Summary View  '!B300,'XBS '!H:H,' General Stock Summary View  '!$S$2,'XBS '!C:C,' General Stock Summary View  '!C300)</f>
        <v>0</v>
      </c>
      <c r="T300" s="3">
        <f>SUMIFS('PowerApp_Physical count'!H:H,'PowerApp_Physical count'!B:B,' General Stock Summary View  '!$S$2,'PowerApp_Physical count'!C:C,' General Stock Summary View  '!C300,'PowerApp_Physical count'!A:A,' General Stock Summary View  '!B300)</f>
        <v>0</v>
      </c>
      <c r="U300" s="4">
        <f t="shared" si="49"/>
        <v>0</v>
      </c>
      <c r="V300" s="2">
        <f>SUMIFS('XBS '!T:T,'XBS '!H:H,' General Stock Summary View  '!$V$2,'XBS '!B:B,' General Stock Summary View  '!C300,'XBS '!L:L,' General Stock Summary View  '!B300)</f>
        <v>0</v>
      </c>
      <c r="W300" s="3">
        <f>SUMIFS('PowerApp_Physical count'!H:H,'PowerApp_Physical count'!B:B,' General Stock Summary View  '!$V$2,'PowerApp_Physical count'!C:C,' General Stock Summary View  '!C300,'PowerApp_Physical count'!A:A,' General Stock Summary View  '!B300)</f>
        <v>0</v>
      </c>
      <c r="X300" s="4">
        <f t="shared" si="50"/>
        <v>0</v>
      </c>
      <c r="Y300" s="5">
        <f>SUMIFS('XBS '!T:T,'XBS '!H:H,' General Stock Summary View  '!$Y$2,'XBS '!B:B,' General Stock Summary View  '!C300,'XBS '!L:L,' General Stock Summary View  '!B300)</f>
        <v>0</v>
      </c>
      <c r="Z300" s="3">
        <f>SUMIFS('PowerApp_Physical count'!H:H,'PowerApp_Physical count'!B:B,' General Stock Summary View  '!$Y$2,'PowerApp_Physical count'!C:C,' General Stock Summary View  '!C300,'PowerApp_Physical count'!A:A,' General Stock Summary View  '!B300)</f>
        <v>0</v>
      </c>
      <c r="AA300" s="4">
        <f t="shared" si="51"/>
        <v>0</v>
      </c>
      <c r="AB300" s="5">
        <f>SUMIFS('XBS '!T:T,'XBS '!H:H,' General Stock Summary View  '!$AB$2,'XBS '!B:B,' General Stock Summary View  '!C300,'XBS '!L:L,' General Stock Summary View  '!B300)</f>
        <v>0</v>
      </c>
      <c r="AC300" s="3">
        <f>SUMIFS('PowerApp_Physical count'!H:H,'PowerApp_Physical count'!B:B,' General Stock Summary View  '!$AB$2,'PowerApp_Physical count'!C:C,' General Stock Summary View  '!C300,'PowerApp_Physical count'!A:A,' General Stock Summary View  '!B300)</f>
        <v>0</v>
      </c>
      <c r="AD300" s="6">
        <f t="shared" si="52"/>
        <v>0</v>
      </c>
      <c r="AE300" s="7">
        <f t="shared" si="53"/>
        <v>0</v>
      </c>
      <c r="AF300" s="8">
        <f t="shared" si="54"/>
        <v>-0.26666666666666666</v>
      </c>
      <c r="AG300" s="112"/>
    </row>
    <row r="301" spans="2:33" s="113" customFormat="1" ht="61.15">
      <c r="B301" s="117" t="s">
        <v>304</v>
      </c>
      <c r="C301" s="111" t="s">
        <v>240</v>
      </c>
      <c r="D301" s="11">
        <f>SUMIFS('XBS '!T:T,'XBS '!C:C,' General Stock Summary View  '!C301,'XBS '!L:L,' General Stock Summary View  '!B301)</f>
        <v>1.25</v>
      </c>
      <c r="E301" s="2">
        <f>SUMIFS('Blocked for Processing'!P:P,'Blocked for Processing'!I:I,' General Stock Summary View  '!B301,'Blocked for Processing'!C:C,' General Stock Summary View  '!C301)</f>
        <v>0</v>
      </c>
      <c r="F301" s="122">
        <f t="shared" si="43"/>
        <v>1.25</v>
      </c>
      <c r="G301" s="148">
        <f>SUMIFS('XBS '!T:T,'XBS '!H:H,' General Stock Summary View  '!$G$2,'XBS '!L:L,' General Stock Summary View  '!B301,'XBS '!C:C,' General Stock Summary View  '!C301)</f>
        <v>1.25</v>
      </c>
      <c r="H301" s="3">
        <f>SUMIFS('PowerApp_Physical count'!H:H,'PowerApp_Physical count'!B:B,' General Stock Summary View  '!$G$2,'PowerApp_Physical count'!C:C,' General Stock Summary View  '!C301,'PowerApp_Physical count'!A:A,' General Stock Summary View  '!B301)</f>
        <v>0</v>
      </c>
      <c r="I301" s="154">
        <f t="shared" si="55"/>
        <v>-1.25</v>
      </c>
      <c r="J301" s="11">
        <f>SUMIFS('XBS '!T:T,'XBS '!H:H,' General Stock Summary View  '!$J$2,'XBS '!L:L,' General Stock Summary View  '!B301,'XBS '!C:C,' General Stock Summary View  '!C301)</f>
        <v>0</v>
      </c>
      <c r="K301" s="157">
        <f>SUMIFS('PowerApp_Physical count'!H:H,'PowerApp_Physical count'!B:B,' General Stock Summary View  '!$J$2,'PowerApp_Physical count'!C:C,' General Stock Summary View  '!C301,'PowerApp_Physical count'!A:A,' General Stock Summary View  '!B301)</f>
        <v>0</v>
      </c>
      <c r="L301" s="127">
        <f t="shared" si="44"/>
        <v>0</v>
      </c>
      <c r="M301" s="126">
        <f t="shared" si="45"/>
        <v>1.25</v>
      </c>
      <c r="N301" s="11">
        <f t="shared" si="46"/>
        <v>0</v>
      </c>
      <c r="O301" s="144">
        <f t="shared" si="47"/>
        <v>-1.25</v>
      </c>
      <c r="P301" s="2">
        <f>SUMIFS('XBS '!T:T,'XBS '!H:H,' General Stock Summary View  '!$P$2,'XBS '!L:L,' General Stock Summary View  '!B301,'XBS '!C:C,' General Stock Summary View  '!C301)</f>
        <v>0</v>
      </c>
      <c r="Q301" s="3">
        <f>SUMIFS('PowerApp_Physical count'!H:H,'PowerApp_Physical count'!B:B,' General Stock Summary View  '!$P$2,'PowerApp_Physical count'!C:C,' General Stock Summary View  '!C301,'PowerApp_Physical count'!A:A,' General Stock Summary View  '!B301)</f>
        <v>0</v>
      </c>
      <c r="R301" s="4">
        <f t="shared" si="48"/>
        <v>0</v>
      </c>
      <c r="S301" s="5">
        <f>SUMIFS('XBS '!T:T,'XBS '!L:L,' General Stock Summary View  '!B301,'XBS '!H:H,' General Stock Summary View  '!$S$2,'XBS '!C:C,' General Stock Summary View  '!C301)</f>
        <v>0</v>
      </c>
      <c r="T301" s="3">
        <f>SUMIFS('PowerApp_Physical count'!H:H,'PowerApp_Physical count'!B:B,' General Stock Summary View  '!$S$2,'PowerApp_Physical count'!C:C,' General Stock Summary View  '!C301,'PowerApp_Physical count'!A:A,' General Stock Summary View  '!B301)</f>
        <v>0</v>
      </c>
      <c r="U301" s="4">
        <f t="shared" si="49"/>
        <v>0</v>
      </c>
      <c r="V301" s="2">
        <f>SUMIFS('XBS '!T:T,'XBS '!H:H,' General Stock Summary View  '!$V$2,'XBS '!B:B,' General Stock Summary View  '!C301,'XBS '!L:L,' General Stock Summary View  '!B301)</f>
        <v>0</v>
      </c>
      <c r="W301" s="3">
        <f>SUMIFS('PowerApp_Physical count'!H:H,'PowerApp_Physical count'!B:B,' General Stock Summary View  '!$V$2,'PowerApp_Physical count'!C:C,' General Stock Summary View  '!C301,'PowerApp_Physical count'!A:A,' General Stock Summary View  '!B301)</f>
        <v>0</v>
      </c>
      <c r="X301" s="4">
        <f t="shared" si="50"/>
        <v>0</v>
      </c>
      <c r="Y301" s="5">
        <f>SUMIFS('XBS '!T:T,'XBS '!H:H,' General Stock Summary View  '!$Y$2,'XBS '!B:B,' General Stock Summary View  '!C301,'XBS '!L:L,' General Stock Summary View  '!B301)</f>
        <v>0</v>
      </c>
      <c r="Z301" s="3">
        <f>SUMIFS('PowerApp_Physical count'!H:H,'PowerApp_Physical count'!B:B,' General Stock Summary View  '!$Y$2,'PowerApp_Physical count'!C:C,' General Stock Summary View  '!C301,'PowerApp_Physical count'!A:A,' General Stock Summary View  '!B301)</f>
        <v>0</v>
      </c>
      <c r="AA301" s="4">
        <f t="shared" si="51"/>
        <v>0</v>
      </c>
      <c r="AB301" s="5">
        <f>SUMIFS('XBS '!T:T,'XBS '!H:H,' General Stock Summary View  '!$AB$2,'XBS '!B:B,' General Stock Summary View  '!C301,'XBS '!L:L,' General Stock Summary View  '!B301)</f>
        <v>0</v>
      </c>
      <c r="AC301" s="3">
        <f>SUMIFS('PowerApp_Physical count'!H:H,'PowerApp_Physical count'!B:B,' General Stock Summary View  '!$AB$2,'PowerApp_Physical count'!C:C,' General Stock Summary View  '!C301,'PowerApp_Physical count'!A:A,' General Stock Summary View  '!B301)</f>
        <v>0</v>
      </c>
      <c r="AD301" s="6">
        <f t="shared" si="52"/>
        <v>0</v>
      </c>
      <c r="AE301" s="7">
        <f t="shared" si="53"/>
        <v>0</v>
      </c>
      <c r="AF301" s="8">
        <f t="shared" si="54"/>
        <v>-1.25</v>
      </c>
      <c r="AG301" s="112"/>
    </row>
    <row r="302" spans="2:33" s="113" customFormat="1" ht="61.15">
      <c r="B302" s="117" t="s">
        <v>305</v>
      </c>
      <c r="C302" s="111" t="s">
        <v>240</v>
      </c>
      <c r="D302" s="11">
        <f>SUMIFS('XBS '!T:T,'XBS '!C:C,' General Stock Summary View  '!C302,'XBS '!L:L,' General Stock Summary View  '!B302)</f>
        <v>9.9</v>
      </c>
      <c r="E302" s="2">
        <f>SUMIFS('Blocked for Processing'!P:P,'Blocked for Processing'!I:I,' General Stock Summary View  '!B302,'Blocked for Processing'!C:C,' General Stock Summary View  '!C302)</f>
        <v>0</v>
      </c>
      <c r="F302" s="122">
        <f t="shared" si="43"/>
        <v>9.9</v>
      </c>
      <c r="G302" s="148">
        <f>SUMIFS('XBS '!T:T,'XBS '!H:H,' General Stock Summary View  '!$G$2,'XBS '!L:L,' General Stock Summary View  '!B302,'XBS '!C:C,' General Stock Summary View  '!C302)</f>
        <v>9.9</v>
      </c>
      <c r="H302" s="3">
        <f>SUMIFS('PowerApp_Physical count'!H:H,'PowerApp_Physical count'!B:B,' General Stock Summary View  '!$G$2,'PowerApp_Physical count'!C:C,' General Stock Summary View  '!C302,'PowerApp_Physical count'!A:A,' General Stock Summary View  '!B302)</f>
        <v>9.9</v>
      </c>
      <c r="I302" s="154">
        <f t="shared" si="55"/>
        <v>0</v>
      </c>
      <c r="J302" s="11">
        <f>SUMIFS('XBS '!T:T,'XBS '!H:H,' General Stock Summary View  '!$J$2,'XBS '!L:L,' General Stock Summary View  '!B302,'XBS '!C:C,' General Stock Summary View  '!C302)</f>
        <v>0</v>
      </c>
      <c r="K302" s="157">
        <f>SUMIFS('PowerApp_Physical count'!H:H,'PowerApp_Physical count'!B:B,' General Stock Summary View  '!$J$2,'PowerApp_Physical count'!C:C,' General Stock Summary View  '!C302,'PowerApp_Physical count'!A:A,' General Stock Summary View  '!B302)</f>
        <v>0</v>
      </c>
      <c r="L302" s="127">
        <f t="shared" si="44"/>
        <v>0</v>
      </c>
      <c r="M302" s="126">
        <f t="shared" si="45"/>
        <v>9.9</v>
      </c>
      <c r="N302" s="11">
        <f t="shared" si="46"/>
        <v>9.9</v>
      </c>
      <c r="O302" s="144">
        <f t="shared" si="47"/>
        <v>0</v>
      </c>
      <c r="P302" s="2">
        <f>SUMIFS('XBS '!T:T,'XBS '!H:H,' General Stock Summary View  '!$P$2,'XBS '!L:L,' General Stock Summary View  '!B302,'XBS '!C:C,' General Stock Summary View  '!C302)</f>
        <v>0</v>
      </c>
      <c r="Q302" s="3">
        <f>SUMIFS('PowerApp_Physical count'!H:H,'PowerApp_Physical count'!B:B,' General Stock Summary View  '!$P$2,'PowerApp_Physical count'!C:C,' General Stock Summary View  '!C302,'PowerApp_Physical count'!A:A,' General Stock Summary View  '!B302)</f>
        <v>0</v>
      </c>
      <c r="R302" s="4">
        <f t="shared" si="48"/>
        <v>0</v>
      </c>
      <c r="S302" s="5">
        <f>SUMIFS('XBS '!T:T,'XBS '!L:L,' General Stock Summary View  '!B302,'XBS '!H:H,' General Stock Summary View  '!$S$2,'XBS '!C:C,' General Stock Summary View  '!C302)</f>
        <v>0</v>
      </c>
      <c r="T302" s="3">
        <f>SUMIFS('PowerApp_Physical count'!H:H,'PowerApp_Physical count'!B:B,' General Stock Summary View  '!$S$2,'PowerApp_Physical count'!C:C,' General Stock Summary View  '!C302,'PowerApp_Physical count'!A:A,' General Stock Summary View  '!B302)</f>
        <v>0</v>
      </c>
      <c r="U302" s="4">
        <f t="shared" si="49"/>
        <v>0</v>
      </c>
      <c r="V302" s="2">
        <f>SUMIFS('XBS '!T:T,'XBS '!H:H,' General Stock Summary View  '!$V$2,'XBS '!B:B,' General Stock Summary View  '!C302,'XBS '!L:L,' General Stock Summary View  '!B302)</f>
        <v>0</v>
      </c>
      <c r="W302" s="3">
        <f>SUMIFS('PowerApp_Physical count'!H:H,'PowerApp_Physical count'!B:B,' General Stock Summary View  '!$V$2,'PowerApp_Physical count'!C:C,' General Stock Summary View  '!C302,'PowerApp_Physical count'!A:A,' General Stock Summary View  '!B302)</f>
        <v>0</v>
      </c>
      <c r="X302" s="4">
        <f t="shared" si="50"/>
        <v>0</v>
      </c>
      <c r="Y302" s="5">
        <f>SUMIFS('XBS '!T:T,'XBS '!H:H,' General Stock Summary View  '!$Y$2,'XBS '!B:B,' General Stock Summary View  '!C302,'XBS '!L:L,' General Stock Summary View  '!B302)</f>
        <v>0</v>
      </c>
      <c r="Z302" s="3">
        <f>SUMIFS('PowerApp_Physical count'!H:H,'PowerApp_Physical count'!B:B,' General Stock Summary View  '!$Y$2,'PowerApp_Physical count'!C:C,' General Stock Summary View  '!C302,'PowerApp_Physical count'!A:A,' General Stock Summary View  '!B302)</f>
        <v>0</v>
      </c>
      <c r="AA302" s="4">
        <f t="shared" si="51"/>
        <v>0</v>
      </c>
      <c r="AB302" s="5">
        <f>SUMIFS('XBS '!T:T,'XBS '!H:H,' General Stock Summary View  '!$AB$2,'XBS '!B:B,' General Stock Summary View  '!C302,'XBS '!L:L,' General Stock Summary View  '!B302)</f>
        <v>0</v>
      </c>
      <c r="AC302" s="3">
        <f>SUMIFS('PowerApp_Physical count'!H:H,'PowerApp_Physical count'!B:B,' General Stock Summary View  '!$AB$2,'PowerApp_Physical count'!C:C,' General Stock Summary View  '!C302,'PowerApp_Physical count'!A:A,' General Stock Summary View  '!B302)</f>
        <v>0</v>
      </c>
      <c r="AD302" s="6">
        <f t="shared" si="52"/>
        <v>0</v>
      </c>
      <c r="AE302" s="7">
        <f t="shared" si="53"/>
        <v>9.9</v>
      </c>
      <c r="AF302" s="8">
        <f t="shared" si="54"/>
        <v>0</v>
      </c>
      <c r="AG302" s="112"/>
    </row>
    <row r="303" spans="2:33" s="113" customFormat="1" ht="61.15">
      <c r="B303" s="117" t="s">
        <v>306</v>
      </c>
      <c r="C303" s="111" t="s">
        <v>240</v>
      </c>
      <c r="D303" s="11">
        <f>SUMIFS('XBS '!T:T,'XBS '!C:C,' General Stock Summary View  '!C303,'XBS '!L:L,' General Stock Summary View  '!B303)</f>
        <v>8.5666666666666664</v>
      </c>
      <c r="E303" s="2">
        <f>SUMIFS('Blocked for Processing'!P:P,'Blocked for Processing'!I:I,' General Stock Summary View  '!B303,'Blocked for Processing'!C:C,' General Stock Summary View  '!C303)</f>
        <v>0</v>
      </c>
      <c r="F303" s="122">
        <f t="shared" si="43"/>
        <v>8.5666666666666664</v>
      </c>
      <c r="G303" s="148">
        <f>SUMIFS('XBS '!T:T,'XBS '!H:H,' General Stock Summary View  '!$G$2,'XBS '!L:L,' General Stock Summary View  '!B303,'XBS '!C:C,' General Stock Summary View  '!C303)</f>
        <v>8.5666666666666664</v>
      </c>
      <c r="H303" s="3">
        <f>SUMIFS('PowerApp_Physical count'!H:H,'PowerApp_Physical count'!B:B,' General Stock Summary View  '!$G$2,'PowerApp_Physical count'!C:C,' General Stock Summary View  '!C303,'PowerApp_Physical count'!A:A,' General Stock Summary View  '!B303)</f>
        <v>8.5666666666666664</v>
      </c>
      <c r="I303" s="154">
        <f t="shared" si="55"/>
        <v>0</v>
      </c>
      <c r="J303" s="11">
        <f>SUMIFS('XBS '!T:T,'XBS '!H:H,' General Stock Summary View  '!$J$2,'XBS '!L:L,' General Stock Summary View  '!B303,'XBS '!C:C,' General Stock Summary View  '!C303)</f>
        <v>0</v>
      </c>
      <c r="K303" s="157">
        <f>SUMIFS('PowerApp_Physical count'!H:H,'PowerApp_Physical count'!B:B,' General Stock Summary View  '!$J$2,'PowerApp_Physical count'!C:C,' General Stock Summary View  '!C303,'PowerApp_Physical count'!A:A,' General Stock Summary View  '!B303)</f>
        <v>0</v>
      </c>
      <c r="L303" s="127">
        <f t="shared" si="44"/>
        <v>0</v>
      </c>
      <c r="M303" s="126">
        <f t="shared" si="45"/>
        <v>8.5666666666666664</v>
      </c>
      <c r="N303" s="11">
        <f t="shared" si="46"/>
        <v>8.5666666666666664</v>
      </c>
      <c r="O303" s="144">
        <f t="shared" si="47"/>
        <v>0</v>
      </c>
      <c r="P303" s="2">
        <f>SUMIFS('XBS '!T:T,'XBS '!H:H,' General Stock Summary View  '!$P$2,'XBS '!L:L,' General Stock Summary View  '!B303,'XBS '!C:C,' General Stock Summary View  '!C303)</f>
        <v>0</v>
      </c>
      <c r="Q303" s="3">
        <f>SUMIFS('PowerApp_Physical count'!H:H,'PowerApp_Physical count'!B:B,' General Stock Summary View  '!$P$2,'PowerApp_Physical count'!C:C,' General Stock Summary View  '!C303,'PowerApp_Physical count'!A:A,' General Stock Summary View  '!B303)</f>
        <v>0</v>
      </c>
      <c r="R303" s="4">
        <f t="shared" si="48"/>
        <v>0</v>
      </c>
      <c r="S303" s="5">
        <f>SUMIFS('XBS '!T:T,'XBS '!L:L,' General Stock Summary View  '!B303,'XBS '!H:H,' General Stock Summary View  '!$S$2,'XBS '!C:C,' General Stock Summary View  '!C303)</f>
        <v>0</v>
      </c>
      <c r="T303" s="3">
        <f>SUMIFS('PowerApp_Physical count'!H:H,'PowerApp_Physical count'!B:B,' General Stock Summary View  '!$S$2,'PowerApp_Physical count'!C:C,' General Stock Summary View  '!C303,'PowerApp_Physical count'!A:A,' General Stock Summary View  '!B303)</f>
        <v>0</v>
      </c>
      <c r="U303" s="4">
        <f t="shared" si="49"/>
        <v>0</v>
      </c>
      <c r="V303" s="2">
        <f>SUMIFS('XBS '!T:T,'XBS '!H:H,' General Stock Summary View  '!$V$2,'XBS '!B:B,' General Stock Summary View  '!C303,'XBS '!L:L,' General Stock Summary View  '!B303)</f>
        <v>0</v>
      </c>
      <c r="W303" s="3">
        <f>SUMIFS('PowerApp_Physical count'!H:H,'PowerApp_Physical count'!B:B,' General Stock Summary View  '!$V$2,'PowerApp_Physical count'!C:C,' General Stock Summary View  '!C303,'PowerApp_Physical count'!A:A,' General Stock Summary View  '!B303)</f>
        <v>0</v>
      </c>
      <c r="X303" s="4">
        <f t="shared" si="50"/>
        <v>0</v>
      </c>
      <c r="Y303" s="5">
        <f>SUMIFS('XBS '!T:T,'XBS '!H:H,' General Stock Summary View  '!$Y$2,'XBS '!B:B,' General Stock Summary View  '!C303,'XBS '!L:L,' General Stock Summary View  '!B303)</f>
        <v>0</v>
      </c>
      <c r="Z303" s="3">
        <f>SUMIFS('PowerApp_Physical count'!H:H,'PowerApp_Physical count'!B:B,' General Stock Summary View  '!$Y$2,'PowerApp_Physical count'!C:C,' General Stock Summary View  '!C303,'PowerApp_Physical count'!A:A,' General Stock Summary View  '!B303)</f>
        <v>0</v>
      </c>
      <c r="AA303" s="4">
        <f t="shared" si="51"/>
        <v>0</v>
      </c>
      <c r="AB303" s="5">
        <f>SUMIFS('XBS '!T:T,'XBS '!H:H,' General Stock Summary View  '!$AB$2,'XBS '!B:B,' General Stock Summary View  '!C303,'XBS '!L:L,' General Stock Summary View  '!B303)</f>
        <v>0</v>
      </c>
      <c r="AC303" s="3">
        <f>SUMIFS('PowerApp_Physical count'!H:H,'PowerApp_Physical count'!B:B,' General Stock Summary View  '!$AB$2,'PowerApp_Physical count'!C:C,' General Stock Summary View  '!C303,'PowerApp_Physical count'!A:A,' General Stock Summary View  '!B303)</f>
        <v>0</v>
      </c>
      <c r="AD303" s="6">
        <f t="shared" si="52"/>
        <v>0</v>
      </c>
      <c r="AE303" s="7">
        <f t="shared" si="53"/>
        <v>8.5666666666666664</v>
      </c>
      <c r="AF303" s="8">
        <f t="shared" si="54"/>
        <v>0</v>
      </c>
      <c r="AG303" s="112"/>
    </row>
    <row r="304" spans="2:33" s="113" customFormat="1" ht="61.15">
      <c r="B304" s="117" t="s">
        <v>307</v>
      </c>
      <c r="C304" s="111" t="s">
        <v>240</v>
      </c>
      <c r="D304" s="11">
        <f>SUMIFS('XBS '!T:T,'XBS '!C:C,' General Stock Summary View  '!C304,'XBS '!L:L,' General Stock Summary View  '!B304)</f>
        <v>103.15</v>
      </c>
      <c r="E304" s="2">
        <f>SUMIFS('Blocked for Processing'!P:P,'Blocked for Processing'!I:I,' General Stock Summary View  '!B304,'Blocked for Processing'!C:C,' General Stock Summary View  '!C304)</f>
        <v>0</v>
      </c>
      <c r="F304" s="122">
        <f t="shared" si="43"/>
        <v>103.15</v>
      </c>
      <c r="G304" s="148">
        <f>SUMIFS('XBS '!T:T,'XBS '!H:H,' General Stock Summary View  '!$G$2,'XBS '!L:L,' General Stock Summary View  '!B304,'XBS '!C:C,' General Stock Summary View  '!C304)</f>
        <v>103.15</v>
      </c>
      <c r="H304" s="3">
        <f>SUMIFS('PowerApp_Physical count'!H:H,'PowerApp_Physical count'!B:B,' General Stock Summary View  '!$G$2,'PowerApp_Physical count'!C:C,' General Stock Summary View  '!C304,'PowerApp_Physical count'!A:A,' General Stock Summary View  '!B304)</f>
        <v>102.15</v>
      </c>
      <c r="I304" s="154">
        <f t="shared" si="55"/>
        <v>-1</v>
      </c>
      <c r="J304" s="11">
        <f>SUMIFS('XBS '!T:T,'XBS '!H:H,' General Stock Summary View  '!$J$2,'XBS '!L:L,' General Stock Summary View  '!B304,'XBS '!C:C,' General Stock Summary View  '!C304)</f>
        <v>0</v>
      </c>
      <c r="K304" s="157">
        <f>SUMIFS('PowerApp_Physical count'!H:H,'PowerApp_Physical count'!B:B,' General Stock Summary View  '!$J$2,'PowerApp_Physical count'!C:C,' General Stock Summary View  '!C304,'PowerApp_Physical count'!A:A,' General Stock Summary View  '!B304)</f>
        <v>0</v>
      </c>
      <c r="L304" s="127">
        <f t="shared" si="44"/>
        <v>0</v>
      </c>
      <c r="M304" s="126">
        <f t="shared" si="45"/>
        <v>103.15</v>
      </c>
      <c r="N304" s="11">
        <f t="shared" si="46"/>
        <v>102.15</v>
      </c>
      <c r="O304" s="144">
        <f t="shared" si="47"/>
        <v>-1</v>
      </c>
      <c r="P304" s="2">
        <f>SUMIFS('XBS '!T:T,'XBS '!H:H,' General Stock Summary View  '!$P$2,'XBS '!L:L,' General Stock Summary View  '!B304,'XBS '!C:C,' General Stock Summary View  '!C304)</f>
        <v>0</v>
      </c>
      <c r="Q304" s="3">
        <f>SUMIFS('PowerApp_Physical count'!H:H,'PowerApp_Physical count'!B:B,' General Stock Summary View  '!$P$2,'PowerApp_Physical count'!C:C,' General Stock Summary View  '!C304,'PowerApp_Physical count'!A:A,' General Stock Summary View  '!B304)</f>
        <v>0</v>
      </c>
      <c r="R304" s="4">
        <f t="shared" si="48"/>
        <v>0</v>
      </c>
      <c r="S304" s="5">
        <f>SUMIFS('XBS '!T:T,'XBS '!L:L,' General Stock Summary View  '!B304,'XBS '!H:H,' General Stock Summary View  '!$S$2,'XBS '!C:C,' General Stock Summary View  '!C304)</f>
        <v>0</v>
      </c>
      <c r="T304" s="3">
        <f>SUMIFS('PowerApp_Physical count'!H:H,'PowerApp_Physical count'!B:B,' General Stock Summary View  '!$S$2,'PowerApp_Physical count'!C:C,' General Stock Summary View  '!C304,'PowerApp_Physical count'!A:A,' General Stock Summary View  '!B304)</f>
        <v>0</v>
      </c>
      <c r="U304" s="4">
        <f t="shared" si="49"/>
        <v>0</v>
      </c>
      <c r="V304" s="2">
        <f>SUMIFS('XBS '!T:T,'XBS '!H:H,' General Stock Summary View  '!$V$2,'XBS '!B:B,' General Stock Summary View  '!C304,'XBS '!L:L,' General Stock Summary View  '!B304)</f>
        <v>0</v>
      </c>
      <c r="W304" s="3">
        <f>SUMIFS('PowerApp_Physical count'!H:H,'PowerApp_Physical count'!B:B,' General Stock Summary View  '!$V$2,'PowerApp_Physical count'!C:C,' General Stock Summary View  '!C304,'PowerApp_Physical count'!A:A,' General Stock Summary View  '!B304)</f>
        <v>0</v>
      </c>
      <c r="X304" s="4">
        <f t="shared" si="50"/>
        <v>0</v>
      </c>
      <c r="Y304" s="5">
        <f>SUMIFS('XBS '!T:T,'XBS '!H:H,' General Stock Summary View  '!$Y$2,'XBS '!B:B,' General Stock Summary View  '!C304,'XBS '!L:L,' General Stock Summary View  '!B304)</f>
        <v>0</v>
      </c>
      <c r="Z304" s="3">
        <f>SUMIFS('PowerApp_Physical count'!H:H,'PowerApp_Physical count'!B:B,' General Stock Summary View  '!$Y$2,'PowerApp_Physical count'!C:C,' General Stock Summary View  '!C304,'PowerApp_Physical count'!A:A,' General Stock Summary View  '!B304)</f>
        <v>0</v>
      </c>
      <c r="AA304" s="4">
        <f t="shared" si="51"/>
        <v>0</v>
      </c>
      <c r="AB304" s="5">
        <f>SUMIFS('XBS '!T:T,'XBS '!H:H,' General Stock Summary View  '!$AB$2,'XBS '!B:B,' General Stock Summary View  '!C304,'XBS '!L:L,' General Stock Summary View  '!B304)</f>
        <v>0</v>
      </c>
      <c r="AC304" s="3">
        <f>SUMIFS('PowerApp_Physical count'!H:H,'PowerApp_Physical count'!B:B,' General Stock Summary View  '!$AB$2,'PowerApp_Physical count'!C:C,' General Stock Summary View  '!C304,'PowerApp_Physical count'!A:A,' General Stock Summary View  '!B304)</f>
        <v>0</v>
      </c>
      <c r="AD304" s="6">
        <f t="shared" si="52"/>
        <v>0</v>
      </c>
      <c r="AE304" s="7">
        <f t="shared" si="53"/>
        <v>102.15</v>
      </c>
      <c r="AF304" s="8">
        <f t="shared" si="54"/>
        <v>-1</v>
      </c>
      <c r="AG304" s="112"/>
    </row>
    <row r="305" spans="2:33" s="113" customFormat="1" ht="61.15">
      <c r="B305" s="117" t="s">
        <v>308</v>
      </c>
      <c r="C305" s="111" t="s">
        <v>240</v>
      </c>
      <c r="D305" s="11">
        <f>SUMIFS('XBS '!T:T,'XBS '!C:C,' General Stock Summary View  '!C305,'XBS '!L:L,' General Stock Summary View  '!B305)</f>
        <v>16.166666666666668</v>
      </c>
      <c r="E305" s="2">
        <f>SUMIFS('Blocked for Processing'!P:P,'Blocked for Processing'!I:I,' General Stock Summary View  '!B305,'Blocked for Processing'!C:C,' General Stock Summary View  '!C305)</f>
        <v>0</v>
      </c>
      <c r="F305" s="122">
        <f t="shared" si="43"/>
        <v>16.166666666666668</v>
      </c>
      <c r="G305" s="148">
        <f>SUMIFS('XBS '!T:T,'XBS '!H:H,' General Stock Summary View  '!$G$2,'XBS '!L:L,' General Stock Summary View  '!B305,'XBS '!C:C,' General Stock Summary View  '!C305)</f>
        <v>16.166666666666668</v>
      </c>
      <c r="H305" s="3">
        <f>SUMIFS('PowerApp_Physical count'!H:H,'PowerApp_Physical count'!B:B,' General Stock Summary View  '!$G$2,'PowerApp_Physical count'!C:C,' General Stock Summary View  '!C305,'PowerApp_Physical count'!A:A,' General Stock Summary View  '!B305)</f>
        <v>16.166666666666668</v>
      </c>
      <c r="I305" s="154">
        <f t="shared" si="55"/>
        <v>0</v>
      </c>
      <c r="J305" s="11">
        <f>SUMIFS('XBS '!T:T,'XBS '!H:H,' General Stock Summary View  '!$J$2,'XBS '!L:L,' General Stock Summary View  '!B305,'XBS '!C:C,' General Stock Summary View  '!C305)</f>
        <v>0</v>
      </c>
      <c r="K305" s="157">
        <f>SUMIFS('PowerApp_Physical count'!H:H,'PowerApp_Physical count'!B:B,' General Stock Summary View  '!$J$2,'PowerApp_Physical count'!C:C,' General Stock Summary View  '!C305,'PowerApp_Physical count'!A:A,' General Stock Summary View  '!B305)</f>
        <v>0</v>
      </c>
      <c r="L305" s="127">
        <f t="shared" si="44"/>
        <v>0</v>
      </c>
      <c r="M305" s="126">
        <f t="shared" si="45"/>
        <v>16.166666666666668</v>
      </c>
      <c r="N305" s="11">
        <f t="shared" si="46"/>
        <v>16.166666666666668</v>
      </c>
      <c r="O305" s="144">
        <f t="shared" si="47"/>
        <v>0</v>
      </c>
      <c r="P305" s="2">
        <f>SUMIFS('XBS '!T:T,'XBS '!H:H,' General Stock Summary View  '!$P$2,'XBS '!L:L,' General Stock Summary View  '!B305,'XBS '!C:C,' General Stock Summary View  '!C305)</f>
        <v>0</v>
      </c>
      <c r="Q305" s="3">
        <f>SUMIFS('PowerApp_Physical count'!H:H,'PowerApp_Physical count'!B:B,' General Stock Summary View  '!$P$2,'PowerApp_Physical count'!C:C,' General Stock Summary View  '!C305,'PowerApp_Physical count'!A:A,' General Stock Summary View  '!B305)</f>
        <v>0</v>
      </c>
      <c r="R305" s="4">
        <f t="shared" si="48"/>
        <v>0</v>
      </c>
      <c r="S305" s="5">
        <f>SUMIFS('XBS '!T:T,'XBS '!L:L,' General Stock Summary View  '!B305,'XBS '!H:H,' General Stock Summary View  '!$S$2,'XBS '!C:C,' General Stock Summary View  '!C305)</f>
        <v>0</v>
      </c>
      <c r="T305" s="3">
        <f>SUMIFS('PowerApp_Physical count'!H:H,'PowerApp_Physical count'!B:B,' General Stock Summary View  '!$S$2,'PowerApp_Physical count'!C:C,' General Stock Summary View  '!C305,'PowerApp_Physical count'!A:A,' General Stock Summary View  '!B305)</f>
        <v>0</v>
      </c>
      <c r="U305" s="4">
        <f t="shared" si="49"/>
        <v>0</v>
      </c>
      <c r="V305" s="2">
        <f>SUMIFS('XBS '!T:T,'XBS '!H:H,' General Stock Summary View  '!$V$2,'XBS '!B:B,' General Stock Summary View  '!C305,'XBS '!L:L,' General Stock Summary View  '!B305)</f>
        <v>0</v>
      </c>
      <c r="W305" s="3">
        <f>SUMIFS('PowerApp_Physical count'!H:H,'PowerApp_Physical count'!B:B,' General Stock Summary View  '!$V$2,'PowerApp_Physical count'!C:C,' General Stock Summary View  '!C305,'PowerApp_Physical count'!A:A,' General Stock Summary View  '!B305)</f>
        <v>0</v>
      </c>
      <c r="X305" s="4">
        <f t="shared" si="50"/>
        <v>0</v>
      </c>
      <c r="Y305" s="5">
        <f>SUMIFS('XBS '!T:T,'XBS '!H:H,' General Stock Summary View  '!$Y$2,'XBS '!B:B,' General Stock Summary View  '!C305,'XBS '!L:L,' General Stock Summary View  '!B305)</f>
        <v>0</v>
      </c>
      <c r="Z305" s="3">
        <f>SUMIFS('PowerApp_Physical count'!H:H,'PowerApp_Physical count'!B:B,' General Stock Summary View  '!$Y$2,'PowerApp_Physical count'!C:C,' General Stock Summary View  '!C305,'PowerApp_Physical count'!A:A,' General Stock Summary View  '!B305)</f>
        <v>0</v>
      </c>
      <c r="AA305" s="4">
        <f t="shared" si="51"/>
        <v>0</v>
      </c>
      <c r="AB305" s="5">
        <f>SUMIFS('XBS '!T:T,'XBS '!H:H,' General Stock Summary View  '!$AB$2,'XBS '!B:B,' General Stock Summary View  '!C305,'XBS '!L:L,' General Stock Summary View  '!B305)</f>
        <v>0</v>
      </c>
      <c r="AC305" s="3">
        <f>SUMIFS('PowerApp_Physical count'!H:H,'PowerApp_Physical count'!B:B,' General Stock Summary View  '!$AB$2,'PowerApp_Physical count'!C:C,' General Stock Summary View  '!C305,'PowerApp_Physical count'!A:A,' General Stock Summary View  '!B305)</f>
        <v>0</v>
      </c>
      <c r="AD305" s="6">
        <f t="shared" si="52"/>
        <v>0</v>
      </c>
      <c r="AE305" s="7">
        <f t="shared" si="53"/>
        <v>16.166666666666668</v>
      </c>
      <c r="AF305" s="8">
        <f t="shared" si="54"/>
        <v>0</v>
      </c>
      <c r="AG305" s="112"/>
    </row>
    <row r="306" spans="2:33" s="113" customFormat="1" ht="61.15">
      <c r="B306" s="117" t="s">
        <v>309</v>
      </c>
      <c r="C306" s="111" t="s">
        <v>240</v>
      </c>
      <c r="D306" s="11">
        <f>SUMIFS('XBS '!T:T,'XBS '!C:C,' General Stock Summary View  '!C306,'XBS '!L:L,' General Stock Summary View  '!B306)</f>
        <v>19.649999999999999</v>
      </c>
      <c r="E306" s="2">
        <f>SUMIFS('Blocked for Processing'!P:P,'Blocked for Processing'!I:I,' General Stock Summary View  '!B306,'Blocked for Processing'!C:C,' General Stock Summary View  '!C306)</f>
        <v>0</v>
      </c>
      <c r="F306" s="122">
        <f t="shared" si="43"/>
        <v>19.649999999999999</v>
      </c>
      <c r="G306" s="148">
        <f>SUMIFS('XBS '!T:T,'XBS '!H:H,' General Stock Summary View  '!$G$2,'XBS '!L:L,' General Stock Summary View  '!B306,'XBS '!C:C,' General Stock Summary View  '!C306)</f>
        <v>19.649999999999999</v>
      </c>
      <c r="H306" s="3">
        <f>SUMIFS('PowerApp_Physical count'!H:H,'PowerApp_Physical count'!B:B,' General Stock Summary View  '!$G$2,'PowerApp_Physical count'!C:C,' General Stock Summary View  '!C306,'PowerApp_Physical count'!A:A,' General Stock Summary View  '!B306)</f>
        <v>19.649999999999999</v>
      </c>
      <c r="I306" s="154">
        <f t="shared" si="55"/>
        <v>0</v>
      </c>
      <c r="J306" s="11">
        <f>SUMIFS('XBS '!T:T,'XBS '!H:H,' General Stock Summary View  '!$J$2,'XBS '!L:L,' General Stock Summary View  '!B306,'XBS '!C:C,' General Stock Summary View  '!C306)</f>
        <v>0</v>
      </c>
      <c r="K306" s="157">
        <f>SUMIFS('PowerApp_Physical count'!H:H,'PowerApp_Physical count'!B:B,' General Stock Summary View  '!$J$2,'PowerApp_Physical count'!C:C,' General Stock Summary View  '!C306,'PowerApp_Physical count'!A:A,' General Stock Summary View  '!B306)</f>
        <v>0</v>
      </c>
      <c r="L306" s="127">
        <f t="shared" si="44"/>
        <v>0</v>
      </c>
      <c r="M306" s="126">
        <f t="shared" si="45"/>
        <v>19.649999999999999</v>
      </c>
      <c r="N306" s="11">
        <f t="shared" si="46"/>
        <v>19.649999999999999</v>
      </c>
      <c r="O306" s="144">
        <f t="shared" si="47"/>
        <v>0</v>
      </c>
      <c r="P306" s="2">
        <f>SUMIFS('XBS '!T:T,'XBS '!H:H,' General Stock Summary View  '!$P$2,'XBS '!L:L,' General Stock Summary View  '!B306,'XBS '!C:C,' General Stock Summary View  '!C306)</f>
        <v>0</v>
      </c>
      <c r="Q306" s="3">
        <f>SUMIFS('PowerApp_Physical count'!H:H,'PowerApp_Physical count'!B:B,' General Stock Summary View  '!$P$2,'PowerApp_Physical count'!C:C,' General Stock Summary View  '!C306,'PowerApp_Physical count'!A:A,' General Stock Summary View  '!B306)</f>
        <v>0</v>
      </c>
      <c r="R306" s="4">
        <f t="shared" si="48"/>
        <v>0</v>
      </c>
      <c r="S306" s="5">
        <f>SUMIFS('XBS '!T:T,'XBS '!L:L,' General Stock Summary View  '!B306,'XBS '!H:H,' General Stock Summary View  '!$S$2,'XBS '!C:C,' General Stock Summary View  '!C306)</f>
        <v>0</v>
      </c>
      <c r="T306" s="3">
        <f>SUMIFS('PowerApp_Physical count'!H:H,'PowerApp_Physical count'!B:B,' General Stock Summary View  '!$S$2,'PowerApp_Physical count'!C:C,' General Stock Summary View  '!C306,'PowerApp_Physical count'!A:A,' General Stock Summary View  '!B306)</f>
        <v>0</v>
      </c>
      <c r="U306" s="4">
        <f t="shared" si="49"/>
        <v>0</v>
      </c>
      <c r="V306" s="2">
        <f>SUMIFS('XBS '!T:T,'XBS '!H:H,' General Stock Summary View  '!$V$2,'XBS '!B:B,' General Stock Summary View  '!C306,'XBS '!L:L,' General Stock Summary View  '!B306)</f>
        <v>0</v>
      </c>
      <c r="W306" s="3">
        <f>SUMIFS('PowerApp_Physical count'!H:H,'PowerApp_Physical count'!B:B,' General Stock Summary View  '!$V$2,'PowerApp_Physical count'!C:C,' General Stock Summary View  '!C306,'PowerApp_Physical count'!A:A,' General Stock Summary View  '!B306)</f>
        <v>0</v>
      </c>
      <c r="X306" s="4">
        <f t="shared" si="50"/>
        <v>0</v>
      </c>
      <c r="Y306" s="5">
        <f>SUMIFS('XBS '!T:T,'XBS '!H:H,' General Stock Summary View  '!$Y$2,'XBS '!B:B,' General Stock Summary View  '!C306,'XBS '!L:L,' General Stock Summary View  '!B306)</f>
        <v>0</v>
      </c>
      <c r="Z306" s="3">
        <f>SUMIFS('PowerApp_Physical count'!H:H,'PowerApp_Physical count'!B:B,' General Stock Summary View  '!$Y$2,'PowerApp_Physical count'!C:C,' General Stock Summary View  '!C306,'PowerApp_Physical count'!A:A,' General Stock Summary View  '!B306)</f>
        <v>0</v>
      </c>
      <c r="AA306" s="4">
        <f t="shared" si="51"/>
        <v>0</v>
      </c>
      <c r="AB306" s="5">
        <f>SUMIFS('XBS '!T:T,'XBS '!H:H,' General Stock Summary View  '!$AB$2,'XBS '!B:B,' General Stock Summary View  '!C306,'XBS '!L:L,' General Stock Summary View  '!B306)</f>
        <v>0</v>
      </c>
      <c r="AC306" s="3">
        <f>SUMIFS('PowerApp_Physical count'!H:H,'PowerApp_Physical count'!B:B,' General Stock Summary View  '!$AB$2,'PowerApp_Physical count'!C:C,' General Stock Summary View  '!C306,'PowerApp_Physical count'!A:A,' General Stock Summary View  '!B306)</f>
        <v>0</v>
      </c>
      <c r="AD306" s="6">
        <f t="shared" si="52"/>
        <v>0</v>
      </c>
      <c r="AE306" s="7">
        <f t="shared" si="53"/>
        <v>19.649999999999999</v>
      </c>
      <c r="AF306" s="8">
        <f t="shared" si="54"/>
        <v>0</v>
      </c>
      <c r="AG306" s="112"/>
    </row>
    <row r="307" spans="2:33" s="113" customFormat="1" ht="61.15">
      <c r="B307" s="117" t="s">
        <v>310</v>
      </c>
      <c r="C307" s="111" t="s">
        <v>311</v>
      </c>
      <c r="D307" s="11">
        <f>SUMIFS('XBS '!T:T,'XBS '!C:C,' General Stock Summary View  '!C307,'XBS '!L:L,' General Stock Summary View  '!B307)</f>
        <v>4.8916666666666666</v>
      </c>
      <c r="E307" s="2">
        <f>SUMIFS('Blocked for Processing'!P:P,'Blocked for Processing'!I:I,' General Stock Summary View  '!B307,'Blocked for Processing'!C:C,' General Stock Summary View  '!C307)</f>
        <v>0</v>
      </c>
      <c r="F307" s="122">
        <f t="shared" si="43"/>
        <v>4.8916666666666666</v>
      </c>
      <c r="G307" s="148">
        <f>SUMIFS('XBS '!T:T,'XBS '!H:H,' General Stock Summary View  '!$G$2,'XBS '!L:L,' General Stock Summary View  '!B307,'XBS '!C:C,' General Stock Summary View  '!C307)</f>
        <v>4.8916666666666666</v>
      </c>
      <c r="H307" s="3">
        <f>SUMIFS('PowerApp_Physical count'!H:H,'PowerApp_Physical count'!B:B,' General Stock Summary View  '!$G$2,'PowerApp_Physical count'!C:C,' General Stock Summary View  '!C307,'PowerApp_Physical count'!A:A,' General Stock Summary View  '!B307)</f>
        <v>4.9000000000000004</v>
      </c>
      <c r="I307" s="154">
        <f t="shared" si="55"/>
        <v>8.3333333333337478E-3</v>
      </c>
      <c r="J307" s="11">
        <f>SUMIFS('XBS '!T:T,'XBS '!H:H,' General Stock Summary View  '!$J$2,'XBS '!L:L,' General Stock Summary View  '!B307,'XBS '!C:C,' General Stock Summary View  '!C307)</f>
        <v>0</v>
      </c>
      <c r="K307" s="157">
        <f>SUMIFS('PowerApp_Physical count'!H:H,'PowerApp_Physical count'!B:B,' General Stock Summary View  '!$J$2,'PowerApp_Physical count'!C:C,' General Stock Summary View  '!C307,'PowerApp_Physical count'!A:A,' General Stock Summary View  '!B307)</f>
        <v>0</v>
      </c>
      <c r="L307" s="127">
        <f t="shared" si="44"/>
        <v>0</v>
      </c>
      <c r="M307" s="126">
        <f t="shared" si="45"/>
        <v>4.8916666666666666</v>
      </c>
      <c r="N307" s="11">
        <f t="shared" si="46"/>
        <v>4.9000000000000004</v>
      </c>
      <c r="O307" s="144">
        <f t="shared" si="47"/>
        <v>8.3333333333337478E-3</v>
      </c>
      <c r="P307" s="2">
        <f>SUMIFS('XBS '!T:T,'XBS '!H:H,' General Stock Summary View  '!$P$2,'XBS '!L:L,' General Stock Summary View  '!B307,'XBS '!C:C,' General Stock Summary View  '!C307)</f>
        <v>0</v>
      </c>
      <c r="Q307" s="3">
        <f>SUMIFS('PowerApp_Physical count'!H:H,'PowerApp_Physical count'!B:B,' General Stock Summary View  '!$P$2,'PowerApp_Physical count'!C:C,' General Stock Summary View  '!C307,'PowerApp_Physical count'!A:A,' General Stock Summary View  '!B307)</f>
        <v>0</v>
      </c>
      <c r="R307" s="4">
        <f t="shared" si="48"/>
        <v>0</v>
      </c>
      <c r="S307" s="5">
        <f>SUMIFS('XBS '!T:T,'XBS '!L:L,' General Stock Summary View  '!B307,'XBS '!H:H,' General Stock Summary View  '!$S$2,'XBS '!C:C,' General Stock Summary View  '!C307)</f>
        <v>0</v>
      </c>
      <c r="T307" s="3">
        <f>SUMIFS('PowerApp_Physical count'!H:H,'PowerApp_Physical count'!B:B,' General Stock Summary View  '!$S$2,'PowerApp_Physical count'!C:C,' General Stock Summary View  '!C307,'PowerApp_Physical count'!A:A,' General Stock Summary View  '!B307)</f>
        <v>0</v>
      </c>
      <c r="U307" s="4">
        <f t="shared" si="49"/>
        <v>0</v>
      </c>
      <c r="V307" s="2">
        <f>SUMIFS('XBS '!T:T,'XBS '!H:H,' General Stock Summary View  '!$V$2,'XBS '!B:B,' General Stock Summary View  '!C307,'XBS '!L:L,' General Stock Summary View  '!B307)</f>
        <v>0</v>
      </c>
      <c r="W307" s="3">
        <f>SUMIFS('PowerApp_Physical count'!H:H,'PowerApp_Physical count'!B:B,' General Stock Summary View  '!$V$2,'PowerApp_Physical count'!C:C,' General Stock Summary View  '!C307,'PowerApp_Physical count'!A:A,' General Stock Summary View  '!B307)</f>
        <v>0</v>
      </c>
      <c r="X307" s="4">
        <f t="shared" si="50"/>
        <v>0</v>
      </c>
      <c r="Y307" s="5">
        <f>SUMIFS('XBS '!T:T,'XBS '!H:H,' General Stock Summary View  '!$Y$2,'XBS '!B:B,' General Stock Summary View  '!C307,'XBS '!L:L,' General Stock Summary View  '!B307)</f>
        <v>0</v>
      </c>
      <c r="Z307" s="3">
        <f>SUMIFS('PowerApp_Physical count'!H:H,'PowerApp_Physical count'!B:B,' General Stock Summary View  '!$Y$2,'PowerApp_Physical count'!C:C,' General Stock Summary View  '!C307,'PowerApp_Physical count'!A:A,' General Stock Summary View  '!B307)</f>
        <v>0</v>
      </c>
      <c r="AA307" s="4">
        <f t="shared" si="51"/>
        <v>0</v>
      </c>
      <c r="AB307" s="5">
        <f>SUMIFS('XBS '!T:T,'XBS '!H:H,' General Stock Summary View  '!$AB$2,'XBS '!B:B,' General Stock Summary View  '!C307,'XBS '!L:L,' General Stock Summary View  '!B307)</f>
        <v>0</v>
      </c>
      <c r="AC307" s="3">
        <f>SUMIFS('PowerApp_Physical count'!H:H,'PowerApp_Physical count'!B:B,' General Stock Summary View  '!$AB$2,'PowerApp_Physical count'!C:C,' General Stock Summary View  '!C307,'PowerApp_Physical count'!A:A,' General Stock Summary View  '!B307)</f>
        <v>0</v>
      </c>
      <c r="AD307" s="6">
        <f t="shared" si="52"/>
        <v>0</v>
      </c>
      <c r="AE307" s="7">
        <f t="shared" si="53"/>
        <v>4.9000000000000004</v>
      </c>
      <c r="AF307" s="8">
        <f t="shared" si="54"/>
        <v>8.3333333333337478E-3</v>
      </c>
      <c r="AG307" s="112"/>
    </row>
    <row r="308" spans="2:33" s="113" customFormat="1" ht="61.15">
      <c r="B308" s="117" t="s">
        <v>312</v>
      </c>
      <c r="C308" s="111" t="s">
        <v>311</v>
      </c>
      <c r="D308" s="11">
        <f>SUMIFS('XBS '!T:T,'XBS '!C:C,' General Stock Summary View  '!C308,'XBS '!L:L,' General Stock Summary View  '!B308)</f>
        <v>10.718333333333334</v>
      </c>
      <c r="E308" s="2">
        <f>SUMIFS('Blocked for Processing'!P:P,'Blocked for Processing'!I:I,' General Stock Summary View  '!B308,'Blocked for Processing'!C:C,' General Stock Summary View  '!C308)</f>
        <v>0</v>
      </c>
      <c r="F308" s="122">
        <f t="shared" si="43"/>
        <v>10.718333333333334</v>
      </c>
      <c r="G308" s="148">
        <f>SUMIFS('XBS '!T:T,'XBS '!H:H,' General Stock Summary View  '!$G$2,'XBS '!L:L,' General Stock Summary View  '!B308,'XBS '!C:C,' General Stock Summary View  '!C308)</f>
        <v>10.718333333333334</v>
      </c>
      <c r="H308" s="3">
        <f>SUMIFS('PowerApp_Physical count'!H:H,'PowerApp_Physical count'!B:B,' General Stock Summary View  '!$G$2,'PowerApp_Physical count'!C:C,' General Stock Summary View  '!C308,'PowerApp_Physical count'!A:A,' General Stock Summary View  '!B308)</f>
        <v>10.7</v>
      </c>
      <c r="I308" s="154">
        <f t="shared" si="55"/>
        <v>-1.8333333333334423E-2</v>
      </c>
      <c r="J308" s="11">
        <f>SUMIFS('XBS '!T:T,'XBS '!H:H,' General Stock Summary View  '!$J$2,'XBS '!L:L,' General Stock Summary View  '!B308,'XBS '!C:C,' General Stock Summary View  '!C308)</f>
        <v>0</v>
      </c>
      <c r="K308" s="157">
        <f>SUMIFS('PowerApp_Physical count'!H:H,'PowerApp_Physical count'!B:B,' General Stock Summary View  '!$J$2,'PowerApp_Physical count'!C:C,' General Stock Summary View  '!C308,'PowerApp_Physical count'!A:A,' General Stock Summary View  '!B308)</f>
        <v>0</v>
      </c>
      <c r="L308" s="127">
        <f t="shared" si="44"/>
        <v>0</v>
      </c>
      <c r="M308" s="126">
        <f t="shared" si="45"/>
        <v>10.718333333333334</v>
      </c>
      <c r="N308" s="11">
        <f t="shared" si="46"/>
        <v>10.7</v>
      </c>
      <c r="O308" s="144">
        <f t="shared" si="47"/>
        <v>-1.8333333333334423E-2</v>
      </c>
      <c r="P308" s="2">
        <f>SUMIFS('XBS '!T:T,'XBS '!H:H,' General Stock Summary View  '!$P$2,'XBS '!L:L,' General Stock Summary View  '!B308,'XBS '!C:C,' General Stock Summary View  '!C308)</f>
        <v>0</v>
      </c>
      <c r="Q308" s="3">
        <f>SUMIFS('PowerApp_Physical count'!H:H,'PowerApp_Physical count'!B:B,' General Stock Summary View  '!$P$2,'PowerApp_Physical count'!C:C,' General Stock Summary View  '!C308,'PowerApp_Physical count'!A:A,' General Stock Summary View  '!B308)</f>
        <v>0</v>
      </c>
      <c r="R308" s="4">
        <f t="shared" si="48"/>
        <v>0</v>
      </c>
      <c r="S308" s="5">
        <f>SUMIFS('XBS '!T:T,'XBS '!L:L,' General Stock Summary View  '!B308,'XBS '!H:H,' General Stock Summary View  '!$S$2,'XBS '!C:C,' General Stock Summary View  '!C308)</f>
        <v>0</v>
      </c>
      <c r="T308" s="3">
        <f>SUMIFS('PowerApp_Physical count'!H:H,'PowerApp_Physical count'!B:B,' General Stock Summary View  '!$S$2,'PowerApp_Physical count'!C:C,' General Stock Summary View  '!C308,'PowerApp_Physical count'!A:A,' General Stock Summary View  '!B308)</f>
        <v>0</v>
      </c>
      <c r="U308" s="4">
        <f t="shared" si="49"/>
        <v>0</v>
      </c>
      <c r="V308" s="2">
        <f>SUMIFS('XBS '!T:T,'XBS '!H:H,' General Stock Summary View  '!$V$2,'XBS '!B:B,' General Stock Summary View  '!C308,'XBS '!L:L,' General Stock Summary View  '!B308)</f>
        <v>0</v>
      </c>
      <c r="W308" s="3">
        <f>SUMIFS('PowerApp_Physical count'!H:H,'PowerApp_Physical count'!B:B,' General Stock Summary View  '!$V$2,'PowerApp_Physical count'!C:C,' General Stock Summary View  '!C308,'PowerApp_Physical count'!A:A,' General Stock Summary View  '!B308)</f>
        <v>0</v>
      </c>
      <c r="X308" s="4">
        <f t="shared" si="50"/>
        <v>0</v>
      </c>
      <c r="Y308" s="5">
        <f>SUMIFS('XBS '!T:T,'XBS '!H:H,' General Stock Summary View  '!$Y$2,'XBS '!B:B,' General Stock Summary View  '!C308,'XBS '!L:L,' General Stock Summary View  '!B308)</f>
        <v>0</v>
      </c>
      <c r="Z308" s="3">
        <f>SUMIFS('PowerApp_Physical count'!H:H,'PowerApp_Physical count'!B:B,' General Stock Summary View  '!$Y$2,'PowerApp_Physical count'!C:C,' General Stock Summary View  '!C308,'PowerApp_Physical count'!A:A,' General Stock Summary View  '!B308)</f>
        <v>0</v>
      </c>
      <c r="AA308" s="4">
        <f t="shared" si="51"/>
        <v>0</v>
      </c>
      <c r="AB308" s="5">
        <f>SUMIFS('XBS '!T:T,'XBS '!H:H,' General Stock Summary View  '!$AB$2,'XBS '!B:B,' General Stock Summary View  '!C308,'XBS '!L:L,' General Stock Summary View  '!B308)</f>
        <v>0</v>
      </c>
      <c r="AC308" s="3">
        <f>SUMIFS('PowerApp_Physical count'!H:H,'PowerApp_Physical count'!B:B,' General Stock Summary View  '!$AB$2,'PowerApp_Physical count'!C:C,' General Stock Summary View  '!C308,'PowerApp_Physical count'!A:A,' General Stock Summary View  '!B308)</f>
        <v>0</v>
      </c>
      <c r="AD308" s="6">
        <f t="shared" si="52"/>
        <v>0</v>
      </c>
      <c r="AE308" s="7">
        <f t="shared" si="53"/>
        <v>10.7</v>
      </c>
      <c r="AF308" s="8">
        <f t="shared" si="54"/>
        <v>-1.8333333333334423E-2</v>
      </c>
      <c r="AG308" s="112"/>
    </row>
    <row r="309" spans="2:33" s="113" customFormat="1" ht="61.15">
      <c r="B309" s="117" t="s">
        <v>313</v>
      </c>
      <c r="C309" s="111" t="s">
        <v>314</v>
      </c>
      <c r="D309" s="11">
        <f>SUMIFS('XBS '!T:T,'XBS '!C:C,' General Stock Summary View  '!C309,'XBS '!L:L,' General Stock Summary View  '!B309)</f>
        <v>3.32</v>
      </c>
      <c r="E309" s="2">
        <f>SUMIFS('Blocked for Processing'!P:P,'Blocked for Processing'!I:I,' General Stock Summary View  '!B309,'Blocked for Processing'!C:C,' General Stock Summary View  '!C309)</f>
        <v>0</v>
      </c>
      <c r="F309" s="122">
        <f t="shared" si="43"/>
        <v>3.32</v>
      </c>
      <c r="G309" s="148">
        <f>SUMIFS('XBS '!T:T,'XBS '!H:H,' General Stock Summary View  '!$G$2,'XBS '!L:L,' General Stock Summary View  '!B309,'XBS '!C:C,' General Stock Summary View  '!C309)</f>
        <v>3.32</v>
      </c>
      <c r="H309" s="3">
        <f>SUMIFS('PowerApp_Physical count'!H:H,'PowerApp_Physical count'!B:B,' General Stock Summary View  '!$G$2,'PowerApp_Physical count'!C:C,' General Stock Summary View  '!C309,'PowerApp_Physical count'!A:A,' General Stock Summary View  '!B309)</f>
        <v>3.32</v>
      </c>
      <c r="I309" s="154">
        <f t="shared" si="55"/>
        <v>0</v>
      </c>
      <c r="J309" s="11">
        <f>SUMIFS('XBS '!T:T,'XBS '!H:H,' General Stock Summary View  '!$J$2,'XBS '!L:L,' General Stock Summary View  '!B309,'XBS '!C:C,' General Stock Summary View  '!C309)</f>
        <v>0</v>
      </c>
      <c r="K309" s="157">
        <f>SUMIFS('PowerApp_Physical count'!H:H,'PowerApp_Physical count'!B:B,' General Stock Summary View  '!$J$2,'PowerApp_Physical count'!C:C,' General Stock Summary View  '!C309,'PowerApp_Physical count'!A:A,' General Stock Summary View  '!B309)</f>
        <v>0</v>
      </c>
      <c r="L309" s="127">
        <f t="shared" si="44"/>
        <v>0</v>
      </c>
      <c r="M309" s="126">
        <f t="shared" si="45"/>
        <v>3.32</v>
      </c>
      <c r="N309" s="11">
        <f t="shared" si="46"/>
        <v>3.32</v>
      </c>
      <c r="O309" s="144">
        <f t="shared" si="47"/>
        <v>0</v>
      </c>
      <c r="P309" s="2">
        <f>SUMIFS('XBS '!T:T,'XBS '!H:H,' General Stock Summary View  '!$P$2,'XBS '!L:L,' General Stock Summary View  '!B309,'XBS '!C:C,' General Stock Summary View  '!C309)</f>
        <v>0</v>
      </c>
      <c r="Q309" s="3">
        <f>SUMIFS('PowerApp_Physical count'!H:H,'PowerApp_Physical count'!B:B,' General Stock Summary View  '!$P$2,'PowerApp_Physical count'!C:C,' General Stock Summary View  '!C309,'PowerApp_Physical count'!A:A,' General Stock Summary View  '!B309)</f>
        <v>0</v>
      </c>
      <c r="R309" s="4">
        <f t="shared" si="48"/>
        <v>0</v>
      </c>
      <c r="S309" s="5">
        <f>SUMIFS('XBS '!T:T,'XBS '!L:L,' General Stock Summary View  '!B309,'XBS '!H:H,' General Stock Summary View  '!$S$2,'XBS '!C:C,' General Stock Summary View  '!C309)</f>
        <v>0</v>
      </c>
      <c r="T309" s="3">
        <f>SUMIFS('PowerApp_Physical count'!H:H,'PowerApp_Physical count'!B:B,' General Stock Summary View  '!$S$2,'PowerApp_Physical count'!C:C,' General Stock Summary View  '!C309,'PowerApp_Physical count'!A:A,' General Stock Summary View  '!B309)</f>
        <v>0</v>
      </c>
      <c r="U309" s="4">
        <f t="shared" si="49"/>
        <v>0</v>
      </c>
      <c r="V309" s="2">
        <f>SUMIFS('XBS '!T:T,'XBS '!H:H,' General Stock Summary View  '!$V$2,'XBS '!B:B,' General Stock Summary View  '!C309,'XBS '!L:L,' General Stock Summary View  '!B309)</f>
        <v>0</v>
      </c>
      <c r="W309" s="3">
        <f>SUMIFS('PowerApp_Physical count'!H:H,'PowerApp_Physical count'!B:B,' General Stock Summary View  '!$V$2,'PowerApp_Physical count'!C:C,' General Stock Summary View  '!C309,'PowerApp_Physical count'!A:A,' General Stock Summary View  '!B309)</f>
        <v>0</v>
      </c>
      <c r="X309" s="4">
        <f t="shared" si="50"/>
        <v>0</v>
      </c>
      <c r="Y309" s="5">
        <f>SUMIFS('XBS '!T:T,'XBS '!H:H,' General Stock Summary View  '!$Y$2,'XBS '!B:B,' General Stock Summary View  '!C309,'XBS '!L:L,' General Stock Summary View  '!B309)</f>
        <v>0</v>
      </c>
      <c r="Z309" s="3">
        <f>SUMIFS('PowerApp_Physical count'!H:H,'PowerApp_Physical count'!B:B,' General Stock Summary View  '!$Y$2,'PowerApp_Physical count'!C:C,' General Stock Summary View  '!C309,'PowerApp_Physical count'!A:A,' General Stock Summary View  '!B309)</f>
        <v>0</v>
      </c>
      <c r="AA309" s="4">
        <f t="shared" si="51"/>
        <v>0</v>
      </c>
      <c r="AB309" s="5">
        <f>SUMIFS('XBS '!T:T,'XBS '!H:H,' General Stock Summary View  '!$AB$2,'XBS '!B:B,' General Stock Summary View  '!C309,'XBS '!L:L,' General Stock Summary View  '!B309)</f>
        <v>0</v>
      </c>
      <c r="AC309" s="3">
        <f>SUMIFS('PowerApp_Physical count'!H:H,'PowerApp_Physical count'!B:B,' General Stock Summary View  '!$AB$2,'PowerApp_Physical count'!C:C,' General Stock Summary View  '!C309,'PowerApp_Physical count'!A:A,' General Stock Summary View  '!B309)</f>
        <v>0</v>
      </c>
      <c r="AD309" s="6">
        <f t="shared" si="52"/>
        <v>0</v>
      </c>
      <c r="AE309" s="7">
        <f t="shared" si="53"/>
        <v>3.32</v>
      </c>
      <c r="AF309" s="8">
        <f t="shared" si="54"/>
        <v>0</v>
      </c>
      <c r="AG309" s="112"/>
    </row>
    <row r="310" spans="2:33" s="113" customFormat="1" ht="61.15">
      <c r="B310" s="117" t="s">
        <v>315</v>
      </c>
      <c r="C310" s="111" t="s">
        <v>314</v>
      </c>
      <c r="D310" s="11">
        <f>SUMIFS('XBS '!T:T,'XBS '!C:C,' General Stock Summary View  '!C310,'XBS '!L:L,' General Stock Summary View  '!B310)</f>
        <v>13.52</v>
      </c>
      <c r="E310" s="2">
        <f>SUMIFS('Blocked for Processing'!P:P,'Blocked for Processing'!I:I,' General Stock Summary View  '!B310,'Blocked for Processing'!C:C,' General Stock Summary View  '!C310)</f>
        <v>0</v>
      </c>
      <c r="F310" s="122">
        <f t="shared" si="43"/>
        <v>13.52</v>
      </c>
      <c r="G310" s="148">
        <f>SUMIFS('XBS '!T:T,'XBS '!H:H,' General Stock Summary View  '!$G$2,'XBS '!L:L,' General Stock Summary View  '!B310,'XBS '!C:C,' General Stock Summary View  '!C310)</f>
        <v>13.52</v>
      </c>
      <c r="H310" s="3">
        <f>SUMIFS('PowerApp_Physical count'!H:H,'PowerApp_Physical count'!B:B,' General Stock Summary View  '!$G$2,'PowerApp_Physical count'!C:C,' General Stock Summary View  '!C310,'PowerApp_Physical count'!A:A,' General Stock Summary View  '!B310)</f>
        <v>13.52</v>
      </c>
      <c r="I310" s="154">
        <f t="shared" si="55"/>
        <v>0</v>
      </c>
      <c r="J310" s="11">
        <f>SUMIFS('XBS '!T:T,'XBS '!H:H,' General Stock Summary View  '!$J$2,'XBS '!L:L,' General Stock Summary View  '!B310,'XBS '!C:C,' General Stock Summary View  '!C310)</f>
        <v>0</v>
      </c>
      <c r="K310" s="157">
        <f>SUMIFS('PowerApp_Physical count'!H:H,'PowerApp_Physical count'!B:B,' General Stock Summary View  '!$J$2,'PowerApp_Physical count'!C:C,' General Stock Summary View  '!C310,'PowerApp_Physical count'!A:A,' General Stock Summary View  '!B310)</f>
        <v>0</v>
      </c>
      <c r="L310" s="127">
        <f t="shared" si="44"/>
        <v>0</v>
      </c>
      <c r="M310" s="126">
        <f t="shared" si="45"/>
        <v>13.52</v>
      </c>
      <c r="N310" s="11">
        <f t="shared" si="46"/>
        <v>13.52</v>
      </c>
      <c r="O310" s="144">
        <f t="shared" si="47"/>
        <v>0</v>
      </c>
      <c r="P310" s="2">
        <f>SUMIFS('XBS '!T:T,'XBS '!H:H,' General Stock Summary View  '!$P$2,'XBS '!L:L,' General Stock Summary View  '!B310,'XBS '!C:C,' General Stock Summary View  '!C310)</f>
        <v>0</v>
      </c>
      <c r="Q310" s="3">
        <f>SUMIFS('PowerApp_Physical count'!H:H,'PowerApp_Physical count'!B:B,' General Stock Summary View  '!$P$2,'PowerApp_Physical count'!C:C,' General Stock Summary View  '!C310,'PowerApp_Physical count'!A:A,' General Stock Summary View  '!B310)</f>
        <v>0</v>
      </c>
      <c r="R310" s="4">
        <f t="shared" si="48"/>
        <v>0</v>
      </c>
      <c r="S310" s="5">
        <f>SUMIFS('XBS '!T:T,'XBS '!L:L,' General Stock Summary View  '!B310,'XBS '!H:H,' General Stock Summary View  '!$S$2,'XBS '!C:C,' General Stock Summary View  '!C310)</f>
        <v>0</v>
      </c>
      <c r="T310" s="3">
        <f>SUMIFS('PowerApp_Physical count'!H:H,'PowerApp_Physical count'!B:B,' General Stock Summary View  '!$S$2,'PowerApp_Physical count'!C:C,' General Stock Summary View  '!C310,'PowerApp_Physical count'!A:A,' General Stock Summary View  '!B310)</f>
        <v>0</v>
      </c>
      <c r="U310" s="4">
        <f t="shared" si="49"/>
        <v>0</v>
      </c>
      <c r="V310" s="2">
        <f>SUMIFS('XBS '!T:T,'XBS '!H:H,' General Stock Summary View  '!$V$2,'XBS '!B:B,' General Stock Summary View  '!C310,'XBS '!L:L,' General Stock Summary View  '!B310)</f>
        <v>0</v>
      </c>
      <c r="W310" s="3">
        <f>SUMIFS('PowerApp_Physical count'!H:H,'PowerApp_Physical count'!B:B,' General Stock Summary View  '!$V$2,'PowerApp_Physical count'!C:C,' General Stock Summary View  '!C310,'PowerApp_Physical count'!A:A,' General Stock Summary View  '!B310)</f>
        <v>0</v>
      </c>
      <c r="X310" s="4">
        <f t="shared" si="50"/>
        <v>0</v>
      </c>
      <c r="Y310" s="5">
        <f>SUMIFS('XBS '!T:T,'XBS '!H:H,' General Stock Summary View  '!$Y$2,'XBS '!B:B,' General Stock Summary View  '!C310,'XBS '!L:L,' General Stock Summary View  '!B310)</f>
        <v>0</v>
      </c>
      <c r="Z310" s="3">
        <f>SUMIFS('PowerApp_Physical count'!H:H,'PowerApp_Physical count'!B:B,' General Stock Summary View  '!$Y$2,'PowerApp_Physical count'!C:C,' General Stock Summary View  '!C310,'PowerApp_Physical count'!A:A,' General Stock Summary View  '!B310)</f>
        <v>0</v>
      </c>
      <c r="AA310" s="4">
        <f t="shared" si="51"/>
        <v>0</v>
      </c>
      <c r="AB310" s="5">
        <f>SUMIFS('XBS '!T:T,'XBS '!H:H,' General Stock Summary View  '!$AB$2,'XBS '!B:B,' General Stock Summary View  '!C310,'XBS '!L:L,' General Stock Summary View  '!B310)</f>
        <v>0</v>
      </c>
      <c r="AC310" s="3">
        <f>SUMIFS('PowerApp_Physical count'!H:H,'PowerApp_Physical count'!B:B,' General Stock Summary View  '!$AB$2,'PowerApp_Physical count'!C:C,' General Stock Summary View  '!C310,'PowerApp_Physical count'!A:A,' General Stock Summary View  '!B310)</f>
        <v>0</v>
      </c>
      <c r="AD310" s="6">
        <f t="shared" si="52"/>
        <v>0</v>
      </c>
      <c r="AE310" s="7">
        <f t="shared" si="53"/>
        <v>13.52</v>
      </c>
      <c r="AF310" s="8">
        <f t="shared" si="54"/>
        <v>0</v>
      </c>
      <c r="AG310" s="112"/>
    </row>
    <row r="311" spans="2:33" s="113" customFormat="1" ht="61.15">
      <c r="B311" s="117" t="s">
        <v>316</v>
      </c>
      <c r="C311" s="111" t="s">
        <v>314</v>
      </c>
      <c r="D311" s="11">
        <f>SUMIFS('XBS '!T:T,'XBS '!C:C,' General Stock Summary View  '!C311,'XBS '!L:L,' General Stock Summary View  '!B311)</f>
        <v>27.96</v>
      </c>
      <c r="E311" s="2">
        <f>SUMIFS('Blocked for Processing'!P:P,'Blocked for Processing'!I:I,' General Stock Summary View  '!B311,'Blocked for Processing'!C:C,' General Stock Summary View  '!C311)</f>
        <v>0</v>
      </c>
      <c r="F311" s="122">
        <f t="shared" si="43"/>
        <v>27.96</v>
      </c>
      <c r="G311" s="148">
        <f>SUMIFS('XBS '!T:T,'XBS '!H:H,' General Stock Summary View  '!$G$2,'XBS '!L:L,' General Stock Summary View  '!B311,'XBS '!C:C,' General Stock Summary View  '!C311)</f>
        <v>27.96</v>
      </c>
      <c r="H311" s="3">
        <f>SUMIFS('PowerApp_Physical count'!H:H,'PowerApp_Physical count'!B:B,' General Stock Summary View  '!$G$2,'PowerApp_Physical count'!C:C,' General Stock Summary View  '!C311,'PowerApp_Physical count'!A:A,' General Stock Summary View  '!B311)</f>
        <v>27.96</v>
      </c>
      <c r="I311" s="154">
        <f t="shared" si="55"/>
        <v>0</v>
      </c>
      <c r="J311" s="11">
        <f>SUMIFS('XBS '!T:T,'XBS '!H:H,' General Stock Summary View  '!$J$2,'XBS '!L:L,' General Stock Summary View  '!B311,'XBS '!C:C,' General Stock Summary View  '!C311)</f>
        <v>0</v>
      </c>
      <c r="K311" s="157">
        <f>SUMIFS('PowerApp_Physical count'!H:H,'PowerApp_Physical count'!B:B,' General Stock Summary View  '!$J$2,'PowerApp_Physical count'!C:C,' General Stock Summary View  '!C311,'PowerApp_Physical count'!A:A,' General Stock Summary View  '!B311)</f>
        <v>0</v>
      </c>
      <c r="L311" s="127">
        <f t="shared" si="44"/>
        <v>0</v>
      </c>
      <c r="M311" s="126">
        <f t="shared" si="45"/>
        <v>27.96</v>
      </c>
      <c r="N311" s="11">
        <f t="shared" si="46"/>
        <v>27.96</v>
      </c>
      <c r="O311" s="144">
        <f t="shared" si="47"/>
        <v>0</v>
      </c>
      <c r="P311" s="2">
        <f>SUMIFS('XBS '!T:T,'XBS '!H:H,' General Stock Summary View  '!$P$2,'XBS '!L:L,' General Stock Summary View  '!B311,'XBS '!C:C,' General Stock Summary View  '!C311)</f>
        <v>0</v>
      </c>
      <c r="Q311" s="3">
        <f>SUMIFS('PowerApp_Physical count'!H:H,'PowerApp_Physical count'!B:B,' General Stock Summary View  '!$P$2,'PowerApp_Physical count'!C:C,' General Stock Summary View  '!C311,'PowerApp_Physical count'!A:A,' General Stock Summary View  '!B311)</f>
        <v>0</v>
      </c>
      <c r="R311" s="4">
        <f t="shared" si="48"/>
        <v>0</v>
      </c>
      <c r="S311" s="5">
        <f>SUMIFS('XBS '!T:T,'XBS '!L:L,' General Stock Summary View  '!B311,'XBS '!H:H,' General Stock Summary View  '!$S$2,'XBS '!C:C,' General Stock Summary View  '!C311)</f>
        <v>0</v>
      </c>
      <c r="T311" s="3">
        <f>SUMIFS('PowerApp_Physical count'!H:H,'PowerApp_Physical count'!B:B,' General Stock Summary View  '!$S$2,'PowerApp_Physical count'!C:C,' General Stock Summary View  '!C311,'PowerApp_Physical count'!A:A,' General Stock Summary View  '!B311)</f>
        <v>0</v>
      </c>
      <c r="U311" s="4">
        <f t="shared" si="49"/>
        <v>0</v>
      </c>
      <c r="V311" s="2">
        <f>SUMIFS('XBS '!T:T,'XBS '!H:H,' General Stock Summary View  '!$V$2,'XBS '!B:B,' General Stock Summary View  '!C311,'XBS '!L:L,' General Stock Summary View  '!B311)</f>
        <v>0</v>
      </c>
      <c r="W311" s="3">
        <f>SUMIFS('PowerApp_Physical count'!H:H,'PowerApp_Physical count'!B:B,' General Stock Summary View  '!$V$2,'PowerApp_Physical count'!C:C,' General Stock Summary View  '!C311,'PowerApp_Physical count'!A:A,' General Stock Summary View  '!B311)</f>
        <v>0</v>
      </c>
      <c r="X311" s="4">
        <f t="shared" si="50"/>
        <v>0</v>
      </c>
      <c r="Y311" s="5">
        <f>SUMIFS('XBS '!T:T,'XBS '!H:H,' General Stock Summary View  '!$Y$2,'XBS '!B:B,' General Stock Summary View  '!C311,'XBS '!L:L,' General Stock Summary View  '!B311)</f>
        <v>0</v>
      </c>
      <c r="Z311" s="3">
        <f>SUMIFS('PowerApp_Physical count'!H:H,'PowerApp_Physical count'!B:B,' General Stock Summary View  '!$Y$2,'PowerApp_Physical count'!C:C,' General Stock Summary View  '!C311,'PowerApp_Physical count'!A:A,' General Stock Summary View  '!B311)</f>
        <v>0</v>
      </c>
      <c r="AA311" s="4">
        <f t="shared" si="51"/>
        <v>0</v>
      </c>
      <c r="AB311" s="5">
        <f>SUMIFS('XBS '!T:T,'XBS '!H:H,' General Stock Summary View  '!$AB$2,'XBS '!B:B,' General Stock Summary View  '!C311,'XBS '!L:L,' General Stock Summary View  '!B311)</f>
        <v>0</v>
      </c>
      <c r="AC311" s="3">
        <f>SUMIFS('PowerApp_Physical count'!H:H,'PowerApp_Physical count'!B:B,' General Stock Summary View  '!$AB$2,'PowerApp_Physical count'!C:C,' General Stock Summary View  '!C311,'PowerApp_Physical count'!A:A,' General Stock Summary View  '!B311)</f>
        <v>0</v>
      </c>
      <c r="AD311" s="6">
        <f t="shared" si="52"/>
        <v>0</v>
      </c>
      <c r="AE311" s="7">
        <f t="shared" si="53"/>
        <v>27.96</v>
      </c>
      <c r="AF311" s="8">
        <f t="shared" si="54"/>
        <v>0</v>
      </c>
      <c r="AG311" s="112"/>
    </row>
    <row r="312" spans="2:33" s="113" customFormat="1" ht="61.15">
      <c r="B312" s="117" t="s">
        <v>317</v>
      </c>
      <c r="C312" s="111" t="s">
        <v>314</v>
      </c>
      <c r="D312" s="11">
        <f>SUMIFS('XBS '!T:T,'XBS '!C:C,' General Stock Summary View  '!C312,'XBS '!L:L,' General Stock Summary View  '!B312)</f>
        <v>13.44</v>
      </c>
      <c r="E312" s="2">
        <f>SUMIFS('Blocked for Processing'!P:P,'Blocked for Processing'!I:I,' General Stock Summary View  '!B312,'Blocked for Processing'!C:C,' General Stock Summary View  '!C312)</f>
        <v>0</v>
      </c>
      <c r="F312" s="122">
        <f t="shared" si="43"/>
        <v>13.44</v>
      </c>
      <c r="G312" s="148">
        <f>SUMIFS('XBS '!T:T,'XBS '!H:H,' General Stock Summary View  '!$G$2,'XBS '!L:L,' General Stock Summary View  '!B312,'XBS '!C:C,' General Stock Summary View  '!C312)</f>
        <v>13.44</v>
      </c>
      <c r="H312" s="3">
        <f>SUMIFS('PowerApp_Physical count'!H:H,'PowerApp_Physical count'!B:B,' General Stock Summary View  '!$G$2,'PowerApp_Physical count'!C:C,' General Stock Summary View  '!C312,'PowerApp_Physical count'!A:A,' General Stock Summary View  '!B312)</f>
        <v>13.44</v>
      </c>
      <c r="I312" s="154">
        <f t="shared" si="55"/>
        <v>0</v>
      </c>
      <c r="J312" s="11">
        <f>SUMIFS('XBS '!T:T,'XBS '!H:H,' General Stock Summary View  '!$J$2,'XBS '!L:L,' General Stock Summary View  '!B312,'XBS '!C:C,' General Stock Summary View  '!C312)</f>
        <v>0</v>
      </c>
      <c r="K312" s="157">
        <f>SUMIFS('PowerApp_Physical count'!H:H,'PowerApp_Physical count'!B:B,' General Stock Summary View  '!$J$2,'PowerApp_Physical count'!C:C,' General Stock Summary View  '!C312,'PowerApp_Physical count'!A:A,' General Stock Summary View  '!B312)</f>
        <v>0</v>
      </c>
      <c r="L312" s="127">
        <f t="shared" si="44"/>
        <v>0</v>
      </c>
      <c r="M312" s="126">
        <f t="shared" si="45"/>
        <v>13.44</v>
      </c>
      <c r="N312" s="11">
        <f t="shared" si="46"/>
        <v>13.44</v>
      </c>
      <c r="O312" s="144">
        <f t="shared" si="47"/>
        <v>0</v>
      </c>
      <c r="P312" s="2">
        <f>SUMIFS('XBS '!T:T,'XBS '!H:H,' General Stock Summary View  '!$P$2,'XBS '!L:L,' General Stock Summary View  '!B312,'XBS '!C:C,' General Stock Summary View  '!C312)</f>
        <v>0</v>
      </c>
      <c r="Q312" s="3">
        <f>SUMIFS('PowerApp_Physical count'!H:H,'PowerApp_Physical count'!B:B,' General Stock Summary View  '!$P$2,'PowerApp_Physical count'!C:C,' General Stock Summary View  '!C312,'PowerApp_Physical count'!A:A,' General Stock Summary View  '!B312)</f>
        <v>0</v>
      </c>
      <c r="R312" s="4">
        <f t="shared" si="48"/>
        <v>0</v>
      </c>
      <c r="S312" s="5">
        <f>SUMIFS('XBS '!T:T,'XBS '!L:L,' General Stock Summary View  '!B312,'XBS '!H:H,' General Stock Summary View  '!$S$2,'XBS '!C:C,' General Stock Summary View  '!C312)</f>
        <v>0</v>
      </c>
      <c r="T312" s="3">
        <f>SUMIFS('PowerApp_Physical count'!H:H,'PowerApp_Physical count'!B:B,' General Stock Summary View  '!$S$2,'PowerApp_Physical count'!C:C,' General Stock Summary View  '!C312,'PowerApp_Physical count'!A:A,' General Stock Summary View  '!B312)</f>
        <v>0</v>
      </c>
      <c r="U312" s="4">
        <f t="shared" si="49"/>
        <v>0</v>
      </c>
      <c r="V312" s="2">
        <f>SUMIFS('XBS '!T:T,'XBS '!H:H,' General Stock Summary View  '!$V$2,'XBS '!B:B,' General Stock Summary View  '!C312,'XBS '!L:L,' General Stock Summary View  '!B312)</f>
        <v>0</v>
      </c>
      <c r="W312" s="3">
        <f>SUMIFS('PowerApp_Physical count'!H:H,'PowerApp_Physical count'!B:B,' General Stock Summary View  '!$V$2,'PowerApp_Physical count'!C:C,' General Stock Summary View  '!C312,'PowerApp_Physical count'!A:A,' General Stock Summary View  '!B312)</f>
        <v>0</v>
      </c>
      <c r="X312" s="4">
        <f t="shared" si="50"/>
        <v>0</v>
      </c>
      <c r="Y312" s="5">
        <f>SUMIFS('XBS '!T:T,'XBS '!H:H,' General Stock Summary View  '!$Y$2,'XBS '!B:B,' General Stock Summary View  '!C312,'XBS '!L:L,' General Stock Summary View  '!B312)</f>
        <v>0</v>
      </c>
      <c r="Z312" s="3">
        <f>SUMIFS('PowerApp_Physical count'!H:H,'PowerApp_Physical count'!B:B,' General Stock Summary View  '!$Y$2,'PowerApp_Physical count'!C:C,' General Stock Summary View  '!C312,'PowerApp_Physical count'!A:A,' General Stock Summary View  '!B312)</f>
        <v>0</v>
      </c>
      <c r="AA312" s="4">
        <f t="shared" si="51"/>
        <v>0</v>
      </c>
      <c r="AB312" s="5">
        <f>SUMIFS('XBS '!T:T,'XBS '!H:H,' General Stock Summary View  '!$AB$2,'XBS '!B:B,' General Stock Summary View  '!C312,'XBS '!L:L,' General Stock Summary View  '!B312)</f>
        <v>0</v>
      </c>
      <c r="AC312" s="3">
        <f>SUMIFS('PowerApp_Physical count'!H:H,'PowerApp_Physical count'!B:B,' General Stock Summary View  '!$AB$2,'PowerApp_Physical count'!C:C,' General Stock Summary View  '!C312,'PowerApp_Physical count'!A:A,' General Stock Summary View  '!B312)</f>
        <v>0</v>
      </c>
      <c r="AD312" s="6">
        <f t="shared" si="52"/>
        <v>0</v>
      </c>
      <c r="AE312" s="7">
        <f t="shared" si="53"/>
        <v>13.44</v>
      </c>
      <c r="AF312" s="8">
        <f t="shared" si="54"/>
        <v>0</v>
      </c>
      <c r="AG312" s="112"/>
    </row>
    <row r="313" spans="2:33" s="113" customFormat="1" ht="61.15">
      <c r="B313" s="117" t="s">
        <v>318</v>
      </c>
      <c r="C313" s="111" t="s">
        <v>314</v>
      </c>
      <c r="D313" s="11">
        <f>SUMIFS('XBS '!T:T,'XBS '!C:C,' General Stock Summary View  '!C313,'XBS '!L:L,' General Stock Summary View  '!B313)</f>
        <v>3.46</v>
      </c>
      <c r="E313" s="2">
        <f>SUMIFS('Blocked for Processing'!P:P,'Blocked for Processing'!I:I,' General Stock Summary View  '!B313,'Blocked for Processing'!C:C,' General Stock Summary View  '!C313)</f>
        <v>0</v>
      </c>
      <c r="F313" s="122">
        <f t="shared" si="43"/>
        <v>3.46</v>
      </c>
      <c r="G313" s="148">
        <f>SUMIFS('XBS '!T:T,'XBS '!H:H,' General Stock Summary View  '!$G$2,'XBS '!L:L,' General Stock Summary View  '!B313,'XBS '!C:C,' General Stock Summary View  '!C313)</f>
        <v>3.46</v>
      </c>
      <c r="H313" s="3">
        <f>SUMIFS('PowerApp_Physical count'!H:H,'PowerApp_Physical count'!B:B,' General Stock Summary View  '!$G$2,'PowerApp_Physical count'!C:C,' General Stock Summary View  '!C313,'PowerApp_Physical count'!A:A,' General Stock Summary View  '!B313)</f>
        <v>3.46</v>
      </c>
      <c r="I313" s="154">
        <f t="shared" si="55"/>
        <v>0</v>
      </c>
      <c r="J313" s="11">
        <f>SUMIFS('XBS '!T:T,'XBS '!H:H,' General Stock Summary View  '!$J$2,'XBS '!L:L,' General Stock Summary View  '!B313,'XBS '!C:C,' General Stock Summary View  '!C313)</f>
        <v>0</v>
      </c>
      <c r="K313" s="157">
        <f>SUMIFS('PowerApp_Physical count'!H:H,'PowerApp_Physical count'!B:B,' General Stock Summary View  '!$J$2,'PowerApp_Physical count'!C:C,' General Stock Summary View  '!C313,'PowerApp_Physical count'!A:A,' General Stock Summary View  '!B313)</f>
        <v>0</v>
      </c>
      <c r="L313" s="127">
        <f t="shared" si="44"/>
        <v>0</v>
      </c>
      <c r="M313" s="126">
        <f t="shared" si="45"/>
        <v>3.46</v>
      </c>
      <c r="N313" s="11">
        <f t="shared" si="46"/>
        <v>3.46</v>
      </c>
      <c r="O313" s="144">
        <f t="shared" si="47"/>
        <v>0</v>
      </c>
      <c r="P313" s="2">
        <f>SUMIFS('XBS '!T:T,'XBS '!H:H,' General Stock Summary View  '!$P$2,'XBS '!L:L,' General Stock Summary View  '!B313,'XBS '!C:C,' General Stock Summary View  '!C313)</f>
        <v>0</v>
      </c>
      <c r="Q313" s="3">
        <f>SUMIFS('PowerApp_Physical count'!H:H,'PowerApp_Physical count'!B:B,' General Stock Summary View  '!$P$2,'PowerApp_Physical count'!C:C,' General Stock Summary View  '!C313,'PowerApp_Physical count'!A:A,' General Stock Summary View  '!B313)</f>
        <v>0</v>
      </c>
      <c r="R313" s="4">
        <f t="shared" si="48"/>
        <v>0</v>
      </c>
      <c r="S313" s="5">
        <f>SUMIFS('XBS '!T:T,'XBS '!L:L,' General Stock Summary View  '!B313,'XBS '!H:H,' General Stock Summary View  '!$S$2,'XBS '!C:C,' General Stock Summary View  '!C313)</f>
        <v>0</v>
      </c>
      <c r="T313" s="3">
        <f>SUMIFS('PowerApp_Physical count'!H:H,'PowerApp_Physical count'!B:B,' General Stock Summary View  '!$S$2,'PowerApp_Physical count'!C:C,' General Stock Summary View  '!C313,'PowerApp_Physical count'!A:A,' General Stock Summary View  '!B313)</f>
        <v>0</v>
      </c>
      <c r="U313" s="4">
        <f t="shared" si="49"/>
        <v>0</v>
      </c>
      <c r="V313" s="2">
        <f>SUMIFS('XBS '!T:T,'XBS '!H:H,' General Stock Summary View  '!$V$2,'XBS '!B:B,' General Stock Summary View  '!C313,'XBS '!L:L,' General Stock Summary View  '!B313)</f>
        <v>0</v>
      </c>
      <c r="W313" s="3">
        <f>SUMIFS('PowerApp_Physical count'!H:H,'PowerApp_Physical count'!B:B,' General Stock Summary View  '!$V$2,'PowerApp_Physical count'!C:C,' General Stock Summary View  '!C313,'PowerApp_Physical count'!A:A,' General Stock Summary View  '!B313)</f>
        <v>0</v>
      </c>
      <c r="X313" s="4">
        <f t="shared" si="50"/>
        <v>0</v>
      </c>
      <c r="Y313" s="5">
        <f>SUMIFS('XBS '!T:T,'XBS '!H:H,' General Stock Summary View  '!$Y$2,'XBS '!B:B,' General Stock Summary View  '!C313,'XBS '!L:L,' General Stock Summary View  '!B313)</f>
        <v>0</v>
      </c>
      <c r="Z313" s="3">
        <f>SUMIFS('PowerApp_Physical count'!H:H,'PowerApp_Physical count'!B:B,' General Stock Summary View  '!$Y$2,'PowerApp_Physical count'!C:C,' General Stock Summary View  '!C313,'PowerApp_Physical count'!A:A,' General Stock Summary View  '!B313)</f>
        <v>0</v>
      </c>
      <c r="AA313" s="4">
        <f t="shared" si="51"/>
        <v>0</v>
      </c>
      <c r="AB313" s="5">
        <f>SUMIFS('XBS '!T:T,'XBS '!H:H,' General Stock Summary View  '!$AB$2,'XBS '!B:B,' General Stock Summary View  '!C313,'XBS '!L:L,' General Stock Summary View  '!B313)</f>
        <v>0</v>
      </c>
      <c r="AC313" s="3">
        <f>SUMIFS('PowerApp_Physical count'!H:H,'PowerApp_Physical count'!B:B,' General Stock Summary View  '!$AB$2,'PowerApp_Physical count'!C:C,' General Stock Summary View  '!C313,'PowerApp_Physical count'!A:A,' General Stock Summary View  '!B313)</f>
        <v>0</v>
      </c>
      <c r="AD313" s="6">
        <f t="shared" si="52"/>
        <v>0</v>
      </c>
      <c r="AE313" s="7">
        <f t="shared" si="53"/>
        <v>3.46</v>
      </c>
      <c r="AF313" s="8">
        <f t="shared" si="54"/>
        <v>0</v>
      </c>
      <c r="AG313" s="112"/>
    </row>
    <row r="314" spans="2:33" s="113" customFormat="1" ht="61.15">
      <c r="B314" s="117" t="s">
        <v>319</v>
      </c>
      <c r="C314" s="111" t="s">
        <v>314</v>
      </c>
      <c r="D314" s="11">
        <f>SUMIFS('XBS '!T:T,'XBS '!C:C,' General Stock Summary View  '!C314,'XBS '!L:L,' General Stock Summary View  '!B314)</f>
        <v>0.18</v>
      </c>
      <c r="E314" s="2">
        <f>SUMIFS('Blocked for Processing'!P:P,'Blocked for Processing'!I:I,' General Stock Summary View  '!B314,'Blocked for Processing'!C:C,' General Stock Summary View  '!C314)</f>
        <v>0</v>
      </c>
      <c r="F314" s="122">
        <f t="shared" si="43"/>
        <v>0.18</v>
      </c>
      <c r="G314" s="148">
        <f>SUMIFS('XBS '!T:T,'XBS '!H:H,' General Stock Summary View  '!$G$2,'XBS '!L:L,' General Stock Summary View  '!B314,'XBS '!C:C,' General Stock Summary View  '!C314)</f>
        <v>0.18</v>
      </c>
      <c r="H314" s="3">
        <f>SUMIFS('PowerApp_Physical count'!H:H,'PowerApp_Physical count'!B:B,' General Stock Summary View  '!$G$2,'PowerApp_Physical count'!C:C,' General Stock Summary View  '!C314,'PowerApp_Physical count'!A:A,' General Stock Summary View  '!B314)</f>
        <v>0.18</v>
      </c>
      <c r="I314" s="154">
        <f t="shared" si="55"/>
        <v>0</v>
      </c>
      <c r="J314" s="11">
        <f>SUMIFS('XBS '!T:T,'XBS '!H:H,' General Stock Summary View  '!$J$2,'XBS '!L:L,' General Stock Summary View  '!B314,'XBS '!C:C,' General Stock Summary View  '!C314)</f>
        <v>0</v>
      </c>
      <c r="K314" s="157">
        <f>SUMIFS('PowerApp_Physical count'!H:H,'PowerApp_Physical count'!B:B,' General Stock Summary View  '!$J$2,'PowerApp_Physical count'!C:C,' General Stock Summary View  '!C314,'PowerApp_Physical count'!A:A,' General Stock Summary View  '!B314)</f>
        <v>0</v>
      </c>
      <c r="L314" s="127">
        <f t="shared" si="44"/>
        <v>0</v>
      </c>
      <c r="M314" s="126">
        <f t="shared" si="45"/>
        <v>0.18</v>
      </c>
      <c r="N314" s="11">
        <f t="shared" si="46"/>
        <v>0.18</v>
      </c>
      <c r="O314" s="144">
        <f t="shared" si="47"/>
        <v>0</v>
      </c>
      <c r="P314" s="2">
        <f>SUMIFS('XBS '!T:T,'XBS '!H:H,' General Stock Summary View  '!$P$2,'XBS '!L:L,' General Stock Summary View  '!B314,'XBS '!C:C,' General Stock Summary View  '!C314)</f>
        <v>0</v>
      </c>
      <c r="Q314" s="3">
        <f>SUMIFS('PowerApp_Physical count'!H:H,'PowerApp_Physical count'!B:B,' General Stock Summary View  '!$P$2,'PowerApp_Physical count'!C:C,' General Stock Summary View  '!C314,'PowerApp_Physical count'!A:A,' General Stock Summary View  '!B314)</f>
        <v>0</v>
      </c>
      <c r="R314" s="4">
        <f t="shared" si="48"/>
        <v>0</v>
      </c>
      <c r="S314" s="5">
        <f>SUMIFS('XBS '!T:T,'XBS '!L:L,' General Stock Summary View  '!B314,'XBS '!H:H,' General Stock Summary View  '!$S$2,'XBS '!C:C,' General Stock Summary View  '!C314)</f>
        <v>0</v>
      </c>
      <c r="T314" s="3">
        <f>SUMIFS('PowerApp_Physical count'!H:H,'PowerApp_Physical count'!B:B,' General Stock Summary View  '!$S$2,'PowerApp_Physical count'!C:C,' General Stock Summary View  '!C314,'PowerApp_Physical count'!A:A,' General Stock Summary View  '!B314)</f>
        <v>0</v>
      </c>
      <c r="U314" s="4">
        <f t="shared" si="49"/>
        <v>0</v>
      </c>
      <c r="V314" s="2">
        <f>SUMIFS('XBS '!T:T,'XBS '!H:H,' General Stock Summary View  '!$V$2,'XBS '!B:B,' General Stock Summary View  '!C314,'XBS '!L:L,' General Stock Summary View  '!B314)</f>
        <v>0</v>
      </c>
      <c r="W314" s="3">
        <f>SUMIFS('PowerApp_Physical count'!H:H,'PowerApp_Physical count'!B:B,' General Stock Summary View  '!$V$2,'PowerApp_Physical count'!C:C,' General Stock Summary View  '!C314,'PowerApp_Physical count'!A:A,' General Stock Summary View  '!B314)</f>
        <v>0</v>
      </c>
      <c r="X314" s="4">
        <f t="shared" si="50"/>
        <v>0</v>
      </c>
      <c r="Y314" s="5">
        <f>SUMIFS('XBS '!T:T,'XBS '!H:H,' General Stock Summary View  '!$Y$2,'XBS '!B:B,' General Stock Summary View  '!C314,'XBS '!L:L,' General Stock Summary View  '!B314)</f>
        <v>0</v>
      </c>
      <c r="Z314" s="3">
        <f>SUMIFS('PowerApp_Physical count'!H:H,'PowerApp_Physical count'!B:B,' General Stock Summary View  '!$Y$2,'PowerApp_Physical count'!C:C,' General Stock Summary View  '!C314,'PowerApp_Physical count'!A:A,' General Stock Summary View  '!B314)</f>
        <v>0</v>
      </c>
      <c r="AA314" s="4">
        <f t="shared" si="51"/>
        <v>0</v>
      </c>
      <c r="AB314" s="5">
        <f>SUMIFS('XBS '!T:T,'XBS '!H:H,' General Stock Summary View  '!$AB$2,'XBS '!B:B,' General Stock Summary View  '!C314,'XBS '!L:L,' General Stock Summary View  '!B314)</f>
        <v>0</v>
      </c>
      <c r="AC314" s="3">
        <f>SUMIFS('PowerApp_Physical count'!H:H,'PowerApp_Physical count'!B:B,' General Stock Summary View  '!$AB$2,'PowerApp_Physical count'!C:C,' General Stock Summary View  '!C314,'PowerApp_Physical count'!A:A,' General Stock Summary View  '!B314)</f>
        <v>0</v>
      </c>
      <c r="AD314" s="6">
        <f t="shared" si="52"/>
        <v>0</v>
      </c>
      <c r="AE314" s="7">
        <f t="shared" si="53"/>
        <v>0.18</v>
      </c>
      <c r="AF314" s="8">
        <f t="shared" si="54"/>
        <v>0</v>
      </c>
      <c r="AG314" s="112"/>
    </row>
    <row r="315" spans="2:33" s="113" customFormat="1" ht="61.15">
      <c r="B315" s="117" t="s">
        <v>320</v>
      </c>
      <c r="C315" s="111" t="s">
        <v>314</v>
      </c>
      <c r="D315" s="11">
        <f>SUMIFS('XBS '!T:T,'XBS '!C:C,' General Stock Summary View  '!C315,'XBS '!L:L,' General Stock Summary View  '!B315)</f>
        <v>15.2</v>
      </c>
      <c r="E315" s="2">
        <f>SUMIFS('Blocked for Processing'!P:P,'Blocked for Processing'!I:I,' General Stock Summary View  '!B315,'Blocked for Processing'!C:C,' General Stock Summary View  '!C315)</f>
        <v>0</v>
      </c>
      <c r="F315" s="122">
        <f t="shared" si="43"/>
        <v>15.2</v>
      </c>
      <c r="G315" s="148">
        <f>SUMIFS('XBS '!T:T,'XBS '!H:H,' General Stock Summary View  '!$G$2,'XBS '!L:L,' General Stock Summary View  '!B315,'XBS '!C:C,' General Stock Summary View  '!C315)</f>
        <v>15.2</v>
      </c>
      <c r="H315" s="3">
        <f>SUMIFS('PowerApp_Physical count'!H:H,'PowerApp_Physical count'!B:B,' General Stock Summary View  '!$G$2,'PowerApp_Physical count'!C:C,' General Stock Summary View  '!C315,'PowerApp_Physical count'!A:A,' General Stock Summary View  '!B315)</f>
        <v>15.2</v>
      </c>
      <c r="I315" s="154">
        <f t="shared" si="55"/>
        <v>0</v>
      </c>
      <c r="J315" s="11">
        <f>SUMIFS('XBS '!T:T,'XBS '!H:H,' General Stock Summary View  '!$J$2,'XBS '!L:L,' General Stock Summary View  '!B315,'XBS '!C:C,' General Stock Summary View  '!C315)</f>
        <v>0</v>
      </c>
      <c r="K315" s="157">
        <f>SUMIFS('PowerApp_Physical count'!H:H,'PowerApp_Physical count'!B:B,' General Stock Summary View  '!$J$2,'PowerApp_Physical count'!C:C,' General Stock Summary View  '!C315,'PowerApp_Physical count'!A:A,' General Stock Summary View  '!B315)</f>
        <v>0</v>
      </c>
      <c r="L315" s="127">
        <f t="shared" si="44"/>
        <v>0</v>
      </c>
      <c r="M315" s="126">
        <f t="shared" si="45"/>
        <v>15.2</v>
      </c>
      <c r="N315" s="11">
        <f t="shared" si="46"/>
        <v>15.2</v>
      </c>
      <c r="O315" s="144">
        <f t="shared" si="47"/>
        <v>0</v>
      </c>
      <c r="P315" s="2">
        <f>SUMIFS('XBS '!T:T,'XBS '!H:H,' General Stock Summary View  '!$P$2,'XBS '!L:L,' General Stock Summary View  '!B315,'XBS '!C:C,' General Stock Summary View  '!C315)</f>
        <v>0</v>
      </c>
      <c r="Q315" s="3">
        <f>SUMIFS('PowerApp_Physical count'!H:H,'PowerApp_Physical count'!B:B,' General Stock Summary View  '!$P$2,'PowerApp_Physical count'!C:C,' General Stock Summary View  '!C315,'PowerApp_Physical count'!A:A,' General Stock Summary View  '!B315)</f>
        <v>0</v>
      </c>
      <c r="R315" s="4">
        <f t="shared" si="48"/>
        <v>0</v>
      </c>
      <c r="S315" s="5">
        <f>SUMIFS('XBS '!T:T,'XBS '!L:L,' General Stock Summary View  '!B315,'XBS '!H:H,' General Stock Summary View  '!$S$2,'XBS '!C:C,' General Stock Summary View  '!C315)</f>
        <v>0</v>
      </c>
      <c r="T315" s="3">
        <f>SUMIFS('PowerApp_Physical count'!H:H,'PowerApp_Physical count'!B:B,' General Stock Summary View  '!$S$2,'PowerApp_Physical count'!C:C,' General Stock Summary View  '!C315,'PowerApp_Physical count'!A:A,' General Stock Summary View  '!B315)</f>
        <v>0</v>
      </c>
      <c r="U315" s="4">
        <f t="shared" si="49"/>
        <v>0</v>
      </c>
      <c r="V315" s="2">
        <f>SUMIFS('XBS '!T:T,'XBS '!H:H,' General Stock Summary View  '!$V$2,'XBS '!B:B,' General Stock Summary View  '!C315,'XBS '!L:L,' General Stock Summary View  '!B315)</f>
        <v>0</v>
      </c>
      <c r="W315" s="3">
        <f>SUMIFS('PowerApp_Physical count'!H:H,'PowerApp_Physical count'!B:B,' General Stock Summary View  '!$V$2,'PowerApp_Physical count'!C:C,' General Stock Summary View  '!C315,'PowerApp_Physical count'!A:A,' General Stock Summary View  '!B315)</f>
        <v>0</v>
      </c>
      <c r="X315" s="4">
        <f t="shared" si="50"/>
        <v>0</v>
      </c>
      <c r="Y315" s="5">
        <f>SUMIFS('XBS '!T:T,'XBS '!H:H,' General Stock Summary View  '!$Y$2,'XBS '!B:B,' General Stock Summary View  '!C315,'XBS '!L:L,' General Stock Summary View  '!B315)</f>
        <v>0</v>
      </c>
      <c r="Z315" s="3">
        <f>SUMIFS('PowerApp_Physical count'!H:H,'PowerApp_Physical count'!B:B,' General Stock Summary View  '!$Y$2,'PowerApp_Physical count'!C:C,' General Stock Summary View  '!C315,'PowerApp_Physical count'!A:A,' General Stock Summary View  '!B315)</f>
        <v>0</v>
      </c>
      <c r="AA315" s="4">
        <f t="shared" si="51"/>
        <v>0</v>
      </c>
      <c r="AB315" s="5">
        <f>SUMIFS('XBS '!T:T,'XBS '!H:H,' General Stock Summary View  '!$AB$2,'XBS '!B:B,' General Stock Summary View  '!C315,'XBS '!L:L,' General Stock Summary View  '!B315)</f>
        <v>0</v>
      </c>
      <c r="AC315" s="3">
        <f>SUMIFS('PowerApp_Physical count'!H:H,'PowerApp_Physical count'!B:B,' General Stock Summary View  '!$AB$2,'PowerApp_Physical count'!C:C,' General Stock Summary View  '!C315,'PowerApp_Physical count'!A:A,' General Stock Summary View  '!B315)</f>
        <v>0</v>
      </c>
      <c r="AD315" s="6">
        <f t="shared" si="52"/>
        <v>0</v>
      </c>
      <c r="AE315" s="7">
        <f t="shared" si="53"/>
        <v>15.2</v>
      </c>
      <c r="AF315" s="8">
        <f t="shared" si="54"/>
        <v>0</v>
      </c>
      <c r="AG315" s="112"/>
    </row>
    <row r="316" spans="2:33" s="113" customFormat="1" ht="61.15">
      <c r="B316" s="117" t="s">
        <v>321</v>
      </c>
      <c r="C316" s="111" t="s">
        <v>314</v>
      </c>
      <c r="D316" s="11">
        <f>SUMIFS('XBS '!T:T,'XBS '!C:C,' General Stock Summary View  '!C316,'XBS '!L:L,' General Stock Summary View  '!B316)</f>
        <v>16.12</v>
      </c>
      <c r="E316" s="2">
        <f>SUMIFS('Blocked for Processing'!P:P,'Blocked for Processing'!I:I,' General Stock Summary View  '!B316,'Blocked for Processing'!C:C,' General Stock Summary View  '!C316)</f>
        <v>0</v>
      </c>
      <c r="F316" s="122">
        <f t="shared" si="43"/>
        <v>16.12</v>
      </c>
      <c r="G316" s="148">
        <f>SUMIFS('XBS '!T:T,'XBS '!H:H,' General Stock Summary View  '!$G$2,'XBS '!L:L,' General Stock Summary View  '!B316,'XBS '!C:C,' General Stock Summary View  '!C316)</f>
        <v>16.12</v>
      </c>
      <c r="H316" s="3">
        <f>SUMIFS('PowerApp_Physical count'!H:H,'PowerApp_Physical count'!B:B,' General Stock Summary View  '!$G$2,'PowerApp_Physical count'!C:C,' General Stock Summary View  '!C316,'PowerApp_Physical count'!A:A,' General Stock Summary View  '!B316)</f>
        <v>16.059999999999999</v>
      </c>
      <c r="I316" s="154">
        <f t="shared" si="55"/>
        <v>-6.0000000000002274E-2</v>
      </c>
      <c r="J316" s="11">
        <f>SUMIFS('XBS '!T:T,'XBS '!H:H,' General Stock Summary View  '!$J$2,'XBS '!L:L,' General Stock Summary View  '!B316,'XBS '!C:C,' General Stock Summary View  '!C316)</f>
        <v>0</v>
      </c>
      <c r="K316" s="157">
        <f>SUMIFS('PowerApp_Physical count'!H:H,'PowerApp_Physical count'!B:B,' General Stock Summary View  '!$J$2,'PowerApp_Physical count'!C:C,' General Stock Summary View  '!C316,'PowerApp_Physical count'!A:A,' General Stock Summary View  '!B316)</f>
        <v>0</v>
      </c>
      <c r="L316" s="127">
        <f t="shared" si="44"/>
        <v>0</v>
      </c>
      <c r="M316" s="126">
        <f t="shared" si="45"/>
        <v>16.12</v>
      </c>
      <c r="N316" s="11">
        <f t="shared" si="46"/>
        <v>16.059999999999999</v>
      </c>
      <c r="O316" s="144">
        <f t="shared" si="47"/>
        <v>-6.0000000000002274E-2</v>
      </c>
      <c r="P316" s="2">
        <f>SUMIFS('XBS '!T:T,'XBS '!H:H,' General Stock Summary View  '!$P$2,'XBS '!L:L,' General Stock Summary View  '!B316,'XBS '!C:C,' General Stock Summary View  '!C316)</f>
        <v>0</v>
      </c>
      <c r="Q316" s="3">
        <f>SUMIFS('PowerApp_Physical count'!H:H,'PowerApp_Physical count'!B:B,' General Stock Summary View  '!$P$2,'PowerApp_Physical count'!C:C,' General Stock Summary View  '!C316,'PowerApp_Physical count'!A:A,' General Stock Summary View  '!B316)</f>
        <v>0</v>
      </c>
      <c r="R316" s="4">
        <f t="shared" si="48"/>
        <v>0</v>
      </c>
      <c r="S316" s="5">
        <f>SUMIFS('XBS '!T:T,'XBS '!L:L,' General Stock Summary View  '!B316,'XBS '!H:H,' General Stock Summary View  '!$S$2,'XBS '!C:C,' General Stock Summary View  '!C316)</f>
        <v>0</v>
      </c>
      <c r="T316" s="3">
        <f>SUMIFS('PowerApp_Physical count'!H:H,'PowerApp_Physical count'!B:B,' General Stock Summary View  '!$S$2,'PowerApp_Physical count'!C:C,' General Stock Summary View  '!C316,'PowerApp_Physical count'!A:A,' General Stock Summary View  '!B316)</f>
        <v>0</v>
      </c>
      <c r="U316" s="4">
        <f t="shared" si="49"/>
        <v>0</v>
      </c>
      <c r="V316" s="2">
        <f>SUMIFS('XBS '!T:T,'XBS '!H:H,' General Stock Summary View  '!$V$2,'XBS '!B:B,' General Stock Summary View  '!C316,'XBS '!L:L,' General Stock Summary View  '!B316)</f>
        <v>0</v>
      </c>
      <c r="W316" s="3">
        <f>SUMIFS('PowerApp_Physical count'!H:H,'PowerApp_Physical count'!B:B,' General Stock Summary View  '!$V$2,'PowerApp_Physical count'!C:C,' General Stock Summary View  '!C316,'PowerApp_Physical count'!A:A,' General Stock Summary View  '!B316)</f>
        <v>0</v>
      </c>
      <c r="X316" s="4">
        <f t="shared" si="50"/>
        <v>0</v>
      </c>
      <c r="Y316" s="5">
        <f>SUMIFS('XBS '!T:T,'XBS '!H:H,' General Stock Summary View  '!$Y$2,'XBS '!B:B,' General Stock Summary View  '!C316,'XBS '!L:L,' General Stock Summary View  '!B316)</f>
        <v>0</v>
      </c>
      <c r="Z316" s="3">
        <f>SUMIFS('PowerApp_Physical count'!H:H,'PowerApp_Physical count'!B:B,' General Stock Summary View  '!$Y$2,'PowerApp_Physical count'!C:C,' General Stock Summary View  '!C316,'PowerApp_Physical count'!A:A,' General Stock Summary View  '!B316)</f>
        <v>0</v>
      </c>
      <c r="AA316" s="4">
        <f t="shared" si="51"/>
        <v>0</v>
      </c>
      <c r="AB316" s="5">
        <f>SUMIFS('XBS '!T:T,'XBS '!H:H,' General Stock Summary View  '!$AB$2,'XBS '!B:B,' General Stock Summary View  '!C316,'XBS '!L:L,' General Stock Summary View  '!B316)</f>
        <v>0</v>
      </c>
      <c r="AC316" s="3">
        <f>SUMIFS('PowerApp_Physical count'!H:H,'PowerApp_Physical count'!B:B,' General Stock Summary View  '!$AB$2,'PowerApp_Physical count'!C:C,' General Stock Summary View  '!C316,'PowerApp_Physical count'!A:A,' General Stock Summary View  '!B316)</f>
        <v>0</v>
      </c>
      <c r="AD316" s="6">
        <f t="shared" si="52"/>
        <v>0</v>
      </c>
      <c r="AE316" s="7">
        <f t="shared" si="53"/>
        <v>16.059999999999999</v>
      </c>
      <c r="AF316" s="8">
        <f t="shared" si="54"/>
        <v>-6.0000000000002274E-2</v>
      </c>
      <c r="AG316" s="112"/>
    </row>
    <row r="317" spans="2:33" s="113" customFormat="1" ht="61.15">
      <c r="B317" s="117" t="s">
        <v>322</v>
      </c>
      <c r="C317" s="111" t="s">
        <v>314</v>
      </c>
      <c r="D317" s="11">
        <f>SUMIFS('XBS '!T:T,'XBS '!C:C,' General Stock Summary View  '!C317,'XBS '!L:L,' General Stock Summary View  '!B317)</f>
        <v>5.28</v>
      </c>
      <c r="E317" s="2">
        <f>SUMIFS('Blocked for Processing'!P:P,'Blocked for Processing'!I:I,' General Stock Summary View  '!B317,'Blocked for Processing'!C:C,' General Stock Summary View  '!C317)</f>
        <v>0</v>
      </c>
      <c r="F317" s="122">
        <f t="shared" si="43"/>
        <v>5.28</v>
      </c>
      <c r="G317" s="148">
        <f>SUMIFS('XBS '!T:T,'XBS '!H:H,' General Stock Summary View  '!$G$2,'XBS '!L:L,' General Stock Summary View  '!B317,'XBS '!C:C,' General Stock Summary View  '!C317)</f>
        <v>5.28</v>
      </c>
      <c r="H317" s="3">
        <f>SUMIFS('PowerApp_Physical count'!H:H,'PowerApp_Physical count'!B:B,' General Stock Summary View  '!$G$2,'PowerApp_Physical count'!C:C,' General Stock Summary View  '!C317,'PowerApp_Physical count'!A:A,' General Stock Summary View  '!B317)</f>
        <v>5.3</v>
      </c>
      <c r="I317" s="154">
        <f t="shared" si="55"/>
        <v>1.9999999999999574E-2</v>
      </c>
      <c r="J317" s="11">
        <f>SUMIFS('XBS '!T:T,'XBS '!H:H,' General Stock Summary View  '!$J$2,'XBS '!L:L,' General Stock Summary View  '!B317,'XBS '!C:C,' General Stock Summary View  '!C317)</f>
        <v>0</v>
      </c>
      <c r="K317" s="157">
        <f>SUMIFS('PowerApp_Physical count'!H:H,'PowerApp_Physical count'!B:B,' General Stock Summary View  '!$J$2,'PowerApp_Physical count'!C:C,' General Stock Summary View  '!C317,'PowerApp_Physical count'!A:A,' General Stock Summary View  '!B317)</f>
        <v>0</v>
      </c>
      <c r="L317" s="127">
        <f t="shared" si="44"/>
        <v>0</v>
      </c>
      <c r="M317" s="126">
        <f t="shared" si="45"/>
        <v>5.28</v>
      </c>
      <c r="N317" s="11">
        <f t="shared" si="46"/>
        <v>5.3</v>
      </c>
      <c r="O317" s="144">
        <f t="shared" si="47"/>
        <v>1.9999999999999574E-2</v>
      </c>
      <c r="P317" s="2">
        <f>SUMIFS('XBS '!T:T,'XBS '!H:H,' General Stock Summary View  '!$P$2,'XBS '!L:L,' General Stock Summary View  '!B317,'XBS '!C:C,' General Stock Summary View  '!C317)</f>
        <v>0</v>
      </c>
      <c r="Q317" s="3">
        <f>SUMIFS('PowerApp_Physical count'!H:H,'PowerApp_Physical count'!B:B,' General Stock Summary View  '!$P$2,'PowerApp_Physical count'!C:C,' General Stock Summary View  '!C317,'PowerApp_Physical count'!A:A,' General Stock Summary View  '!B317)</f>
        <v>0</v>
      </c>
      <c r="R317" s="4">
        <f t="shared" si="48"/>
        <v>0</v>
      </c>
      <c r="S317" s="5">
        <f>SUMIFS('XBS '!T:T,'XBS '!L:L,' General Stock Summary View  '!B317,'XBS '!H:H,' General Stock Summary View  '!$S$2,'XBS '!C:C,' General Stock Summary View  '!C317)</f>
        <v>0</v>
      </c>
      <c r="T317" s="3">
        <f>SUMIFS('PowerApp_Physical count'!H:H,'PowerApp_Physical count'!B:B,' General Stock Summary View  '!$S$2,'PowerApp_Physical count'!C:C,' General Stock Summary View  '!C317,'PowerApp_Physical count'!A:A,' General Stock Summary View  '!B317)</f>
        <v>0</v>
      </c>
      <c r="U317" s="4">
        <f t="shared" si="49"/>
        <v>0</v>
      </c>
      <c r="V317" s="2">
        <f>SUMIFS('XBS '!T:T,'XBS '!H:H,' General Stock Summary View  '!$V$2,'XBS '!B:B,' General Stock Summary View  '!C317,'XBS '!L:L,' General Stock Summary View  '!B317)</f>
        <v>0</v>
      </c>
      <c r="W317" s="3">
        <f>SUMIFS('PowerApp_Physical count'!H:H,'PowerApp_Physical count'!B:B,' General Stock Summary View  '!$V$2,'PowerApp_Physical count'!C:C,' General Stock Summary View  '!C317,'PowerApp_Physical count'!A:A,' General Stock Summary View  '!B317)</f>
        <v>0</v>
      </c>
      <c r="X317" s="4">
        <f t="shared" si="50"/>
        <v>0</v>
      </c>
      <c r="Y317" s="5">
        <f>SUMIFS('XBS '!T:T,'XBS '!H:H,' General Stock Summary View  '!$Y$2,'XBS '!B:B,' General Stock Summary View  '!C317,'XBS '!L:L,' General Stock Summary View  '!B317)</f>
        <v>0</v>
      </c>
      <c r="Z317" s="3">
        <f>SUMIFS('PowerApp_Physical count'!H:H,'PowerApp_Physical count'!B:B,' General Stock Summary View  '!$Y$2,'PowerApp_Physical count'!C:C,' General Stock Summary View  '!C317,'PowerApp_Physical count'!A:A,' General Stock Summary View  '!B317)</f>
        <v>0</v>
      </c>
      <c r="AA317" s="4">
        <f t="shared" si="51"/>
        <v>0</v>
      </c>
      <c r="AB317" s="5">
        <f>SUMIFS('XBS '!T:T,'XBS '!H:H,' General Stock Summary View  '!$AB$2,'XBS '!B:B,' General Stock Summary View  '!C317,'XBS '!L:L,' General Stock Summary View  '!B317)</f>
        <v>0</v>
      </c>
      <c r="AC317" s="3">
        <f>SUMIFS('PowerApp_Physical count'!H:H,'PowerApp_Physical count'!B:B,' General Stock Summary View  '!$AB$2,'PowerApp_Physical count'!C:C,' General Stock Summary View  '!C317,'PowerApp_Physical count'!A:A,' General Stock Summary View  '!B317)</f>
        <v>0</v>
      </c>
      <c r="AD317" s="6">
        <f t="shared" si="52"/>
        <v>0</v>
      </c>
      <c r="AE317" s="7">
        <f t="shared" si="53"/>
        <v>5.3</v>
      </c>
      <c r="AF317" s="8">
        <f t="shared" si="54"/>
        <v>1.9999999999999574E-2</v>
      </c>
      <c r="AG317" s="112"/>
    </row>
    <row r="318" spans="2:33" s="113" customFormat="1" ht="61.15">
      <c r="B318" s="117" t="s">
        <v>323</v>
      </c>
      <c r="C318" s="111" t="s">
        <v>314</v>
      </c>
      <c r="D318" s="11">
        <f>SUMIFS('XBS '!T:T,'XBS '!C:C,' General Stock Summary View  '!C318,'XBS '!L:L,' General Stock Summary View  '!B318)</f>
        <v>2.16</v>
      </c>
      <c r="E318" s="2">
        <f>SUMIFS('Blocked for Processing'!P:P,'Blocked for Processing'!I:I,' General Stock Summary View  '!B318,'Blocked for Processing'!C:C,' General Stock Summary View  '!C318)</f>
        <v>0</v>
      </c>
      <c r="F318" s="122">
        <f t="shared" si="43"/>
        <v>2.16</v>
      </c>
      <c r="G318" s="148">
        <f>SUMIFS('XBS '!T:T,'XBS '!H:H,' General Stock Summary View  '!$G$2,'XBS '!L:L,' General Stock Summary View  '!B318,'XBS '!C:C,' General Stock Summary View  '!C318)</f>
        <v>2.16</v>
      </c>
      <c r="H318" s="3">
        <f>SUMIFS('PowerApp_Physical count'!H:H,'PowerApp_Physical count'!B:B,' General Stock Summary View  '!$G$2,'PowerApp_Physical count'!C:C,' General Stock Summary View  '!C318,'PowerApp_Physical count'!A:A,' General Stock Summary View  '!B318)</f>
        <v>2.16</v>
      </c>
      <c r="I318" s="154">
        <f t="shared" si="55"/>
        <v>0</v>
      </c>
      <c r="J318" s="11">
        <f>SUMIFS('XBS '!T:T,'XBS '!H:H,' General Stock Summary View  '!$J$2,'XBS '!L:L,' General Stock Summary View  '!B318,'XBS '!C:C,' General Stock Summary View  '!C318)</f>
        <v>0</v>
      </c>
      <c r="K318" s="157">
        <f>SUMIFS('PowerApp_Physical count'!H:H,'PowerApp_Physical count'!B:B,' General Stock Summary View  '!$J$2,'PowerApp_Physical count'!C:C,' General Stock Summary View  '!C318,'PowerApp_Physical count'!A:A,' General Stock Summary View  '!B318)</f>
        <v>0</v>
      </c>
      <c r="L318" s="127">
        <f t="shared" si="44"/>
        <v>0</v>
      </c>
      <c r="M318" s="126">
        <f t="shared" si="45"/>
        <v>2.16</v>
      </c>
      <c r="N318" s="11">
        <f t="shared" si="46"/>
        <v>2.16</v>
      </c>
      <c r="O318" s="144">
        <f t="shared" si="47"/>
        <v>0</v>
      </c>
      <c r="P318" s="2">
        <f>SUMIFS('XBS '!T:T,'XBS '!H:H,' General Stock Summary View  '!$P$2,'XBS '!L:L,' General Stock Summary View  '!B318,'XBS '!C:C,' General Stock Summary View  '!C318)</f>
        <v>0</v>
      </c>
      <c r="Q318" s="3">
        <f>SUMIFS('PowerApp_Physical count'!H:H,'PowerApp_Physical count'!B:B,' General Stock Summary View  '!$P$2,'PowerApp_Physical count'!C:C,' General Stock Summary View  '!C318,'PowerApp_Physical count'!A:A,' General Stock Summary View  '!B318)</f>
        <v>0</v>
      </c>
      <c r="R318" s="4">
        <f t="shared" si="48"/>
        <v>0</v>
      </c>
      <c r="S318" s="5">
        <f>SUMIFS('XBS '!T:T,'XBS '!L:L,' General Stock Summary View  '!B318,'XBS '!H:H,' General Stock Summary View  '!$S$2,'XBS '!C:C,' General Stock Summary View  '!C318)</f>
        <v>0</v>
      </c>
      <c r="T318" s="3">
        <f>SUMIFS('PowerApp_Physical count'!H:H,'PowerApp_Physical count'!B:B,' General Stock Summary View  '!$S$2,'PowerApp_Physical count'!C:C,' General Stock Summary View  '!C318,'PowerApp_Physical count'!A:A,' General Stock Summary View  '!B318)</f>
        <v>0</v>
      </c>
      <c r="U318" s="4">
        <f t="shared" si="49"/>
        <v>0</v>
      </c>
      <c r="V318" s="2">
        <f>SUMIFS('XBS '!T:T,'XBS '!H:H,' General Stock Summary View  '!$V$2,'XBS '!B:B,' General Stock Summary View  '!C318,'XBS '!L:L,' General Stock Summary View  '!B318)</f>
        <v>0</v>
      </c>
      <c r="W318" s="3">
        <f>SUMIFS('PowerApp_Physical count'!H:H,'PowerApp_Physical count'!B:B,' General Stock Summary View  '!$V$2,'PowerApp_Physical count'!C:C,' General Stock Summary View  '!C318,'PowerApp_Physical count'!A:A,' General Stock Summary View  '!B318)</f>
        <v>0</v>
      </c>
      <c r="X318" s="4">
        <f t="shared" si="50"/>
        <v>0</v>
      </c>
      <c r="Y318" s="5">
        <f>SUMIFS('XBS '!T:T,'XBS '!H:H,' General Stock Summary View  '!$Y$2,'XBS '!B:B,' General Stock Summary View  '!C318,'XBS '!L:L,' General Stock Summary View  '!B318)</f>
        <v>0</v>
      </c>
      <c r="Z318" s="3">
        <f>SUMIFS('PowerApp_Physical count'!H:H,'PowerApp_Physical count'!B:B,' General Stock Summary View  '!$Y$2,'PowerApp_Physical count'!C:C,' General Stock Summary View  '!C318,'PowerApp_Physical count'!A:A,' General Stock Summary View  '!B318)</f>
        <v>0</v>
      </c>
      <c r="AA318" s="4">
        <f t="shared" si="51"/>
        <v>0</v>
      </c>
      <c r="AB318" s="5">
        <f>SUMIFS('XBS '!T:T,'XBS '!H:H,' General Stock Summary View  '!$AB$2,'XBS '!B:B,' General Stock Summary View  '!C318,'XBS '!L:L,' General Stock Summary View  '!B318)</f>
        <v>0</v>
      </c>
      <c r="AC318" s="3">
        <f>SUMIFS('PowerApp_Physical count'!H:H,'PowerApp_Physical count'!B:B,' General Stock Summary View  '!$AB$2,'PowerApp_Physical count'!C:C,' General Stock Summary View  '!C318,'PowerApp_Physical count'!A:A,' General Stock Summary View  '!B318)</f>
        <v>0</v>
      </c>
      <c r="AD318" s="6">
        <f t="shared" si="52"/>
        <v>0</v>
      </c>
      <c r="AE318" s="7">
        <f t="shared" si="53"/>
        <v>2.16</v>
      </c>
      <c r="AF318" s="8">
        <f t="shared" si="54"/>
        <v>0</v>
      </c>
      <c r="AG318" s="112"/>
    </row>
    <row r="319" spans="2:33" s="113" customFormat="1" ht="61.15">
      <c r="B319" s="117" t="s">
        <v>324</v>
      </c>
      <c r="C319" s="111" t="s">
        <v>314</v>
      </c>
      <c r="D319" s="11">
        <f>SUMIFS('XBS '!T:T,'XBS '!C:C,' General Stock Summary View  '!C319,'XBS '!L:L,' General Stock Summary View  '!B319)</f>
        <v>15.04</v>
      </c>
      <c r="E319" s="2">
        <f>SUMIFS('Blocked for Processing'!P:P,'Blocked for Processing'!I:I,' General Stock Summary View  '!B319,'Blocked for Processing'!C:C,' General Stock Summary View  '!C319)</f>
        <v>0</v>
      </c>
      <c r="F319" s="122">
        <f t="shared" si="43"/>
        <v>15.04</v>
      </c>
      <c r="G319" s="148">
        <f>SUMIFS('XBS '!T:T,'XBS '!H:H,' General Stock Summary View  '!$G$2,'XBS '!L:L,' General Stock Summary View  '!B319,'XBS '!C:C,' General Stock Summary View  '!C319)</f>
        <v>15.04</v>
      </c>
      <c r="H319" s="3">
        <f>SUMIFS('PowerApp_Physical count'!H:H,'PowerApp_Physical count'!B:B,' General Stock Summary View  '!$G$2,'PowerApp_Physical count'!C:C,' General Stock Summary View  '!C319,'PowerApp_Physical count'!A:A,' General Stock Summary View  '!B319)</f>
        <v>15.04</v>
      </c>
      <c r="I319" s="154">
        <f t="shared" si="55"/>
        <v>0</v>
      </c>
      <c r="J319" s="11">
        <f>SUMIFS('XBS '!T:T,'XBS '!H:H,' General Stock Summary View  '!$J$2,'XBS '!L:L,' General Stock Summary View  '!B319,'XBS '!C:C,' General Stock Summary View  '!C319)</f>
        <v>0</v>
      </c>
      <c r="K319" s="157">
        <f>SUMIFS('PowerApp_Physical count'!H:H,'PowerApp_Physical count'!B:B,' General Stock Summary View  '!$J$2,'PowerApp_Physical count'!C:C,' General Stock Summary View  '!C319,'PowerApp_Physical count'!A:A,' General Stock Summary View  '!B319)</f>
        <v>0</v>
      </c>
      <c r="L319" s="127">
        <f t="shared" si="44"/>
        <v>0</v>
      </c>
      <c r="M319" s="126">
        <f t="shared" si="45"/>
        <v>15.04</v>
      </c>
      <c r="N319" s="11">
        <f t="shared" si="46"/>
        <v>15.04</v>
      </c>
      <c r="O319" s="144">
        <f t="shared" si="47"/>
        <v>0</v>
      </c>
      <c r="P319" s="2">
        <f>SUMIFS('XBS '!T:T,'XBS '!H:H,' General Stock Summary View  '!$P$2,'XBS '!L:L,' General Stock Summary View  '!B319,'XBS '!C:C,' General Stock Summary View  '!C319)</f>
        <v>0</v>
      </c>
      <c r="Q319" s="3">
        <f>SUMIFS('PowerApp_Physical count'!H:H,'PowerApp_Physical count'!B:B,' General Stock Summary View  '!$P$2,'PowerApp_Physical count'!C:C,' General Stock Summary View  '!C319,'PowerApp_Physical count'!A:A,' General Stock Summary View  '!B319)</f>
        <v>0</v>
      </c>
      <c r="R319" s="4">
        <f t="shared" si="48"/>
        <v>0</v>
      </c>
      <c r="S319" s="5">
        <f>SUMIFS('XBS '!T:T,'XBS '!L:L,' General Stock Summary View  '!B319,'XBS '!H:H,' General Stock Summary View  '!$S$2,'XBS '!C:C,' General Stock Summary View  '!C319)</f>
        <v>0</v>
      </c>
      <c r="T319" s="3">
        <f>SUMIFS('PowerApp_Physical count'!H:H,'PowerApp_Physical count'!B:B,' General Stock Summary View  '!$S$2,'PowerApp_Physical count'!C:C,' General Stock Summary View  '!C319,'PowerApp_Physical count'!A:A,' General Stock Summary View  '!B319)</f>
        <v>0</v>
      </c>
      <c r="U319" s="4">
        <f t="shared" si="49"/>
        <v>0</v>
      </c>
      <c r="V319" s="2">
        <f>SUMIFS('XBS '!T:T,'XBS '!H:H,' General Stock Summary View  '!$V$2,'XBS '!B:B,' General Stock Summary View  '!C319,'XBS '!L:L,' General Stock Summary View  '!B319)</f>
        <v>0</v>
      </c>
      <c r="W319" s="3">
        <f>SUMIFS('PowerApp_Physical count'!H:H,'PowerApp_Physical count'!B:B,' General Stock Summary View  '!$V$2,'PowerApp_Physical count'!C:C,' General Stock Summary View  '!C319,'PowerApp_Physical count'!A:A,' General Stock Summary View  '!B319)</f>
        <v>0</v>
      </c>
      <c r="X319" s="4">
        <f t="shared" si="50"/>
        <v>0</v>
      </c>
      <c r="Y319" s="5">
        <f>SUMIFS('XBS '!T:T,'XBS '!H:H,' General Stock Summary View  '!$Y$2,'XBS '!B:B,' General Stock Summary View  '!C319,'XBS '!L:L,' General Stock Summary View  '!B319)</f>
        <v>0</v>
      </c>
      <c r="Z319" s="3">
        <f>SUMIFS('PowerApp_Physical count'!H:H,'PowerApp_Physical count'!B:B,' General Stock Summary View  '!$Y$2,'PowerApp_Physical count'!C:C,' General Stock Summary View  '!C319,'PowerApp_Physical count'!A:A,' General Stock Summary View  '!B319)</f>
        <v>0</v>
      </c>
      <c r="AA319" s="4">
        <f t="shared" si="51"/>
        <v>0</v>
      </c>
      <c r="AB319" s="5">
        <f>SUMIFS('XBS '!T:T,'XBS '!H:H,' General Stock Summary View  '!$AB$2,'XBS '!B:B,' General Stock Summary View  '!C319,'XBS '!L:L,' General Stock Summary View  '!B319)</f>
        <v>0</v>
      </c>
      <c r="AC319" s="3">
        <f>SUMIFS('PowerApp_Physical count'!H:H,'PowerApp_Physical count'!B:B,' General Stock Summary View  '!$AB$2,'PowerApp_Physical count'!C:C,' General Stock Summary View  '!C319,'PowerApp_Physical count'!A:A,' General Stock Summary View  '!B319)</f>
        <v>0</v>
      </c>
      <c r="AD319" s="6">
        <f t="shared" si="52"/>
        <v>0</v>
      </c>
      <c r="AE319" s="7">
        <f t="shared" si="53"/>
        <v>15.04</v>
      </c>
      <c r="AF319" s="8">
        <f t="shared" si="54"/>
        <v>0</v>
      </c>
      <c r="AG319" s="112"/>
    </row>
    <row r="320" spans="2:33" s="113" customFormat="1" ht="61.15">
      <c r="B320" s="117" t="s">
        <v>325</v>
      </c>
      <c r="C320" s="111" t="s">
        <v>314</v>
      </c>
      <c r="D320" s="11">
        <f>SUMIFS('XBS '!T:T,'XBS '!C:C,' General Stock Summary View  '!C320,'XBS '!L:L,' General Stock Summary View  '!B320)</f>
        <v>16.059999999999999</v>
      </c>
      <c r="E320" s="2">
        <f>SUMIFS('Blocked for Processing'!P:P,'Blocked for Processing'!I:I,' General Stock Summary View  '!B320,'Blocked for Processing'!C:C,' General Stock Summary View  '!C320)</f>
        <v>0</v>
      </c>
      <c r="F320" s="122">
        <f t="shared" si="43"/>
        <v>16.059999999999999</v>
      </c>
      <c r="G320" s="148">
        <f>SUMIFS('XBS '!T:T,'XBS '!H:H,' General Stock Summary View  '!$G$2,'XBS '!L:L,' General Stock Summary View  '!B320,'XBS '!C:C,' General Stock Summary View  '!C320)</f>
        <v>16.059999999999999</v>
      </c>
      <c r="H320" s="3">
        <f>SUMIFS('PowerApp_Physical count'!H:H,'PowerApp_Physical count'!B:B,' General Stock Summary View  '!$G$2,'PowerApp_Physical count'!C:C,' General Stock Summary View  '!C320,'PowerApp_Physical count'!A:A,' General Stock Summary View  '!B320)</f>
        <v>16.059999999999999</v>
      </c>
      <c r="I320" s="154">
        <f t="shared" si="55"/>
        <v>0</v>
      </c>
      <c r="J320" s="11">
        <f>SUMIFS('XBS '!T:T,'XBS '!H:H,' General Stock Summary View  '!$J$2,'XBS '!L:L,' General Stock Summary View  '!B320,'XBS '!C:C,' General Stock Summary View  '!C320)</f>
        <v>0</v>
      </c>
      <c r="K320" s="157">
        <f>SUMIFS('PowerApp_Physical count'!H:H,'PowerApp_Physical count'!B:B,' General Stock Summary View  '!$J$2,'PowerApp_Physical count'!C:C,' General Stock Summary View  '!C320,'PowerApp_Physical count'!A:A,' General Stock Summary View  '!B320)</f>
        <v>0</v>
      </c>
      <c r="L320" s="127">
        <f t="shared" si="44"/>
        <v>0</v>
      </c>
      <c r="M320" s="126">
        <f t="shared" si="45"/>
        <v>16.059999999999999</v>
      </c>
      <c r="N320" s="11">
        <f t="shared" si="46"/>
        <v>16.059999999999999</v>
      </c>
      <c r="O320" s="144">
        <f t="shared" si="47"/>
        <v>0</v>
      </c>
      <c r="P320" s="2">
        <f>SUMIFS('XBS '!T:T,'XBS '!H:H,' General Stock Summary View  '!$P$2,'XBS '!L:L,' General Stock Summary View  '!B320,'XBS '!C:C,' General Stock Summary View  '!C320)</f>
        <v>0</v>
      </c>
      <c r="Q320" s="3">
        <f>SUMIFS('PowerApp_Physical count'!H:H,'PowerApp_Physical count'!B:B,' General Stock Summary View  '!$P$2,'PowerApp_Physical count'!C:C,' General Stock Summary View  '!C320,'PowerApp_Physical count'!A:A,' General Stock Summary View  '!B320)</f>
        <v>0</v>
      </c>
      <c r="R320" s="4">
        <f t="shared" si="48"/>
        <v>0</v>
      </c>
      <c r="S320" s="5">
        <f>SUMIFS('XBS '!T:T,'XBS '!L:L,' General Stock Summary View  '!B320,'XBS '!H:H,' General Stock Summary View  '!$S$2,'XBS '!C:C,' General Stock Summary View  '!C320)</f>
        <v>0</v>
      </c>
      <c r="T320" s="3">
        <f>SUMIFS('PowerApp_Physical count'!H:H,'PowerApp_Physical count'!B:B,' General Stock Summary View  '!$S$2,'PowerApp_Physical count'!C:C,' General Stock Summary View  '!C320,'PowerApp_Physical count'!A:A,' General Stock Summary View  '!B320)</f>
        <v>0</v>
      </c>
      <c r="U320" s="4">
        <f t="shared" si="49"/>
        <v>0</v>
      </c>
      <c r="V320" s="2">
        <f>SUMIFS('XBS '!T:T,'XBS '!H:H,' General Stock Summary View  '!$V$2,'XBS '!B:B,' General Stock Summary View  '!C320,'XBS '!L:L,' General Stock Summary View  '!B320)</f>
        <v>0</v>
      </c>
      <c r="W320" s="3">
        <f>SUMIFS('PowerApp_Physical count'!H:H,'PowerApp_Physical count'!B:B,' General Stock Summary View  '!$V$2,'PowerApp_Physical count'!C:C,' General Stock Summary View  '!C320,'PowerApp_Physical count'!A:A,' General Stock Summary View  '!B320)</f>
        <v>0</v>
      </c>
      <c r="X320" s="4">
        <f t="shared" si="50"/>
        <v>0</v>
      </c>
      <c r="Y320" s="5">
        <f>SUMIFS('XBS '!T:T,'XBS '!H:H,' General Stock Summary View  '!$Y$2,'XBS '!B:B,' General Stock Summary View  '!C320,'XBS '!L:L,' General Stock Summary View  '!B320)</f>
        <v>0</v>
      </c>
      <c r="Z320" s="3">
        <f>SUMIFS('PowerApp_Physical count'!H:H,'PowerApp_Physical count'!B:B,' General Stock Summary View  '!$Y$2,'PowerApp_Physical count'!C:C,' General Stock Summary View  '!C320,'PowerApp_Physical count'!A:A,' General Stock Summary View  '!B320)</f>
        <v>0</v>
      </c>
      <c r="AA320" s="4">
        <f t="shared" si="51"/>
        <v>0</v>
      </c>
      <c r="AB320" s="5">
        <f>SUMIFS('XBS '!T:T,'XBS '!H:H,' General Stock Summary View  '!$AB$2,'XBS '!B:B,' General Stock Summary View  '!C320,'XBS '!L:L,' General Stock Summary View  '!B320)</f>
        <v>0</v>
      </c>
      <c r="AC320" s="3">
        <f>SUMIFS('PowerApp_Physical count'!H:H,'PowerApp_Physical count'!B:B,' General Stock Summary View  '!$AB$2,'PowerApp_Physical count'!C:C,' General Stock Summary View  '!C320,'PowerApp_Physical count'!A:A,' General Stock Summary View  '!B320)</f>
        <v>0</v>
      </c>
      <c r="AD320" s="6">
        <f t="shared" si="52"/>
        <v>0</v>
      </c>
      <c r="AE320" s="7">
        <f t="shared" si="53"/>
        <v>16.059999999999999</v>
      </c>
      <c r="AF320" s="8">
        <f t="shared" si="54"/>
        <v>0</v>
      </c>
      <c r="AG320" s="112"/>
    </row>
    <row r="321" spans="2:33" s="113" customFormat="1" ht="61.15">
      <c r="B321" s="117" t="s">
        <v>157</v>
      </c>
      <c r="C321" s="111" t="s">
        <v>314</v>
      </c>
      <c r="D321" s="11">
        <f>SUMIFS('XBS '!T:T,'XBS '!C:C,' General Stock Summary View  '!C321,'XBS '!L:L,' General Stock Summary View  '!B321)</f>
        <v>11.22</v>
      </c>
      <c r="E321" s="2">
        <f>SUMIFS('Blocked for Processing'!P:P,'Blocked for Processing'!I:I,' General Stock Summary View  '!B321,'Blocked for Processing'!C:C,' General Stock Summary View  '!C321)</f>
        <v>0</v>
      </c>
      <c r="F321" s="122">
        <f t="shared" si="43"/>
        <v>11.22</v>
      </c>
      <c r="G321" s="148">
        <f>SUMIFS('XBS '!T:T,'XBS '!H:H,' General Stock Summary View  '!$G$2,'XBS '!L:L,' General Stock Summary View  '!B321,'XBS '!C:C,' General Stock Summary View  '!C321)</f>
        <v>11.22</v>
      </c>
      <c r="H321" s="3">
        <f>SUMIFS('PowerApp_Physical count'!H:H,'PowerApp_Physical count'!B:B,' General Stock Summary View  '!$G$2,'PowerApp_Physical count'!C:C,' General Stock Summary View  '!C321,'PowerApp_Physical count'!A:A,' General Stock Summary View  '!B321)</f>
        <v>11.22</v>
      </c>
      <c r="I321" s="154">
        <f t="shared" si="55"/>
        <v>0</v>
      </c>
      <c r="J321" s="11">
        <f>SUMIFS('XBS '!T:T,'XBS '!H:H,' General Stock Summary View  '!$J$2,'XBS '!L:L,' General Stock Summary View  '!B321,'XBS '!C:C,' General Stock Summary View  '!C321)</f>
        <v>0</v>
      </c>
      <c r="K321" s="157">
        <f>SUMIFS('PowerApp_Physical count'!H:H,'PowerApp_Physical count'!B:B,' General Stock Summary View  '!$J$2,'PowerApp_Physical count'!C:C,' General Stock Summary View  '!C321,'PowerApp_Physical count'!A:A,' General Stock Summary View  '!B321)</f>
        <v>0</v>
      </c>
      <c r="L321" s="127">
        <f t="shared" si="44"/>
        <v>0</v>
      </c>
      <c r="M321" s="126">
        <f t="shared" si="45"/>
        <v>11.22</v>
      </c>
      <c r="N321" s="11">
        <f t="shared" si="46"/>
        <v>11.22</v>
      </c>
      <c r="O321" s="144">
        <f t="shared" si="47"/>
        <v>0</v>
      </c>
      <c r="P321" s="2">
        <f>SUMIFS('XBS '!T:T,'XBS '!H:H,' General Stock Summary View  '!$P$2,'XBS '!L:L,' General Stock Summary View  '!B321,'XBS '!C:C,' General Stock Summary View  '!C321)</f>
        <v>0</v>
      </c>
      <c r="Q321" s="3">
        <f>SUMIFS('PowerApp_Physical count'!H:H,'PowerApp_Physical count'!B:B,' General Stock Summary View  '!$P$2,'PowerApp_Physical count'!C:C,' General Stock Summary View  '!C321,'PowerApp_Physical count'!A:A,' General Stock Summary View  '!B321)</f>
        <v>0</v>
      </c>
      <c r="R321" s="4">
        <f t="shared" si="48"/>
        <v>0</v>
      </c>
      <c r="S321" s="5">
        <f>SUMIFS('XBS '!T:T,'XBS '!L:L,' General Stock Summary View  '!B321,'XBS '!H:H,' General Stock Summary View  '!$S$2,'XBS '!C:C,' General Stock Summary View  '!C321)</f>
        <v>0</v>
      </c>
      <c r="T321" s="3">
        <f>SUMIFS('PowerApp_Physical count'!H:H,'PowerApp_Physical count'!B:B,' General Stock Summary View  '!$S$2,'PowerApp_Physical count'!C:C,' General Stock Summary View  '!C321,'PowerApp_Physical count'!A:A,' General Stock Summary View  '!B321)</f>
        <v>0</v>
      </c>
      <c r="U321" s="4">
        <f t="shared" si="49"/>
        <v>0</v>
      </c>
      <c r="V321" s="2">
        <f>SUMIFS('XBS '!T:T,'XBS '!H:H,' General Stock Summary View  '!$V$2,'XBS '!B:B,' General Stock Summary View  '!C321,'XBS '!L:L,' General Stock Summary View  '!B321)</f>
        <v>0</v>
      </c>
      <c r="W321" s="3">
        <f>SUMIFS('PowerApp_Physical count'!H:H,'PowerApp_Physical count'!B:B,' General Stock Summary View  '!$V$2,'PowerApp_Physical count'!C:C,' General Stock Summary View  '!C321,'PowerApp_Physical count'!A:A,' General Stock Summary View  '!B321)</f>
        <v>0</v>
      </c>
      <c r="X321" s="4">
        <f t="shared" si="50"/>
        <v>0</v>
      </c>
      <c r="Y321" s="5">
        <f>SUMIFS('XBS '!T:T,'XBS '!H:H,' General Stock Summary View  '!$Y$2,'XBS '!B:B,' General Stock Summary View  '!C321,'XBS '!L:L,' General Stock Summary View  '!B321)</f>
        <v>0</v>
      </c>
      <c r="Z321" s="3">
        <f>SUMIFS('PowerApp_Physical count'!H:H,'PowerApp_Physical count'!B:B,' General Stock Summary View  '!$Y$2,'PowerApp_Physical count'!C:C,' General Stock Summary View  '!C321,'PowerApp_Physical count'!A:A,' General Stock Summary View  '!B321)</f>
        <v>0</v>
      </c>
      <c r="AA321" s="4">
        <f t="shared" si="51"/>
        <v>0</v>
      </c>
      <c r="AB321" s="5">
        <f>SUMIFS('XBS '!T:T,'XBS '!H:H,' General Stock Summary View  '!$AB$2,'XBS '!B:B,' General Stock Summary View  '!C321,'XBS '!L:L,' General Stock Summary View  '!B321)</f>
        <v>0</v>
      </c>
      <c r="AC321" s="3">
        <f>SUMIFS('PowerApp_Physical count'!H:H,'PowerApp_Physical count'!B:B,' General Stock Summary View  '!$AB$2,'PowerApp_Physical count'!C:C,' General Stock Summary View  '!C321,'PowerApp_Physical count'!A:A,' General Stock Summary View  '!B321)</f>
        <v>0</v>
      </c>
      <c r="AD321" s="6">
        <f t="shared" si="52"/>
        <v>0</v>
      </c>
      <c r="AE321" s="7">
        <f t="shared" si="53"/>
        <v>11.22</v>
      </c>
      <c r="AF321" s="8">
        <f t="shared" si="54"/>
        <v>0</v>
      </c>
      <c r="AG321" s="112"/>
    </row>
    <row r="322" spans="2:33" s="113" customFormat="1" ht="61.15">
      <c r="B322" s="117" t="s">
        <v>155</v>
      </c>
      <c r="C322" s="111" t="s">
        <v>314</v>
      </c>
      <c r="D322" s="11">
        <f>SUMIFS('XBS '!T:T,'XBS '!C:C,' General Stock Summary View  '!C322,'XBS '!L:L,' General Stock Summary View  '!B322)</f>
        <v>28.42</v>
      </c>
      <c r="E322" s="2">
        <f>SUMIFS('Blocked for Processing'!P:P,'Blocked for Processing'!I:I,' General Stock Summary View  '!B322,'Blocked for Processing'!C:C,' General Stock Summary View  '!C322)</f>
        <v>0</v>
      </c>
      <c r="F322" s="122">
        <f t="shared" si="43"/>
        <v>28.42</v>
      </c>
      <c r="G322" s="148">
        <f>SUMIFS('XBS '!T:T,'XBS '!H:H,' General Stock Summary View  '!$G$2,'XBS '!L:L,' General Stock Summary View  '!B322,'XBS '!C:C,' General Stock Summary View  '!C322)</f>
        <v>28.42</v>
      </c>
      <c r="H322" s="3">
        <f>SUMIFS('PowerApp_Physical count'!H:H,'PowerApp_Physical count'!B:B,' General Stock Summary View  '!$G$2,'PowerApp_Physical count'!C:C,' General Stock Summary View  '!C322,'PowerApp_Physical count'!A:A,' General Stock Summary View  '!B322)</f>
        <v>28.42</v>
      </c>
      <c r="I322" s="154">
        <f t="shared" si="55"/>
        <v>0</v>
      </c>
      <c r="J322" s="11">
        <f>SUMIFS('XBS '!T:T,'XBS '!H:H,' General Stock Summary View  '!$J$2,'XBS '!L:L,' General Stock Summary View  '!B322,'XBS '!C:C,' General Stock Summary View  '!C322)</f>
        <v>0</v>
      </c>
      <c r="K322" s="157">
        <f>SUMIFS('PowerApp_Physical count'!H:H,'PowerApp_Physical count'!B:B,' General Stock Summary View  '!$J$2,'PowerApp_Physical count'!C:C,' General Stock Summary View  '!C322,'PowerApp_Physical count'!A:A,' General Stock Summary View  '!B322)</f>
        <v>0</v>
      </c>
      <c r="L322" s="127">
        <f t="shared" si="44"/>
        <v>0</v>
      </c>
      <c r="M322" s="126">
        <f t="shared" si="45"/>
        <v>28.42</v>
      </c>
      <c r="N322" s="11">
        <f t="shared" si="46"/>
        <v>28.42</v>
      </c>
      <c r="O322" s="144">
        <f t="shared" si="47"/>
        <v>0</v>
      </c>
      <c r="P322" s="2">
        <f>SUMIFS('XBS '!T:T,'XBS '!H:H,' General Stock Summary View  '!$P$2,'XBS '!L:L,' General Stock Summary View  '!B322,'XBS '!C:C,' General Stock Summary View  '!C322)</f>
        <v>0</v>
      </c>
      <c r="Q322" s="3">
        <f>SUMIFS('PowerApp_Physical count'!H:H,'PowerApp_Physical count'!B:B,' General Stock Summary View  '!$P$2,'PowerApp_Physical count'!C:C,' General Stock Summary View  '!C322,'PowerApp_Physical count'!A:A,' General Stock Summary View  '!B322)</f>
        <v>0</v>
      </c>
      <c r="R322" s="4">
        <f t="shared" si="48"/>
        <v>0</v>
      </c>
      <c r="S322" s="5">
        <f>SUMIFS('XBS '!T:T,'XBS '!L:L,' General Stock Summary View  '!B322,'XBS '!H:H,' General Stock Summary View  '!$S$2,'XBS '!C:C,' General Stock Summary View  '!C322)</f>
        <v>0</v>
      </c>
      <c r="T322" s="3">
        <f>SUMIFS('PowerApp_Physical count'!H:H,'PowerApp_Physical count'!B:B,' General Stock Summary View  '!$S$2,'PowerApp_Physical count'!C:C,' General Stock Summary View  '!C322,'PowerApp_Physical count'!A:A,' General Stock Summary View  '!B322)</f>
        <v>0</v>
      </c>
      <c r="U322" s="4">
        <f t="shared" si="49"/>
        <v>0</v>
      </c>
      <c r="V322" s="2">
        <f>SUMIFS('XBS '!T:T,'XBS '!H:H,' General Stock Summary View  '!$V$2,'XBS '!B:B,' General Stock Summary View  '!C322,'XBS '!L:L,' General Stock Summary View  '!B322)</f>
        <v>0</v>
      </c>
      <c r="W322" s="3">
        <f>SUMIFS('PowerApp_Physical count'!H:H,'PowerApp_Physical count'!B:B,' General Stock Summary View  '!$V$2,'PowerApp_Physical count'!C:C,' General Stock Summary View  '!C322,'PowerApp_Physical count'!A:A,' General Stock Summary View  '!B322)</f>
        <v>0</v>
      </c>
      <c r="X322" s="4">
        <f t="shared" si="50"/>
        <v>0</v>
      </c>
      <c r="Y322" s="5">
        <f>SUMIFS('XBS '!T:T,'XBS '!H:H,' General Stock Summary View  '!$Y$2,'XBS '!B:B,' General Stock Summary View  '!C322,'XBS '!L:L,' General Stock Summary View  '!B322)</f>
        <v>0</v>
      </c>
      <c r="Z322" s="3">
        <f>SUMIFS('PowerApp_Physical count'!H:H,'PowerApp_Physical count'!B:B,' General Stock Summary View  '!$Y$2,'PowerApp_Physical count'!C:C,' General Stock Summary View  '!C322,'PowerApp_Physical count'!A:A,' General Stock Summary View  '!B322)</f>
        <v>0</v>
      </c>
      <c r="AA322" s="4">
        <f t="shared" si="51"/>
        <v>0</v>
      </c>
      <c r="AB322" s="5">
        <f>SUMIFS('XBS '!T:T,'XBS '!H:H,' General Stock Summary View  '!$AB$2,'XBS '!B:B,' General Stock Summary View  '!C322,'XBS '!L:L,' General Stock Summary View  '!B322)</f>
        <v>0</v>
      </c>
      <c r="AC322" s="3">
        <f>SUMIFS('PowerApp_Physical count'!H:H,'PowerApp_Physical count'!B:B,' General Stock Summary View  '!$AB$2,'PowerApp_Physical count'!C:C,' General Stock Summary View  '!C322,'PowerApp_Physical count'!A:A,' General Stock Summary View  '!B322)</f>
        <v>0</v>
      </c>
      <c r="AD322" s="6">
        <f t="shared" si="52"/>
        <v>0</v>
      </c>
      <c r="AE322" s="7">
        <f t="shared" si="53"/>
        <v>28.42</v>
      </c>
      <c r="AF322" s="8">
        <f t="shared" si="54"/>
        <v>0</v>
      </c>
      <c r="AG322" s="112"/>
    </row>
    <row r="323" spans="2:33" s="113" customFormat="1" ht="61.15">
      <c r="B323" s="117" t="s">
        <v>326</v>
      </c>
      <c r="C323" s="111" t="s">
        <v>327</v>
      </c>
      <c r="D323" s="11">
        <f>SUMIFS('XBS '!T:T,'XBS '!C:C,' General Stock Summary View  '!C323,'XBS '!L:L,' General Stock Summary View  '!B323)</f>
        <v>0.48333333333333334</v>
      </c>
      <c r="E323" s="2">
        <f>SUMIFS('Blocked for Processing'!P:P,'Blocked for Processing'!I:I,' General Stock Summary View  '!B323,'Blocked for Processing'!C:C,' General Stock Summary View  '!C323)</f>
        <v>0</v>
      </c>
      <c r="F323" s="122">
        <f t="shared" si="43"/>
        <v>0.48333333333333334</v>
      </c>
      <c r="G323" s="148">
        <f>SUMIFS('XBS '!T:T,'XBS '!H:H,' General Stock Summary View  '!$G$2,'XBS '!L:L,' General Stock Summary View  '!B323,'XBS '!C:C,' General Stock Summary View  '!C323)</f>
        <v>0</v>
      </c>
      <c r="H323" s="3">
        <f>SUMIFS('PowerApp_Physical count'!H:H,'PowerApp_Physical count'!B:B,' General Stock Summary View  '!$G$2,'PowerApp_Physical count'!C:C,' General Stock Summary View  '!C323,'PowerApp_Physical count'!A:A,' General Stock Summary View  '!B323)</f>
        <v>0</v>
      </c>
      <c r="I323" s="154">
        <f t="shared" si="55"/>
        <v>0</v>
      </c>
      <c r="J323" s="11">
        <f>SUMIFS('XBS '!T:T,'XBS '!H:H,' General Stock Summary View  '!$J$2,'XBS '!L:L,' General Stock Summary View  '!B323,'XBS '!C:C,' General Stock Summary View  '!C323)</f>
        <v>0</v>
      </c>
      <c r="K323" s="157">
        <f>SUMIFS('PowerApp_Physical count'!H:H,'PowerApp_Physical count'!B:B,' General Stock Summary View  '!$J$2,'PowerApp_Physical count'!C:C,' General Stock Summary View  '!C323,'PowerApp_Physical count'!A:A,' General Stock Summary View  '!B323)</f>
        <v>0</v>
      </c>
      <c r="L323" s="127">
        <f t="shared" si="44"/>
        <v>0</v>
      </c>
      <c r="M323" s="126">
        <f t="shared" si="45"/>
        <v>0</v>
      </c>
      <c r="N323" s="11">
        <f t="shared" si="46"/>
        <v>0</v>
      </c>
      <c r="O323" s="144">
        <f t="shared" si="47"/>
        <v>0</v>
      </c>
      <c r="P323" s="2">
        <f>SUMIFS('XBS '!T:T,'XBS '!H:H,' General Stock Summary View  '!$P$2,'XBS '!L:L,' General Stock Summary View  '!B323,'XBS '!C:C,' General Stock Summary View  '!C323)</f>
        <v>0.48333333333333334</v>
      </c>
      <c r="Q323" s="3">
        <f>SUMIFS('PowerApp_Physical count'!H:H,'PowerApp_Physical count'!B:B,' General Stock Summary View  '!$P$2,'PowerApp_Physical count'!C:C,' General Stock Summary View  '!C323,'PowerApp_Physical count'!A:A,' General Stock Summary View  '!B323)</f>
        <v>0</v>
      </c>
      <c r="R323" s="4">
        <f t="shared" si="48"/>
        <v>-0.48333333333333334</v>
      </c>
      <c r="S323" s="5">
        <f>SUMIFS('XBS '!T:T,'XBS '!L:L,' General Stock Summary View  '!B323,'XBS '!H:H,' General Stock Summary View  '!$S$2,'XBS '!C:C,' General Stock Summary View  '!C323)</f>
        <v>0</v>
      </c>
      <c r="T323" s="3">
        <f>SUMIFS('PowerApp_Physical count'!H:H,'PowerApp_Physical count'!B:B,' General Stock Summary View  '!$S$2,'PowerApp_Physical count'!C:C,' General Stock Summary View  '!C323,'PowerApp_Physical count'!A:A,' General Stock Summary View  '!B323)</f>
        <v>0</v>
      </c>
      <c r="U323" s="4">
        <f t="shared" si="49"/>
        <v>0</v>
      </c>
      <c r="V323" s="2">
        <f>SUMIFS('XBS '!T:T,'XBS '!H:H,' General Stock Summary View  '!$V$2,'XBS '!B:B,' General Stock Summary View  '!C323,'XBS '!L:L,' General Stock Summary View  '!B323)</f>
        <v>0</v>
      </c>
      <c r="W323" s="3">
        <f>SUMIFS('PowerApp_Physical count'!H:H,'PowerApp_Physical count'!B:B,' General Stock Summary View  '!$V$2,'PowerApp_Physical count'!C:C,' General Stock Summary View  '!C323,'PowerApp_Physical count'!A:A,' General Stock Summary View  '!B323)</f>
        <v>0</v>
      </c>
      <c r="X323" s="4">
        <f t="shared" si="50"/>
        <v>0</v>
      </c>
      <c r="Y323" s="5">
        <f>SUMIFS('XBS '!T:T,'XBS '!H:H,' General Stock Summary View  '!$Y$2,'XBS '!B:B,' General Stock Summary View  '!C323,'XBS '!L:L,' General Stock Summary View  '!B323)</f>
        <v>0</v>
      </c>
      <c r="Z323" s="3">
        <f>SUMIFS('PowerApp_Physical count'!H:H,'PowerApp_Physical count'!B:B,' General Stock Summary View  '!$Y$2,'PowerApp_Physical count'!C:C,' General Stock Summary View  '!C323,'PowerApp_Physical count'!A:A,' General Stock Summary View  '!B323)</f>
        <v>0</v>
      </c>
      <c r="AA323" s="4">
        <f t="shared" si="51"/>
        <v>0</v>
      </c>
      <c r="AB323" s="5">
        <f>SUMIFS('XBS '!T:T,'XBS '!H:H,' General Stock Summary View  '!$AB$2,'XBS '!B:B,' General Stock Summary View  '!C323,'XBS '!L:L,' General Stock Summary View  '!B323)</f>
        <v>0</v>
      </c>
      <c r="AC323" s="3">
        <f>SUMIFS('PowerApp_Physical count'!H:H,'PowerApp_Physical count'!B:B,' General Stock Summary View  '!$AB$2,'PowerApp_Physical count'!C:C,' General Stock Summary View  '!C323,'PowerApp_Physical count'!A:A,' General Stock Summary View  '!B323)</f>
        <v>0</v>
      </c>
      <c r="AD323" s="6">
        <f t="shared" si="52"/>
        <v>0</v>
      </c>
      <c r="AE323" s="7">
        <f t="shared" si="53"/>
        <v>0</v>
      </c>
      <c r="AF323" s="8">
        <f t="shared" si="54"/>
        <v>-0.48333333333333334</v>
      </c>
      <c r="AG323" s="112"/>
    </row>
    <row r="324" spans="2:33" s="113" customFormat="1" ht="61.15">
      <c r="B324" s="117" t="s">
        <v>328</v>
      </c>
      <c r="C324" s="111" t="s">
        <v>327</v>
      </c>
      <c r="D324" s="11">
        <f>SUMIFS('XBS '!T:T,'XBS '!C:C,' General Stock Summary View  '!C324,'XBS '!L:L,' General Stock Summary View  '!B324)</f>
        <v>0.43333333333333335</v>
      </c>
      <c r="E324" s="2">
        <f>SUMIFS('Blocked for Processing'!P:P,'Blocked for Processing'!I:I,' General Stock Summary View  '!B324,'Blocked for Processing'!C:C,' General Stock Summary View  '!C324)</f>
        <v>0</v>
      </c>
      <c r="F324" s="122">
        <f t="shared" si="43"/>
        <v>0.43333333333333335</v>
      </c>
      <c r="G324" s="148">
        <f>SUMIFS('XBS '!T:T,'XBS '!H:H,' General Stock Summary View  '!$G$2,'XBS '!L:L,' General Stock Summary View  '!B324,'XBS '!C:C,' General Stock Summary View  '!C324)</f>
        <v>0</v>
      </c>
      <c r="H324" s="3">
        <f>SUMIFS('PowerApp_Physical count'!H:H,'PowerApp_Physical count'!B:B,' General Stock Summary View  '!$G$2,'PowerApp_Physical count'!C:C,' General Stock Summary View  '!C324,'PowerApp_Physical count'!A:A,' General Stock Summary View  '!B324)</f>
        <v>0</v>
      </c>
      <c r="I324" s="154">
        <f t="shared" si="55"/>
        <v>0</v>
      </c>
      <c r="J324" s="11">
        <f>SUMIFS('XBS '!T:T,'XBS '!H:H,' General Stock Summary View  '!$J$2,'XBS '!L:L,' General Stock Summary View  '!B324,'XBS '!C:C,' General Stock Summary View  '!C324)</f>
        <v>0</v>
      </c>
      <c r="K324" s="157">
        <f>SUMIFS('PowerApp_Physical count'!H:H,'PowerApp_Physical count'!B:B,' General Stock Summary View  '!$J$2,'PowerApp_Physical count'!C:C,' General Stock Summary View  '!C324,'PowerApp_Physical count'!A:A,' General Stock Summary View  '!B324)</f>
        <v>0</v>
      </c>
      <c r="L324" s="127">
        <f t="shared" si="44"/>
        <v>0</v>
      </c>
      <c r="M324" s="126">
        <f t="shared" si="45"/>
        <v>0</v>
      </c>
      <c r="N324" s="11">
        <f t="shared" si="46"/>
        <v>0</v>
      </c>
      <c r="O324" s="144">
        <f t="shared" si="47"/>
        <v>0</v>
      </c>
      <c r="P324" s="2">
        <f>SUMIFS('XBS '!T:T,'XBS '!H:H,' General Stock Summary View  '!$P$2,'XBS '!L:L,' General Stock Summary View  '!B324,'XBS '!C:C,' General Stock Summary View  '!C324)</f>
        <v>0.43333333333333335</v>
      </c>
      <c r="Q324" s="3">
        <f>SUMIFS('PowerApp_Physical count'!H:H,'PowerApp_Physical count'!B:B,' General Stock Summary View  '!$P$2,'PowerApp_Physical count'!C:C,' General Stock Summary View  '!C324,'PowerApp_Physical count'!A:A,' General Stock Summary View  '!B324)</f>
        <v>0</v>
      </c>
      <c r="R324" s="4">
        <f t="shared" si="48"/>
        <v>-0.43333333333333335</v>
      </c>
      <c r="S324" s="5">
        <f>SUMIFS('XBS '!T:T,'XBS '!L:L,' General Stock Summary View  '!B324,'XBS '!H:H,' General Stock Summary View  '!$S$2,'XBS '!C:C,' General Stock Summary View  '!C324)</f>
        <v>0</v>
      </c>
      <c r="T324" s="3">
        <f>SUMIFS('PowerApp_Physical count'!H:H,'PowerApp_Physical count'!B:B,' General Stock Summary View  '!$S$2,'PowerApp_Physical count'!C:C,' General Stock Summary View  '!C324,'PowerApp_Physical count'!A:A,' General Stock Summary View  '!B324)</f>
        <v>0</v>
      </c>
      <c r="U324" s="4">
        <f t="shared" si="49"/>
        <v>0</v>
      </c>
      <c r="V324" s="2">
        <f>SUMIFS('XBS '!T:T,'XBS '!H:H,' General Stock Summary View  '!$V$2,'XBS '!B:B,' General Stock Summary View  '!C324,'XBS '!L:L,' General Stock Summary View  '!B324)</f>
        <v>0</v>
      </c>
      <c r="W324" s="3">
        <f>SUMIFS('PowerApp_Physical count'!H:H,'PowerApp_Physical count'!B:B,' General Stock Summary View  '!$V$2,'PowerApp_Physical count'!C:C,' General Stock Summary View  '!C324,'PowerApp_Physical count'!A:A,' General Stock Summary View  '!B324)</f>
        <v>0</v>
      </c>
      <c r="X324" s="4">
        <f t="shared" si="50"/>
        <v>0</v>
      </c>
      <c r="Y324" s="5">
        <f>SUMIFS('XBS '!T:T,'XBS '!H:H,' General Stock Summary View  '!$Y$2,'XBS '!B:B,' General Stock Summary View  '!C324,'XBS '!L:L,' General Stock Summary View  '!B324)</f>
        <v>0</v>
      </c>
      <c r="Z324" s="3">
        <f>SUMIFS('PowerApp_Physical count'!H:H,'PowerApp_Physical count'!B:B,' General Stock Summary View  '!$Y$2,'PowerApp_Physical count'!C:C,' General Stock Summary View  '!C324,'PowerApp_Physical count'!A:A,' General Stock Summary View  '!B324)</f>
        <v>0</v>
      </c>
      <c r="AA324" s="4">
        <f t="shared" si="51"/>
        <v>0</v>
      </c>
      <c r="AB324" s="5">
        <f>SUMIFS('XBS '!T:T,'XBS '!H:H,' General Stock Summary View  '!$AB$2,'XBS '!B:B,' General Stock Summary View  '!C324,'XBS '!L:L,' General Stock Summary View  '!B324)</f>
        <v>0</v>
      </c>
      <c r="AC324" s="3">
        <f>SUMIFS('PowerApp_Physical count'!H:H,'PowerApp_Physical count'!B:B,' General Stock Summary View  '!$AB$2,'PowerApp_Physical count'!C:C,' General Stock Summary View  '!C324,'PowerApp_Physical count'!A:A,' General Stock Summary View  '!B324)</f>
        <v>0</v>
      </c>
      <c r="AD324" s="6">
        <f t="shared" si="52"/>
        <v>0</v>
      </c>
      <c r="AE324" s="7">
        <f t="shared" si="53"/>
        <v>0</v>
      </c>
      <c r="AF324" s="8">
        <f t="shared" si="54"/>
        <v>-0.43333333333333335</v>
      </c>
      <c r="AG324" s="112"/>
    </row>
    <row r="325" spans="2:33" s="113" customFormat="1" ht="61.15">
      <c r="B325" s="117" t="s">
        <v>329</v>
      </c>
      <c r="C325" s="111" t="s">
        <v>327</v>
      </c>
      <c r="D325" s="11">
        <f>SUMIFS('XBS '!T:T,'XBS '!C:C,' General Stock Summary View  '!C325,'XBS '!L:L,' General Stock Summary View  '!B325)</f>
        <v>13.633333333333333</v>
      </c>
      <c r="E325" s="2">
        <f>SUMIFS('Blocked for Processing'!P:P,'Blocked for Processing'!I:I,' General Stock Summary View  '!B325,'Blocked for Processing'!C:C,' General Stock Summary View  '!C325)</f>
        <v>0</v>
      </c>
      <c r="F325" s="122">
        <f t="shared" si="43"/>
        <v>13.633333333333333</v>
      </c>
      <c r="G325" s="148">
        <f>SUMIFS('XBS '!T:T,'XBS '!H:H,' General Stock Summary View  '!$G$2,'XBS '!L:L,' General Stock Summary View  '!B325,'XBS '!C:C,' General Stock Summary View  '!C325)</f>
        <v>0</v>
      </c>
      <c r="H325" s="3">
        <f>SUMIFS('PowerApp_Physical count'!H:H,'PowerApp_Physical count'!B:B,' General Stock Summary View  '!$G$2,'PowerApp_Physical count'!C:C,' General Stock Summary View  '!C325,'PowerApp_Physical count'!A:A,' General Stock Summary View  '!B325)</f>
        <v>0</v>
      </c>
      <c r="I325" s="154">
        <f t="shared" si="55"/>
        <v>0</v>
      </c>
      <c r="J325" s="11">
        <f>SUMIFS('XBS '!T:T,'XBS '!H:H,' General Stock Summary View  '!$J$2,'XBS '!L:L,' General Stock Summary View  '!B325,'XBS '!C:C,' General Stock Summary View  '!C325)</f>
        <v>0</v>
      </c>
      <c r="K325" s="157">
        <f>SUMIFS('PowerApp_Physical count'!H:H,'PowerApp_Physical count'!B:B,' General Stock Summary View  '!$J$2,'PowerApp_Physical count'!C:C,' General Stock Summary View  '!C325,'PowerApp_Physical count'!A:A,' General Stock Summary View  '!B325)</f>
        <v>0</v>
      </c>
      <c r="L325" s="127">
        <f t="shared" si="44"/>
        <v>0</v>
      </c>
      <c r="M325" s="126">
        <f t="shared" si="45"/>
        <v>0</v>
      </c>
      <c r="N325" s="11">
        <f t="shared" si="46"/>
        <v>0</v>
      </c>
      <c r="O325" s="144">
        <f t="shared" si="47"/>
        <v>0</v>
      </c>
      <c r="P325" s="2">
        <f>SUMIFS('XBS '!T:T,'XBS '!H:H,' General Stock Summary View  '!$P$2,'XBS '!L:L,' General Stock Summary View  '!B325,'XBS '!C:C,' General Stock Summary View  '!C325)</f>
        <v>13.633333333333333</v>
      </c>
      <c r="Q325" s="3">
        <f>SUMIFS('PowerApp_Physical count'!H:H,'PowerApp_Physical count'!B:B,' General Stock Summary View  '!$P$2,'PowerApp_Physical count'!C:C,' General Stock Summary View  '!C325,'PowerApp_Physical count'!A:A,' General Stock Summary View  '!B325)</f>
        <v>0</v>
      </c>
      <c r="R325" s="4">
        <f t="shared" si="48"/>
        <v>-13.633333333333333</v>
      </c>
      <c r="S325" s="5">
        <f>SUMIFS('XBS '!T:T,'XBS '!L:L,' General Stock Summary View  '!B325,'XBS '!H:H,' General Stock Summary View  '!$S$2,'XBS '!C:C,' General Stock Summary View  '!C325)</f>
        <v>0</v>
      </c>
      <c r="T325" s="3">
        <f>SUMIFS('PowerApp_Physical count'!H:H,'PowerApp_Physical count'!B:B,' General Stock Summary View  '!$S$2,'PowerApp_Physical count'!C:C,' General Stock Summary View  '!C325,'PowerApp_Physical count'!A:A,' General Stock Summary View  '!B325)</f>
        <v>0</v>
      </c>
      <c r="U325" s="4">
        <f t="shared" si="49"/>
        <v>0</v>
      </c>
      <c r="V325" s="2">
        <f>SUMIFS('XBS '!T:T,'XBS '!H:H,' General Stock Summary View  '!$V$2,'XBS '!B:B,' General Stock Summary View  '!C325,'XBS '!L:L,' General Stock Summary View  '!B325)</f>
        <v>0</v>
      </c>
      <c r="W325" s="3">
        <f>SUMIFS('PowerApp_Physical count'!H:H,'PowerApp_Physical count'!B:B,' General Stock Summary View  '!$V$2,'PowerApp_Physical count'!C:C,' General Stock Summary View  '!C325,'PowerApp_Physical count'!A:A,' General Stock Summary View  '!B325)</f>
        <v>0</v>
      </c>
      <c r="X325" s="4">
        <f t="shared" si="50"/>
        <v>0</v>
      </c>
      <c r="Y325" s="5">
        <f>SUMIFS('XBS '!T:T,'XBS '!H:H,' General Stock Summary View  '!$Y$2,'XBS '!B:B,' General Stock Summary View  '!C325,'XBS '!L:L,' General Stock Summary View  '!B325)</f>
        <v>0</v>
      </c>
      <c r="Z325" s="3">
        <f>SUMIFS('PowerApp_Physical count'!H:H,'PowerApp_Physical count'!B:B,' General Stock Summary View  '!$Y$2,'PowerApp_Physical count'!C:C,' General Stock Summary View  '!C325,'PowerApp_Physical count'!A:A,' General Stock Summary View  '!B325)</f>
        <v>0</v>
      </c>
      <c r="AA325" s="4">
        <f t="shared" si="51"/>
        <v>0</v>
      </c>
      <c r="AB325" s="5">
        <f>SUMIFS('XBS '!T:T,'XBS '!H:H,' General Stock Summary View  '!$AB$2,'XBS '!B:B,' General Stock Summary View  '!C325,'XBS '!L:L,' General Stock Summary View  '!B325)</f>
        <v>0</v>
      </c>
      <c r="AC325" s="3">
        <f>SUMIFS('PowerApp_Physical count'!H:H,'PowerApp_Physical count'!B:B,' General Stock Summary View  '!$AB$2,'PowerApp_Physical count'!C:C,' General Stock Summary View  '!C325,'PowerApp_Physical count'!A:A,' General Stock Summary View  '!B325)</f>
        <v>0</v>
      </c>
      <c r="AD325" s="6">
        <f t="shared" si="52"/>
        <v>0</v>
      </c>
      <c r="AE325" s="7">
        <f t="shared" si="53"/>
        <v>0</v>
      </c>
      <c r="AF325" s="8">
        <f t="shared" si="54"/>
        <v>-13.633333333333333</v>
      </c>
      <c r="AG325" s="112"/>
    </row>
    <row r="326" spans="2:33" s="113" customFormat="1" ht="61.15">
      <c r="B326" s="117" t="s">
        <v>330</v>
      </c>
      <c r="C326" s="111" t="s">
        <v>327</v>
      </c>
      <c r="D326" s="11">
        <f>SUMIFS('XBS '!T:T,'XBS '!C:C,' General Stock Summary View  '!C326,'XBS '!L:L,' General Stock Summary View  '!B326)</f>
        <v>61.05</v>
      </c>
      <c r="E326" s="2">
        <f>SUMIFS('Blocked for Processing'!P:P,'Blocked for Processing'!I:I,' General Stock Summary View  '!B326,'Blocked for Processing'!C:C,' General Stock Summary View  '!C326)</f>
        <v>0</v>
      </c>
      <c r="F326" s="122">
        <f t="shared" si="43"/>
        <v>61.05</v>
      </c>
      <c r="G326" s="148">
        <f>SUMIFS('XBS '!T:T,'XBS '!H:H,' General Stock Summary View  '!$G$2,'XBS '!L:L,' General Stock Summary View  '!B326,'XBS '!C:C,' General Stock Summary View  '!C326)</f>
        <v>0</v>
      </c>
      <c r="H326" s="3">
        <f>SUMIFS('PowerApp_Physical count'!H:H,'PowerApp_Physical count'!B:B,' General Stock Summary View  '!$G$2,'PowerApp_Physical count'!C:C,' General Stock Summary View  '!C326,'PowerApp_Physical count'!A:A,' General Stock Summary View  '!B326)</f>
        <v>0</v>
      </c>
      <c r="I326" s="154">
        <f t="shared" si="55"/>
        <v>0</v>
      </c>
      <c r="J326" s="11">
        <f>SUMIFS('XBS '!T:T,'XBS '!H:H,' General Stock Summary View  '!$J$2,'XBS '!L:L,' General Stock Summary View  '!B326,'XBS '!C:C,' General Stock Summary View  '!C326)</f>
        <v>0</v>
      </c>
      <c r="K326" s="157">
        <f>SUMIFS('PowerApp_Physical count'!H:H,'PowerApp_Physical count'!B:B,' General Stock Summary View  '!$J$2,'PowerApp_Physical count'!C:C,' General Stock Summary View  '!C326,'PowerApp_Physical count'!A:A,' General Stock Summary View  '!B326)</f>
        <v>0</v>
      </c>
      <c r="L326" s="127">
        <f t="shared" si="44"/>
        <v>0</v>
      </c>
      <c r="M326" s="126">
        <f t="shared" si="45"/>
        <v>0</v>
      </c>
      <c r="N326" s="11">
        <f t="shared" si="46"/>
        <v>0</v>
      </c>
      <c r="O326" s="144">
        <f t="shared" si="47"/>
        <v>0</v>
      </c>
      <c r="P326" s="2">
        <f>SUMIFS('XBS '!T:T,'XBS '!H:H,' General Stock Summary View  '!$P$2,'XBS '!L:L,' General Stock Summary View  '!B326,'XBS '!C:C,' General Stock Summary View  '!C326)</f>
        <v>61.05</v>
      </c>
      <c r="Q326" s="3">
        <f>SUMIFS('PowerApp_Physical count'!H:H,'PowerApp_Physical count'!B:B,' General Stock Summary View  '!$P$2,'PowerApp_Physical count'!C:C,' General Stock Summary View  '!C326,'PowerApp_Physical count'!A:A,' General Stock Summary View  '!B326)</f>
        <v>0</v>
      </c>
      <c r="R326" s="4">
        <f t="shared" si="48"/>
        <v>-61.05</v>
      </c>
      <c r="S326" s="5">
        <f>SUMIFS('XBS '!T:T,'XBS '!L:L,' General Stock Summary View  '!B326,'XBS '!H:H,' General Stock Summary View  '!$S$2,'XBS '!C:C,' General Stock Summary View  '!C326)</f>
        <v>0</v>
      </c>
      <c r="T326" s="3">
        <f>SUMIFS('PowerApp_Physical count'!H:H,'PowerApp_Physical count'!B:B,' General Stock Summary View  '!$S$2,'PowerApp_Physical count'!C:C,' General Stock Summary View  '!C326,'PowerApp_Physical count'!A:A,' General Stock Summary View  '!B326)</f>
        <v>0</v>
      </c>
      <c r="U326" s="4">
        <f t="shared" si="49"/>
        <v>0</v>
      </c>
      <c r="V326" s="2">
        <f>SUMIFS('XBS '!T:T,'XBS '!H:H,' General Stock Summary View  '!$V$2,'XBS '!B:B,' General Stock Summary View  '!C326,'XBS '!L:L,' General Stock Summary View  '!B326)</f>
        <v>0</v>
      </c>
      <c r="W326" s="3">
        <f>SUMIFS('PowerApp_Physical count'!H:H,'PowerApp_Physical count'!B:B,' General Stock Summary View  '!$V$2,'PowerApp_Physical count'!C:C,' General Stock Summary View  '!C326,'PowerApp_Physical count'!A:A,' General Stock Summary View  '!B326)</f>
        <v>0</v>
      </c>
      <c r="X326" s="4">
        <f t="shared" si="50"/>
        <v>0</v>
      </c>
      <c r="Y326" s="5">
        <f>SUMIFS('XBS '!T:T,'XBS '!H:H,' General Stock Summary View  '!$Y$2,'XBS '!B:B,' General Stock Summary View  '!C326,'XBS '!L:L,' General Stock Summary View  '!B326)</f>
        <v>0</v>
      </c>
      <c r="Z326" s="3">
        <f>SUMIFS('PowerApp_Physical count'!H:H,'PowerApp_Physical count'!B:B,' General Stock Summary View  '!$Y$2,'PowerApp_Physical count'!C:C,' General Stock Summary View  '!C326,'PowerApp_Physical count'!A:A,' General Stock Summary View  '!B326)</f>
        <v>0</v>
      </c>
      <c r="AA326" s="4">
        <f t="shared" si="51"/>
        <v>0</v>
      </c>
      <c r="AB326" s="5">
        <f>SUMIFS('XBS '!T:T,'XBS '!H:H,' General Stock Summary View  '!$AB$2,'XBS '!B:B,' General Stock Summary View  '!C326,'XBS '!L:L,' General Stock Summary View  '!B326)</f>
        <v>0</v>
      </c>
      <c r="AC326" s="3">
        <f>SUMIFS('PowerApp_Physical count'!H:H,'PowerApp_Physical count'!B:B,' General Stock Summary View  '!$AB$2,'PowerApp_Physical count'!C:C,' General Stock Summary View  '!C326,'PowerApp_Physical count'!A:A,' General Stock Summary View  '!B326)</f>
        <v>0</v>
      </c>
      <c r="AD326" s="6">
        <f t="shared" si="52"/>
        <v>0</v>
      </c>
      <c r="AE326" s="7">
        <f t="shared" si="53"/>
        <v>0</v>
      </c>
      <c r="AF326" s="8">
        <f t="shared" si="54"/>
        <v>-61.05</v>
      </c>
      <c r="AG326" s="112"/>
    </row>
    <row r="327" spans="2:33" s="113" customFormat="1" ht="61.15">
      <c r="B327" s="117" t="s">
        <v>331</v>
      </c>
      <c r="C327" s="111" t="s">
        <v>327</v>
      </c>
      <c r="D327" s="11">
        <f>SUMIFS('XBS '!T:T,'XBS '!C:C,' General Stock Summary View  '!C327,'XBS '!L:L,' General Stock Summary View  '!B327)</f>
        <v>29.565000000000001</v>
      </c>
      <c r="E327" s="2">
        <f>SUMIFS('Blocked for Processing'!P:P,'Blocked for Processing'!I:I,' General Stock Summary View  '!B327,'Blocked for Processing'!C:C,' General Stock Summary View  '!C327)</f>
        <v>0</v>
      </c>
      <c r="F327" s="122">
        <f t="shared" si="43"/>
        <v>29.565000000000001</v>
      </c>
      <c r="G327" s="148">
        <f>SUMIFS('XBS '!T:T,'XBS '!H:H,' General Stock Summary View  '!$G$2,'XBS '!L:L,' General Stock Summary View  '!B327,'XBS '!C:C,' General Stock Summary View  '!C327)</f>
        <v>0</v>
      </c>
      <c r="H327" s="3">
        <f>SUMIFS('PowerApp_Physical count'!H:H,'PowerApp_Physical count'!B:B,' General Stock Summary View  '!$G$2,'PowerApp_Physical count'!C:C,' General Stock Summary View  '!C327,'PowerApp_Physical count'!A:A,' General Stock Summary View  '!B327)</f>
        <v>0</v>
      </c>
      <c r="I327" s="154">
        <f t="shared" si="55"/>
        <v>0</v>
      </c>
      <c r="J327" s="11">
        <f>SUMIFS('XBS '!T:T,'XBS '!H:H,' General Stock Summary View  '!$J$2,'XBS '!L:L,' General Stock Summary View  '!B327,'XBS '!C:C,' General Stock Summary View  '!C327)</f>
        <v>0</v>
      </c>
      <c r="K327" s="157">
        <f>SUMIFS('PowerApp_Physical count'!H:H,'PowerApp_Physical count'!B:B,' General Stock Summary View  '!$J$2,'PowerApp_Physical count'!C:C,' General Stock Summary View  '!C327,'PowerApp_Physical count'!A:A,' General Stock Summary View  '!B327)</f>
        <v>0</v>
      </c>
      <c r="L327" s="127">
        <f t="shared" si="44"/>
        <v>0</v>
      </c>
      <c r="M327" s="126">
        <f t="shared" si="45"/>
        <v>0</v>
      </c>
      <c r="N327" s="11">
        <f t="shared" si="46"/>
        <v>0</v>
      </c>
      <c r="O327" s="144">
        <f t="shared" si="47"/>
        <v>0</v>
      </c>
      <c r="P327" s="2">
        <f>SUMIFS('XBS '!T:T,'XBS '!H:H,' General Stock Summary View  '!$P$2,'XBS '!L:L,' General Stock Summary View  '!B327,'XBS '!C:C,' General Stock Summary View  '!C327)</f>
        <v>29.565000000000001</v>
      </c>
      <c r="Q327" s="3">
        <f>SUMIFS('PowerApp_Physical count'!H:H,'PowerApp_Physical count'!B:B,' General Stock Summary View  '!$P$2,'PowerApp_Physical count'!C:C,' General Stock Summary View  '!C327,'PowerApp_Physical count'!A:A,' General Stock Summary View  '!B327)</f>
        <v>0</v>
      </c>
      <c r="R327" s="4">
        <f t="shared" si="48"/>
        <v>-29.565000000000001</v>
      </c>
      <c r="S327" s="5">
        <f>SUMIFS('XBS '!T:T,'XBS '!L:L,' General Stock Summary View  '!B327,'XBS '!H:H,' General Stock Summary View  '!$S$2,'XBS '!C:C,' General Stock Summary View  '!C327)</f>
        <v>0</v>
      </c>
      <c r="T327" s="3">
        <f>SUMIFS('PowerApp_Physical count'!H:H,'PowerApp_Physical count'!B:B,' General Stock Summary View  '!$S$2,'PowerApp_Physical count'!C:C,' General Stock Summary View  '!C327,'PowerApp_Physical count'!A:A,' General Stock Summary View  '!B327)</f>
        <v>0</v>
      </c>
      <c r="U327" s="4">
        <f t="shared" si="49"/>
        <v>0</v>
      </c>
      <c r="V327" s="2">
        <f>SUMIFS('XBS '!T:T,'XBS '!H:H,' General Stock Summary View  '!$V$2,'XBS '!B:B,' General Stock Summary View  '!C327,'XBS '!L:L,' General Stock Summary View  '!B327)</f>
        <v>0</v>
      </c>
      <c r="W327" s="3">
        <f>SUMIFS('PowerApp_Physical count'!H:H,'PowerApp_Physical count'!B:B,' General Stock Summary View  '!$V$2,'PowerApp_Physical count'!C:C,' General Stock Summary View  '!C327,'PowerApp_Physical count'!A:A,' General Stock Summary View  '!B327)</f>
        <v>0</v>
      </c>
      <c r="X327" s="4">
        <f t="shared" si="50"/>
        <v>0</v>
      </c>
      <c r="Y327" s="5">
        <f>SUMIFS('XBS '!T:T,'XBS '!H:H,' General Stock Summary View  '!$Y$2,'XBS '!B:B,' General Stock Summary View  '!C327,'XBS '!L:L,' General Stock Summary View  '!B327)</f>
        <v>0</v>
      </c>
      <c r="Z327" s="3">
        <f>SUMIFS('PowerApp_Physical count'!H:H,'PowerApp_Physical count'!B:B,' General Stock Summary View  '!$Y$2,'PowerApp_Physical count'!C:C,' General Stock Summary View  '!C327,'PowerApp_Physical count'!A:A,' General Stock Summary View  '!B327)</f>
        <v>0</v>
      </c>
      <c r="AA327" s="4">
        <f t="shared" si="51"/>
        <v>0</v>
      </c>
      <c r="AB327" s="5">
        <f>SUMIFS('XBS '!T:T,'XBS '!H:H,' General Stock Summary View  '!$AB$2,'XBS '!B:B,' General Stock Summary View  '!C327,'XBS '!L:L,' General Stock Summary View  '!B327)</f>
        <v>0</v>
      </c>
      <c r="AC327" s="3">
        <f>SUMIFS('PowerApp_Physical count'!H:H,'PowerApp_Physical count'!B:B,' General Stock Summary View  '!$AB$2,'PowerApp_Physical count'!C:C,' General Stock Summary View  '!C327,'PowerApp_Physical count'!A:A,' General Stock Summary View  '!B327)</f>
        <v>0</v>
      </c>
      <c r="AD327" s="6">
        <f t="shared" si="52"/>
        <v>0</v>
      </c>
      <c r="AE327" s="7">
        <f t="shared" si="53"/>
        <v>0</v>
      </c>
      <c r="AF327" s="8">
        <f t="shared" si="54"/>
        <v>-29.565000000000001</v>
      </c>
      <c r="AG327" s="112"/>
    </row>
    <row r="328" spans="2:33" s="113" customFormat="1" ht="61.15">
      <c r="B328" s="117" t="s">
        <v>332</v>
      </c>
      <c r="C328" s="111" t="s">
        <v>327</v>
      </c>
      <c r="D328" s="11">
        <f>SUMIFS('XBS '!T:T,'XBS '!C:C,' General Stock Summary View  '!C328,'XBS '!L:L,' General Stock Summary View  '!B328)</f>
        <v>0.43466666666666665</v>
      </c>
      <c r="E328" s="2">
        <f>SUMIFS('Blocked for Processing'!P:P,'Blocked for Processing'!I:I,' General Stock Summary View  '!B328,'Blocked for Processing'!C:C,' General Stock Summary View  '!C328)</f>
        <v>0</v>
      </c>
      <c r="F328" s="122">
        <f t="shared" si="43"/>
        <v>0.43466666666666665</v>
      </c>
      <c r="G328" s="148">
        <f>SUMIFS('XBS '!T:T,'XBS '!H:H,' General Stock Summary View  '!$G$2,'XBS '!L:L,' General Stock Summary View  '!B328,'XBS '!C:C,' General Stock Summary View  '!C328)</f>
        <v>0</v>
      </c>
      <c r="H328" s="3">
        <f>SUMIFS('PowerApp_Physical count'!H:H,'PowerApp_Physical count'!B:B,' General Stock Summary View  '!$G$2,'PowerApp_Physical count'!C:C,' General Stock Summary View  '!C328,'PowerApp_Physical count'!A:A,' General Stock Summary View  '!B328)</f>
        <v>0</v>
      </c>
      <c r="I328" s="154">
        <f t="shared" si="55"/>
        <v>0</v>
      </c>
      <c r="J328" s="11">
        <f>SUMIFS('XBS '!T:T,'XBS '!H:H,' General Stock Summary View  '!$J$2,'XBS '!L:L,' General Stock Summary View  '!B328,'XBS '!C:C,' General Stock Summary View  '!C328)</f>
        <v>0</v>
      </c>
      <c r="K328" s="157">
        <f>SUMIFS('PowerApp_Physical count'!H:H,'PowerApp_Physical count'!B:B,' General Stock Summary View  '!$J$2,'PowerApp_Physical count'!C:C,' General Stock Summary View  '!C328,'PowerApp_Physical count'!A:A,' General Stock Summary View  '!B328)</f>
        <v>0</v>
      </c>
      <c r="L328" s="127">
        <f t="shared" si="44"/>
        <v>0</v>
      </c>
      <c r="M328" s="126">
        <f t="shared" si="45"/>
        <v>0</v>
      </c>
      <c r="N328" s="11">
        <f t="shared" si="46"/>
        <v>0</v>
      </c>
      <c r="O328" s="144">
        <f t="shared" si="47"/>
        <v>0</v>
      </c>
      <c r="P328" s="2">
        <f>SUMIFS('XBS '!T:T,'XBS '!H:H,' General Stock Summary View  '!$P$2,'XBS '!L:L,' General Stock Summary View  '!B328,'XBS '!C:C,' General Stock Summary View  '!C328)</f>
        <v>0.43466666666666665</v>
      </c>
      <c r="Q328" s="3">
        <f>SUMIFS('PowerApp_Physical count'!H:H,'PowerApp_Physical count'!B:B,' General Stock Summary View  '!$P$2,'PowerApp_Physical count'!C:C,' General Stock Summary View  '!C328,'PowerApp_Physical count'!A:A,' General Stock Summary View  '!B328)</f>
        <v>0</v>
      </c>
      <c r="R328" s="4">
        <f t="shared" si="48"/>
        <v>-0.43466666666666665</v>
      </c>
      <c r="S328" s="5">
        <f>SUMIFS('XBS '!T:T,'XBS '!L:L,' General Stock Summary View  '!B328,'XBS '!H:H,' General Stock Summary View  '!$S$2,'XBS '!C:C,' General Stock Summary View  '!C328)</f>
        <v>0</v>
      </c>
      <c r="T328" s="3">
        <f>SUMIFS('PowerApp_Physical count'!H:H,'PowerApp_Physical count'!B:B,' General Stock Summary View  '!$S$2,'PowerApp_Physical count'!C:C,' General Stock Summary View  '!C328,'PowerApp_Physical count'!A:A,' General Stock Summary View  '!B328)</f>
        <v>0</v>
      </c>
      <c r="U328" s="4">
        <f t="shared" si="49"/>
        <v>0</v>
      </c>
      <c r="V328" s="2">
        <f>SUMIFS('XBS '!T:T,'XBS '!H:H,' General Stock Summary View  '!$V$2,'XBS '!B:B,' General Stock Summary View  '!C328,'XBS '!L:L,' General Stock Summary View  '!B328)</f>
        <v>0</v>
      </c>
      <c r="W328" s="3">
        <f>SUMIFS('PowerApp_Physical count'!H:H,'PowerApp_Physical count'!B:B,' General Stock Summary View  '!$V$2,'PowerApp_Physical count'!C:C,' General Stock Summary View  '!C328,'PowerApp_Physical count'!A:A,' General Stock Summary View  '!B328)</f>
        <v>0</v>
      </c>
      <c r="X328" s="4">
        <f t="shared" si="50"/>
        <v>0</v>
      </c>
      <c r="Y328" s="5">
        <f>SUMIFS('XBS '!T:T,'XBS '!H:H,' General Stock Summary View  '!$Y$2,'XBS '!B:B,' General Stock Summary View  '!C328,'XBS '!L:L,' General Stock Summary View  '!B328)</f>
        <v>0</v>
      </c>
      <c r="Z328" s="3">
        <f>SUMIFS('PowerApp_Physical count'!H:H,'PowerApp_Physical count'!B:B,' General Stock Summary View  '!$Y$2,'PowerApp_Physical count'!C:C,' General Stock Summary View  '!C328,'PowerApp_Physical count'!A:A,' General Stock Summary View  '!B328)</f>
        <v>0</v>
      </c>
      <c r="AA328" s="4">
        <f t="shared" si="51"/>
        <v>0</v>
      </c>
      <c r="AB328" s="5">
        <f>SUMIFS('XBS '!T:T,'XBS '!H:H,' General Stock Summary View  '!$AB$2,'XBS '!B:B,' General Stock Summary View  '!C328,'XBS '!L:L,' General Stock Summary View  '!B328)</f>
        <v>0</v>
      </c>
      <c r="AC328" s="3">
        <f>SUMIFS('PowerApp_Physical count'!H:H,'PowerApp_Physical count'!B:B,' General Stock Summary View  '!$AB$2,'PowerApp_Physical count'!C:C,' General Stock Summary View  '!C328,'PowerApp_Physical count'!A:A,' General Stock Summary View  '!B328)</f>
        <v>0</v>
      </c>
      <c r="AD328" s="6">
        <f t="shared" si="52"/>
        <v>0</v>
      </c>
      <c r="AE328" s="7">
        <f t="shared" si="53"/>
        <v>0</v>
      </c>
      <c r="AF328" s="8">
        <f t="shared" si="54"/>
        <v>-0.43466666666666665</v>
      </c>
      <c r="AG328" s="112"/>
    </row>
    <row r="329" spans="2:33" s="113" customFormat="1" ht="61.15">
      <c r="B329" s="117" t="s">
        <v>333</v>
      </c>
      <c r="C329" s="111" t="s">
        <v>327</v>
      </c>
      <c r="D329" s="11">
        <f>SUMIFS('XBS '!T:T,'XBS '!C:C,' General Stock Summary View  '!C329,'XBS '!L:L,' General Stock Summary View  '!B329)</f>
        <v>0.78666666666666674</v>
      </c>
      <c r="E329" s="2">
        <f>SUMIFS('Blocked for Processing'!P:P,'Blocked for Processing'!I:I,' General Stock Summary View  '!B329,'Blocked for Processing'!C:C,' General Stock Summary View  '!C329)</f>
        <v>0</v>
      </c>
      <c r="F329" s="122">
        <f t="shared" si="43"/>
        <v>0.78666666666666674</v>
      </c>
      <c r="G329" s="148">
        <f>SUMIFS('XBS '!T:T,'XBS '!H:H,' General Stock Summary View  '!$G$2,'XBS '!L:L,' General Stock Summary View  '!B329,'XBS '!C:C,' General Stock Summary View  '!C329)</f>
        <v>0</v>
      </c>
      <c r="H329" s="3">
        <f>SUMIFS('PowerApp_Physical count'!H:H,'PowerApp_Physical count'!B:B,' General Stock Summary View  '!$G$2,'PowerApp_Physical count'!C:C,' General Stock Summary View  '!C329,'PowerApp_Physical count'!A:A,' General Stock Summary View  '!B329)</f>
        <v>0</v>
      </c>
      <c r="I329" s="154">
        <f t="shared" si="55"/>
        <v>0</v>
      </c>
      <c r="J329" s="11">
        <f>SUMIFS('XBS '!T:T,'XBS '!H:H,' General Stock Summary View  '!$J$2,'XBS '!L:L,' General Stock Summary View  '!B329,'XBS '!C:C,' General Stock Summary View  '!C329)</f>
        <v>0</v>
      </c>
      <c r="K329" s="157">
        <f>SUMIFS('PowerApp_Physical count'!H:H,'PowerApp_Physical count'!B:B,' General Stock Summary View  '!$J$2,'PowerApp_Physical count'!C:C,' General Stock Summary View  '!C329,'PowerApp_Physical count'!A:A,' General Stock Summary View  '!B329)</f>
        <v>0</v>
      </c>
      <c r="L329" s="127">
        <f t="shared" si="44"/>
        <v>0</v>
      </c>
      <c r="M329" s="126">
        <f t="shared" si="45"/>
        <v>0</v>
      </c>
      <c r="N329" s="11">
        <f t="shared" si="46"/>
        <v>0</v>
      </c>
      <c r="O329" s="144">
        <f t="shared" si="47"/>
        <v>0</v>
      </c>
      <c r="P329" s="2">
        <f>SUMIFS('XBS '!T:T,'XBS '!H:H,' General Stock Summary View  '!$P$2,'XBS '!L:L,' General Stock Summary View  '!B329,'XBS '!C:C,' General Stock Summary View  '!C329)</f>
        <v>0.78666666666666674</v>
      </c>
      <c r="Q329" s="3">
        <f>SUMIFS('PowerApp_Physical count'!H:H,'PowerApp_Physical count'!B:B,' General Stock Summary View  '!$P$2,'PowerApp_Physical count'!C:C,' General Stock Summary View  '!C329,'PowerApp_Physical count'!A:A,' General Stock Summary View  '!B329)</f>
        <v>0</v>
      </c>
      <c r="R329" s="4">
        <f t="shared" si="48"/>
        <v>-0.78666666666666674</v>
      </c>
      <c r="S329" s="5">
        <f>SUMIFS('XBS '!T:T,'XBS '!L:L,' General Stock Summary View  '!B329,'XBS '!H:H,' General Stock Summary View  '!$S$2,'XBS '!C:C,' General Stock Summary View  '!C329)</f>
        <v>0</v>
      </c>
      <c r="T329" s="3">
        <f>SUMIFS('PowerApp_Physical count'!H:H,'PowerApp_Physical count'!B:B,' General Stock Summary View  '!$S$2,'PowerApp_Physical count'!C:C,' General Stock Summary View  '!C329,'PowerApp_Physical count'!A:A,' General Stock Summary View  '!B329)</f>
        <v>0</v>
      </c>
      <c r="U329" s="4">
        <f t="shared" si="49"/>
        <v>0</v>
      </c>
      <c r="V329" s="2">
        <f>SUMIFS('XBS '!T:T,'XBS '!H:H,' General Stock Summary View  '!$V$2,'XBS '!B:B,' General Stock Summary View  '!C329,'XBS '!L:L,' General Stock Summary View  '!B329)</f>
        <v>0</v>
      </c>
      <c r="W329" s="3">
        <f>SUMIFS('PowerApp_Physical count'!H:H,'PowerApp_Physical count'!B:B,' General Stock Summary View  '!$V$2,'PowerApp_Physical count'!C:C,' General Stock Summary View  '!C329,'PowerApp_Physical count'!A:A,' General Stock Summary View  '!B329)</f>
        <v>0</v>
      </c>
      <c r="X329" s="4">
        <f t="shared" si="50"/>
        <v>0</v>
      </c>
      <c r="Y329" s="5">
        <f>SUMIFS('XBS '!T:T,'XBS '!H:H,' General Stock Summary View  '!$Y$2,'XBS '!B:B,' General Stock Summary View  '!C329,'XBS '!L:L,' General Stock Summary View  '!B329)</f>
        <v>0</v>
      </c>
      <c r="Z329" s="3">
        <f>SUMIFS('PowerApp_Physical count'!H:H,'PowerApp_Physical count'!B:B,' General Stock Summary View  '!$Y$2,'PowerApp_Physical count'!C:C,' General Stock Summary View  '!C329,'PowerApp_Physical count'!A:A,' General Stock Summary View  '!B329)</f>
        <v>0</v>
      </c>
      <c r="AA329" s="4">
        <f t="shared" si="51"/>
        <v>0</v>
      </c>
      <c r="AB329" s="5">
        <f>SUMIFS('XBS '!T:T,'XBS '!H:H,' General Stock Summary View  '!$AB$2,'XBS '!B:B,' General Stock Summary View  '!C329,'XBS '!L:L,' General Stock Summary View  '!B329)</f>
        <v>0</v>
      </c>
      <c r="AC329" s="3">
        <f>SUMIFS('PowerApp_Physical count'!H:H,'PowerApp_Physical count'!B:B,' General Stock Summary View  '!$AB$2,'PowerApp_Physical count'!C:C,' General Stock Summary View  '!C329,'PowerApp_Physical count'!A:A,' General Stock Summary View  '!B329)</f>
        <v>0</v>
      </c>
      <c r="AD329" s="6">
        <f t="shared" si="52"/>
        <v>0</v>
      </c>
      <c r="AE329" s="7">
        <f t="shared" si="53"/>
        <v>0</v>
      </c>
      <c r="AF329" s="8">
        <f t="shared" si="54"/>
        <v>-0.78666666666666674</v>
      </c>
      <c r="AG329" s="112"/>
    </row>
    <row r="330" spans="2:33" s="113" customFormat="1" ht="61.15">
      <c r="B330" s="117" t="s">
        <v>334</v>
      </c>
      <c r="C330" s="111" t="s">
        <v>327</v>
      </c>
      <c r="D330" s="11">
        <f>SUMIFS('XBS '!T:T,'XBS '!C:C,' General Stock Summary View  '!C330,'XBS '!L:L,' General Stock Summary View  '!B330)</f>
        <v>0.25</v>
      </c>
      <c r="E330" s="2">
        <f>SUMIFS('Blocked for Processing'!P:P,'Blocked for Processing'!I:I,' General Stock Summary View  '!B330,'Blocked for Processing'!C:C,' General Stock Summary View  '!C330)</f>
        <v>0</v>
      </c>
      <c r="F330" s="122">
        <f t="shared" si="43"/>
        <v>0.25</v>
      </c>
      <c r="G330" s="148">
        <f>SUMIFS('XBS '!T:T,'XBS '!H:H,' General Stock Summary View  '!$G$2,'XBS '!L:L,' General Stock Summary View  '!B330,'XBS '!C:C,' General Stock Summary View  '!C330)</f>
        <v>0</v>
      </c>
      <c r="H330" s="3">
        <f>SUMIFS('PowerApp_Physical count'!H:H,'PowerApp_Physical count'!B:B,' General Stock Summary View  '!$G$2,'PowerApp_Physical count'!C:C,' General Stock Summary View  '!C330,'PowerApp_Physical count'!A:A,' General Stock Summary View  '!B330)</f>
        <v>0</v>
      </c>
      <c r="I330" s="154">
        <f t="shared" si="55"/>
        <v>0</v>
      </c>
      <c r="J330" s="11">
        <f>SUMIFS('XBS '!T:T,'XBS '!H:H,' General Stock Summary View  '!$J$2,'XBS '!L:L,' General Stock Summary View  '!B330,'XBS '!C:C,' General Stock Summary View  '!C330)</f>
        <v>0</v>
      </c>
      <c r="K330" s="157">
        <f>SUMIFS('PowerApp_Physical count'!H:H,'PowerApp_Physical count'!B:B,' General Stock Summary View  '!$J$2,'PowerApp_Physical count'!C:C,' General Stock Summary View  '!C330,'PowerApp_Physical count'!A:A,' General Stock Summary View  '!B330)</f>
        <v>0</v>
      </c>
      <c r="L330" s="127">
        <f t="shared" si="44"/>
        <v>0</v>
      </c>
      <c r="M330" s="126">
        <f t="shared" si="45"/>
        <v>0</v>
      </c>
      <c r="N330" s="11">
        <f t="shared" si="46"/>
        <v>0</v>
      </c>
      <c r="O330" s="144">
        <f t="shared" si="47"/>
        <v>0</v>
      </c>
      <c r="P330" s="2">
        <f>SUMIFS('XBS '!T:T,'XBS '!H:H,' General Stock Summary View  '!$P$2,'XBS '!L:L,' General Stock Summary View  '!B330,'XBS '!C:C,' General Stock Summary View  '!C330)</f>
        <v>0</v>
      </c>
      <c r="Q330" s="3">
        <f>SUMIFS('PowerApp_Physical count'!H:H,'PowerApp_Physical count'!B:B,' General Stock Summary View  '!$P$2,'PowerApp_Physical count'!C:C,' General Stock Summary View  '!C330,'PowerApp_Physical count'!A:A,' General Stock Summary View  '!B330)</f>
        <v>0</v>
      </c>
      <c r="R330" s="4">
        <f t="shared" si="48"/>
        <v>0</v>
      </c>
      <c r="S330" s="5">
        <f>SUMIFS('XBS '!T:T,'XBS '!L:L,' General Stock Summary View  '!B330,'XBS '!H:H,' General Stock Summary View  '!$S$2,'XBS '!C:C,' General Stock Summary View  '!C330)</f>
        <v>0.25</v>
      </c>
      <c r="T330" s="3">
        <f>SUMIFS('PowerApp_Physical count'!H:H,'PowerApp_Physical count'!B:B,' General Stock Summary View  '!$S$2,'PowerApp_Physical count'!C:C,' General Stock Summary View  '!C330,'PowerApp_Physical count'!A:A,' General Stock Summary View  '!B330)</f>
        <v>0</v>
      </c>
      <c r="U330" s="4">
        <f t="shared" si="49"/>
        <v>-0.25</v>
      </c>
      <c r="V330" s="2">
        <f>SUMIFS('XBS '!T:T,'XBS '!H:H,' General Stock Summary View  '!$V$2,'XBS '!B:B,' General Stock Summary View  '!C330,'XBS '!L:L,' General Stock Summary View  '!B330)</f>
        <v>0</v>
      </c>
      <c r="W330" s="3">
        <f>SUMIFS('PowerApp_Physical count'!H:H,'PowerApp_Physical count'!B:B,' General Stock Summary View  '!$V$2,'PowerApp_Physical count'!C:C,' General Stock Summary View  '!C330,'PowerApp_Physical count'!A:A,' General Stock Summary View  '!B330)</f>
        <v>0</v>
      </c>
      <c r="X330" s="4">
        <f t="shared" si="50"/>
        <v>0</v>
      </c>
      <c r="Y330" s="5">
        <f>SUMIFS('XBS '!T:T,'XBS '!H:H,' General Stock Summary View  '!$Y$2,'XBS '!B:B,' General Stock Summary View  '!C330,'XBS '!L:L,' General Stock Summary View  '!B330)</f>
        <v>0</v>
      </c>
      <c r="Z330" s="3">
        <f>SUMIFS('PowerApp_Physical count'!H:H,'PowerApp_Physical count'!B:B,' General Stock Summary View  '!$Y$2,'PowerApp_Physical count'!C:C,' General Stock Summary View  '!C330,'PowerApp_Physical count'!A:A,' General Stock Summary View  '!B330)</f>
        <v>0</v>
      </c>
      <c r="AA330" s="4">
        <f t="shared" si="51"/>
        <v>0</v>
      </c>
      <c r="AB330" s="5">
        <f>SUMIFS('XBS '!T:T,'XBS '!H:H,' General Stock Summary View  '!$AB$2,'XBS '!B:B,' General Stock Summary View  '!C330,'XBS '!L:L,' General Stock Summary View  '!B330)</f>
        <v>0</v>
      </c>
      <c r="AC330" s="3">
        <f>SUMIFS('PowerApp_Physical count'!H:H,'PowerApp_Physical count'!B:B,' General Stock Summary View  '!$AB$2,'PowerApp_Physical count'!C:C,' General Stock Summary View  '!C330,'PowerApp_Physical count'!A:A,' General Stock Summary View  '!B330)</f>
        <v>0</v>
      </c>
      <c r="AD330" s="6">
        <f t="shared" si="52"/>
        <v>0</v>
      </c>
      <c r="AE330" s="7">
        <f t="shared" si="53"/>
        <v>0</v>
      </c>
      <c r="AF330" s="8">
        <f t="shared" si="54"/>
        <v>-0.25</v>
      </c>
      <c r="AG330" s="112"/>
    </row>
    <row r="331" spans="2:33" s="113" customFormat="1" ht="61.15">
      <c r="B331" s="117" t="s">
        <v>335</v>
      </c>
      <c r="C331" s="111" t="s">
        <v>327</v>
      </c>
      <c r="D331" s="11">
        <f>SUMIFS('XBS '!T:T,'XBS '!C:C,' General Stock Summary View  '!C331,'XBS '!L:L,' General Stock Summary View  '!B331)</f>
        <v>0.44333333333333336</v>
      </c>
      <c r="E331" s="2">
        <f>SUMIFS('Blocked for Processing'!P:P,'Blocked for Processing'!I:I,' General Stock Summary View  '!B331,'Blocked for Processing'!C:C,' General Stock Summary View  '!C331)</f>
        <v>0</v>
      </c>
      <c r="F331" s="122">
        <f t="shared" si="43"/>
        <v>0.44333333333333336</v>
      </c>
      <c r="G331" s="148">
        <f>SUMIFS('XBS '!T:T,'XBS '!H:H,' General Stock Summary View  '!$G$2,'XBS '!L:L,' General Stock Summary View  '!B331,'XBS '!C:C,' General Stock Summary View  '!C331)</f>
        <v>0</v>
      </c>
      <c r="H331" s="3">
        <f>SUMIFS('PowerApp_Physical count'!H:H,'PowerApp_Physical count'!B:B,' General Stock Summary View  '!$G$2,'PowerApp_Physical count'!C:C,' General Stock Summary View  '!C331,'PowerApp_Physical count'!A:A,' General Stock Summary View  '!B331)</f>
        <v>0</v>
      </c>
      <c r="I331" s="154">
        <f t="shared" si="55"/>
        <v>0</v>
      </c>
      <c r="J331" s="11">
        <f>SUMIFS('XBS '!T:T,'XBS '!H:H,' General Stock Summary View  '!$J$2,'XBS '!L:L,' General Stock Summary View  '!B331,'XBS '!C:C,' General Stock Summary View  '!C331)</f>
        <v>0</v>
      </c>
      <c r="K331" s="157">
        <f>SUMIFS('PowerApp_Physical count'!H:H,'PowerApp_Physical count'!B:B,' General Stock Summary View  '!$J$2,'PowerApp_Physical count'!C:C,' General Stock Summary View  '!C331,'PowerApp_Physical count'!A:A,' General Stock Summary View  '!B331)</f>
        <v>0</v>
      </c>
      <c r="L331" s="127">
        <f t="shared" si="44"/>
        <v>0</v>
      </c>
      <c r="M331" s="126">
        <f t="shared" si="45"/>
        <v>0</v>
      </c>
      <c r="N331" s="11">
        <f t="shared" si="46"/>
        <v>0</v>
      </c>
      <c r="O331" s="144">
        <f t="shared" si="47"/>
        <v>0</v>
      </c>
      <c r="P331" s="2">
        <f>SUMIFS('XBS '!T:T,'XBS '!H:H,' General Stock Summary View  '!$P$2,'XBS '!L:L,' General Stock Summary View  '!B331,'XBS '!C:C,' General Stock Summary View  '!C331)</f>
        <v>0.44333333333333336</v>
      </c>
      <c r="Q331" s="3">
        <f>SUMIFS('PowerApp_Physical count'!H:H,'PowerApp_Physical count'!B:B,' General Stock Summary View  '!$P$2,'PowerApp_Physical count'!C:C,' General Stock Summary View  '!C331,'PowerApp_Physical count'!A:A,' General Stock Summary View  '!B331)</f>
        <v>0</v>
      </c>
      <c r="R331" s="4">
        <f t="shared" si="48"/>
        <v>-0.44333333333333336</v>
      </c>
      <c r="S331" s="5">
        <f>SUMIFS('XBS '!T:T,'XBS '!L:L,' General Stock Summary View  '!B331,'XBS '!H:H,' General Stock Summary View  '!$S$2,'XBS '!C:C,' General Stock Summary View  '!C331)</f>
        <v>0</v>
      </c>
      <c r="T331" s="3">
        <f>SUMIFS('PowerApp_Physical count'!H:H,'PowerApp_Physical count'!B:B,' General Stock Summary View  '!$S$2,'PowerApp_Physical count'!C:C,' General Stock Summary View  '!C331,'PowerApp_Physical count'!A:A,' General Stock Summary View  '!B331)</f>
        <v>0</v>
      </c>
      <c r="U331" s="4">
        <f t="shared" si="49"/>
        <v>0</v>
      </c>
      <c r="V331" s="2">
        <f>SUMIFS('XBS '!T:T,'XBS '!H:H,' General Stock Summary View  '!$V$2,'XBS '!B:B,' General Stock Summary View  '!C331,'XBS '!L:L,' General Stock Summary View  '!B331)</f>
        <v>0</v>
      </c>
      <c r="W331" s="3">
        <f>SUMIFS('PowerApp_Physical count'!H:H,'PowerApp_Physical count'!B:B,' General Stock Summary View  '!$V$2,'PowerApp_Physical count'!C:C,' General Stock Summary View  '!C331,'PowerApp_Physical count'!A:A,' General Stock Summary View  '!B331)</f>
        <v>0</v>
      </c>
      <c r="X331" s="4">
        <f t="shared" si="50"/>
        <v>0</v>
      </c>
      <c r="Y331" s="5">
        <f>SUMIFS('XBS '!T:T,'XBS '!H:H,' General Stock Summary View  '!$Y$2,'XBS '!B:B,' General Stock Summary View  '!C331,'XBS '!L:L,' General Stock Summary View  '!B331)</f>
        <v>0</v>
      </c>
      <c r="Z331" s="3">
        <f>SUMIFS('PowerApp_Physical count'!H:H,'PowerApp_Physical count'!B:B,' General Stock Summary View  '!$Y$2,'PowerApp_Physical count'!C:C,' General Stock Summary View  '!C331,'PowerApp_Physical count'!A:A,' General Stock Summary View  '!B331)</f>
        <v>0</v>
      </c>
      <c r="AA331" s="4">
        <f t="shared" si="51"/>
        <v>0</v>
      </c>
      <c r="AB331" s="5">
        <f>SUMIFS('XBS '!T:T,'XBS '!H:H,' General Stock Summary View  '!$AB$2,'XBS '!B:B,' General Stock Summary View  '!C331,'XBS '!L:L,' General Stock Summary View  '!B331)</f>
        <v>0</v>
      </c>
      <c r="AC331" s="3">
        <f>SUMIFS('PowerApp_Physical count'!H:H,'PowerApp_Physical count'!B:B,' General Stock Summary View  '!$AB$2,'PowerApp_Physical count'!C:C,' General Stock Summary View  '!C331,'PowerApp_Physical count'!A:A,' General Stock Summary View  '!B331)</f>
        <v>0</v>
      </c>
      <c r="AD331" s="6">
        <f t="shared" si="52"/>
        <v>0</v>
      </c>
      <c r="AE331" s="7">
        <f t="shared" si="53"/>
        <v>0</v>
      </c>
      <c r="AF331" s="8">
        <f t="shared" si="54"/>
        <v>-0.44333333333333336</v>
      </c>
      <c r="AG331" s="112"/>
    </row>
    <row r="332" spans="2:33" s="113" customFormat="1" ht="61.15">
      <c r="B332" s="117" t="s">
        <v>336</v>
      </c>
      <c r="C332" s="111" t="s">
        <v>337</v>
      </c>
      <c r="D332" s="11">
        <f>SUMIFS('XBS '!T:T,'XBS '!C:C,' General Stock Summary View  '!C332,'XBS '!L:L,' General Stock Summary View  '!B332)</f>
        <v>16.545000000000002</v>
      </c>
      <c r="E332" s="2">
        <f>SUMIFS('Blocked for Processing'!P:P,'Blocked for Processing'!I:I,' General Stock Summary View  '!B332,'Blocked for Processing'!C:C,' General Stock Summary View  '!C332)</f>
        <v>0</v>
      </c>
      <c r="F332" s="122">
        <f t="shared" si="43"/>
        <v>16.545000000000002</v>
      </c>
      <c r="G332" s="148">
        <f>SUMIFS('XBS '!T:T,'XBS '!H:H,' General Stock Summary View  '!$G$2,'XBS '!L:L,' General Stock Summary View  '!B332,'XBS '!C:C,' General Stock Summary View  '!C332)</f>
        <v>16.545000000000002</v>
      </c>
      <c r="H332" s="3">
        <f>SUMIFS('PowerApp_Physical count'!H:H,'PowerApp_Physical count'!B:B,' General Stock Summary View  '!$G$2,'PowerApp_Physical count'!C:C,' General Stock Summary View  '!C332,'PowerApp_Physical count'!A:A,' General Stock Summary View  '!B332)</f>
        <v>16.5</v>
      </c>
      <c r="I332" s="154">
        <f t="shared" si="55"/>
        <v>-4.5000000000001705E-2</v>
      </c>
      <c r="J332" s="11">
        <f>SUMIFS('XBS '!T:T,'XBS '!H:H,' General Stock Summary View  '!$J$2,'XBS '!L:L,' General Stock Summary View  '!B332,'XBS '!C:C,' General Stock Summary View  '!C332)</f>
        <v>0</v>
      </c>
      <c r="K332" s="157">
        <f>SUMIFS('PowerApp_Physical count'!H:H,'PowerApp_Physical count'!B:B,' General Stock Summary View  '!$J$2,'PowerApp_Physical count'!C:C,' General Stock Summary View  '!C332,'PowerApp_Physical count'!A:A,' General Stock Summary View  '!B332)</f>
        <v>0</v>
      </c>
      <c r="L332" s="127">
        <f t="shared" si="44"/>
        <v>0</v>
      </c>
      <c r="M332" s="126">
        <f t="shared" si="45"/>
        <v>16.545000000000002</v>
      </c>
      <c r="N332" s="11">
        <f t="shared" si="46"/>
        <v>16.5</v>
      </c>
      <c r="O332" s="144">
        <f t="shared" si="47"/>
        <v>-4.5000000000001705E-2</v>
      </c>
      <c r="P332" s="2">
        <f>SUMIFS('XBS '!T:T,'XBS '!H:H,' General Stock Summary View  '!$P$2,'XBS '!L:L,' General Stock Summary View  '!B332,'XBS '!C:C,' General Stock Summary View  '!C332)</f>
        <v>0</v>
      </c>
      <c r="Q332" s="3">
        <f>SUMIFS('PowerApp_Physical count'!H:H,'PowerApp_Physical count'!B:B,' General Stock Summary View  '!$P$2,'PowerApp_Physical count'!C:C,' General Stock Summary View  '!C332,'PowerApp_Physical count'!A:A,' General Stock Summary View  '!B332)</f>
        <v>0</v>
      </c>
      <c r="R332" s="4">
        <f t="shared" si="48"/>
        <v>0</v>
      </c>
      <c r="S332" s="5">
        <f>SUMIFS('XBS '!T:T,'XBS '!L:L,' General Stock Summary View  '!B332,'XBS '!H:H,' General Stock Summary View  '!$S$2,'XBS '!C:C,' General Stock Summary View  '!C332)</f>
        <v>0</v>
      </c>
      <c r="T332" s="3">
        <f>SUMIFS('PowerApp_Physical count'!H:H,'PowerApp_Physical count'!B:B,' General Stock Summary View  '!$S$2,'PowerApp_Physical count'!C:C,' General Stock Summary View  '!C332,'PowerApp_Physical count'!A:A,' General Stock Summary View  '!B332)</f>
        <v>0</v>
      </c>
      <c r="U332" s="4">
        <f t="shared" si="49"/>
        <v>0</v>
      </c>
      <c r="V332" s="2">
        <f>SUMIFS('XBS '!T:T,'XBS '!H:H,' General Stock Summary View  '!$V$2,'XBS '!B:B,' General Stock Summary View  '!C332,'XBS '!L:L,' General Stock Summary View  '!B332)</f>
        <v>0</v>
      </c>
      <c r="W332" s="3">
        <f>SUMIFS('PowerApp_Physical count'!H:H,'PowerApp_Physical count'!B:B,' General Stock Summary View  '!$V$2,'PowerApp_Physical count'!C:C,' General Stock Summary View  '!C332,'PowerApp_Physical count'!A:A,' General Stock Summary View  '!B332)</f>
        <v>0</v>
      </c>
      <c r="X332" s="4">
        <f t="shared" si="50"/>
        <v>0</v>
      </c>
      <c r="Y332" s="5">
        <f>SUMIFS('XBS '!T:T,'XBS '!H:H,' General Stock Summary View  '!$Y$2,'XBS '!B:B,' General Stock Summary View  '!C332,'XBS '!L:L,' General Stock Summary View  '!B332)</f>
        <v>0</v>
      </c>
      <c r="Z332" s="3">
        <f>SUMIFS('PowerApp_Physical count'!H:H,'PowerApp_Physical count'!B:B,' General Stock Summary View  '!$Y$2,'PowerApp_Physical count'!C:C,' General Stock Summary View  '!C332,'PowerApp_Physical count'!A:A,' General Stock Summary View  '!B332)</f>
        <v>0</v>
      </c>
      <c r="AA332" s="4">
        <f t="shared" si="51"/>
        <v>0</v>
      </c>
      <c r="AB332" s="5">
        <f>SUMIFS('XBS '!T:T,'XBS '!H:H,' General Stock Summary View  '!$AB$2,'XBS '!B:B,' General Stock Summary View  '!C332,'XBS '!L:L,' General Stock Summary View  '!B332)</f>
        <v>0</v>
      </c>
      <c r="AC332" s="3">
        <f>SUMIFS('PowerApp_Physical count'!H:H,'PowerApp_Physical count'!B:B,' General Stock Summary View  '!$AB$2,'PowerApp_Physical count'!C:C,' General Stock Summary View  '!C332,'PowerApp_Physical count'!A:A,' General Stock Summary View  '!B332)</f>
        <v>0</v>
      </c>
      <c r="AD332" s="6">
        <f t="shared" si="52"/>
        <v>0</v>
      </c>
      <c r="AE332" s="7">
        <f t="shared" si="53"/>
        <v>16.5</v>
      </c>
      <c r="AF332" s="8">
        <f t="shared" si="54"/>
        <v>-4.5000000000001705E-2</v>
      </c>
      <c r="AG332" s="112"/>
    </row>
    <row r="333" spans="2:33" s="113" customFormat="1" ht="61.15">
      <c r="B333" s="117" t="s">
        <v>338</v>
      </c>
      <c r="C333" s="111" t="s">
        <v>337</v>
      </c>
      <c r="D333" s="11">
        <f>SUMIFS('XBS '!T:T,'XBS '!C:C,' General Stock Summary View  '!C333,'XBS '!L:L,' General Stock Summary View  '!B333)</f>
        <v>0.83333333333333337</v>
      </c>
      <c r="E333" s="2">
        <f>SUMIFS('Blocked for Processing'!P:P,'Blocked for Processing'!I:I,' General Stock Summary View  '!B333,'Blocked for Processing'!C:C,' General Stock Summary View  '!C333)</f>
        <v>0</v>
      </c>
      <c r="F333" s="122">
        <f t="shared" si="43"/>
        <v>0.83333333333333337</v>
      </c>
      <c r="G333" s="148">
        <f>SUMIFS('XBS '!T:T,'XBS '!H:H,' General Stock Summary View  '!$G$2,'XBS '!L:L,' General Stock Summary View  '!B333,'XBS '!C:C,' General Stock Summary View  '!C333)</f>
        <v>0</v>
      </c>
      <c r="H333" s="3">
        <f>SUMIFS('PowerApp_Physical count'!H:H,'PowerApp_Physical count'!B:B,' General Stock Summary View  '!$G$2,'PowerApp_Physical count'!C:C,' General Stock Summary View  '!C333,'PowerApp_Physical count'!A:A,' General Stock Summary View  '!B333)</f>
        <v>0</v>
      </c>
      <c r="I333" s="154">
        <f t="shared" si="55"/>
        <v>0</v>
      </c>
      <c r="J333" s="11">
        <f>SUMIFS('XBS '!T:T,'XBS '!H:H,' General Stock Summary View  '!$J$2,'XBS '!L:L,' General Stock Summary View  '!B333,'XBS '!C:C,' General Stock Summary View  '!C333)</f>
        <v>0</v>
      </c>
      <c r="K333" s="157">
        <f>SUMIFS('PowerApp_Physical count'!H:H,'PowerApp_Physical count'!B:B,' General Stock Summary View  '!$J$2,'PowerApp_Physical count'!C:C,' General Stock Summary View  '!C333,'PowerApp_Physical count'!A:A,' General Stock Summary View  '!B333)</f>
        <v>0</v>
      </c>
      <c r="L333" s="127">
        <f t="shared" si="44"/>
        <v>0</v>
      </c>
      <c r="M333" s="126">
        <f t="shared" si="45"/>
        <v>0</v>
      </c>
      <c r="N333" s="11">
        <f t="shared" si="46"/>
        <v>0</v>
      </c>
      <c r="O333" s="144">
        <f t="shared" si="47"/>
        <v>0</v>
      </c>
      <c r="P333" s="2">
        <f>SUMIFS('XBS '!T:T,'XBS '!H:H,' General Stock Summary View  '!$P$2,'XBS '!L:L,' General Stock Summary View  '!B333,'XBS '!C:C,' General Stock Summary View  '!C333)</f>
        <v>0.83333333333333337</v>
      </c>
      <c r="Q333" s="3">
        <f>SUMIFS('PowerApp_Physical count'!H:H,'PowerApp_Physical count'!B:B,' General Stock Summary View  '!$P$2,'PowerApp_Physical count'!C:C,' General Stock Summary View  '!C333,'PowerApp_Physical count'!A:A,' General Stock Summary View  '!B333)</f>
        <v>0</v>
      </c>
      <c r="R333" s="4">
        <f t="shared" si="48"/>
        <v>-0.83333333333333337</v>
      </c>
      <c r="S333" s="5">
        <f>SUMIFS('XBS '!T:T,'XBS '!L:L,' General Stock Summary View  '!B333,'XBS '!H:H,' General Stock Summary View  '!$S$2,'XBS '!C:C,' General Stock Summary View  '!C333)</f>
        <v>0</v>
      </c>
      <c r="T333" s="3">
        <f>SUMIFS('PowerApp_Physical count'!H:H,'PowerApp_Physical count'!B:B,' General Stock Summary View  '!$S$2,'PowerApp_Physical count'!C:C,' General Stock Summary View  '!C333,'PowerApp_Physical count'!A:A,' General Stock Summary View  '!B333)</f>
        <v>0</v>
      </c>
      <c r="U333" s="4">
        <f t="shared" si="49"/>
        <v>0</v>
      </c>
      <c r="V333" s="2">
        <f>SUMIFS('XBS '!T:T,'XBS '!H:H,' General Stock Summary View  '!$V$2,'XBS '!B:B,' General Stock Summary View  '!C333,'XBS '!L:L,' General Stock Summary View  '!B333)</f>
        <v>0</v>
      </c>
      <c r="W333" s="3">
        <f>SUMIFS('PowerApp_Physical count'!H:H,'PowerApp_Physical count'!B:B,' General Stock Summary View  '!$V$2,'PowerApp_Physical count'!C:C,' General Stock Summary View  '!C333,'PowerApp_Physical count'!A:A,' General Stock Summary View  '!B333)</f>
        <v>0</v>
      </c>
      <c r="X333" s="4">
        <f t="shared" si="50"/>
        <v>0</v>
      </c>
      <c r="Y333" s="5">
        <f>SUMIFS('XBS '!T:T,'XBS '!H:H,' General Stock Summary View  '!$Y$2,'XBS '!B:B,' General Stock Summary View  '!C333,'XBS '!L:L,' General Stock Summary View  '!B333)</f>
        <v>0</v>
      </c>
      <c r="Z333" s="3">
        <f>SUMIFS('PowerApp_Physical count'!H:H,'PowerApp_Physical count'!B:B,' General Stock Summary View  '!$Y$2,'PowerApp_Physical count'!C:C,' General Stock Summary View  '!C333,'PowerApp_Physical count'!A:A,' General Stock Summary View  '!B333)</f>
        <v>0</v>
      </c>
      <c r="AA333" s="4">
        <f t="shared" si="51"/>
        <v>0</v>
      </c>
      <c r="AB333" s="5">
        <f>SUMIFS('XBS '!T:T,'XBS '!H:H,' General Stock Summary View  '!$AB$2,'XBS '!B:B,' General Stock Summary View  '!C333,'XBS '!L:L,' General Stock Summary View  '!B333)</f>
        <v>0</v>
      </c>
      <c r="AC333" s="3">
        <f>SUMIFS('PowerApp_Physical count'!H:H,'PowerApp_Physical count'!B:B,' General Stock Summary View  '!$AB$2,'PowerApp_Physical count'!C:C,' General Stock Summary View  '!C333,'PowerApp_Physical count'!A:A,' General Stock Summary View  '!B333)</f>
        <v>0</v>
      </c>
      <c r="AD333" s="6">
        <f t="shared" si="52"/>
        <v>0</v>
      </c>
      <c r="AE333" s="7">
        <f t="shared" si="53"/>
        <v>0</v>
      </c>
      <c r="AF333" s="8">
        <f t="shared" si="54"/>
        <v>-0.83333333333333337</v>
      </c>
      <c r="AG333" s="112"/>
    </row>
    <row r="334" spans="2:33" s="113" customFormat="1" ht="61.15">
      <c r="B334" s="117" t="s">
        <v>339</v>
      </c>
      <c r="C334" s="111" t="s">
        <v>337</v>
      </c>
      <c r="D334" s="11">
        <f>SUMIFS('XBS '!T:T,'XBS '!C:C,' General Stock Summary View  '!C334,'XBS '!L:L,' General Stock Summary View  '!B334)</f>
        <v>8.5983333333333327</v>
      </c>
      <c r="E334" s="2">
        <f>SUMIFS('Blocked for Processing'!P:P,'Blocked for Processing'!I:I,' General Stock Summary View  '!B334,'Blocked for Processing'!C:C,' General Stock Summary View  '!C334)</f>
        <v>0</v>
      </c>
      <c r="F334" s="122">
        <f t="shared" si="43"/>
        <v>8.5983333333333327</v>
      </c>
      <c r="G334" s="148">
        <f>SUMIFS('XBS '!T:T,'XBS '!H:H,' General Stock Summary View  '!$G$2,'XBS '!L:L,' General Stock Summary View  '!B334,'XBS '!C:C,' General Stock Summary View  '!C334)</f>
        <v>8.5983333333333327</v>
      </c>
      <c r="H334" s="3">
        <f>SUMIFS('PowerApp_Physical count'!H:H,'PowerApp_Physical count'!B:B,' General Stock Summary View  '!$G$2,'PowerApp_Physical count'!C:C,' General Stock Summary View  '!C334,'PowerApp_Physical count'!A:A,' General Stock Summary View  '!B334)</f>
        <v>8.65</v>
      </c>
      <c r="I334" s="154">
        <f t="shared" si="55"/>
        <v>5.1666666666667638E-2</v>
      </c>
      <c r="J334" s="11">
        <f>SUMIFS('XBS '!T:T,'XBS '!H:H,' General Stock Summary View  '!$J$2,'XBS '!L:L,' General Stock Summary View  '!B334,'XBS '!C:C,' General Stock Summary View  '!C334)</f>
        <v>0</v>
      </c>
      <c r="K334" s="157">
        <f>SUMIFS('PowerApp_Physical count'!H:H,'PowerApp_Physical count'!B:B,' General Stock Summary View  '!$J$2,'PowerApp_Physical count'!C:C,' General Stock Summary View  '!C334,'PowerApp_Physical count'!A:A,' General Stock Summary View  '!B334)</f>
        <v>0</v>
      </c>
      <c r="L334" s="127">
        <f t="shared" si="44"/>
        <v>0</v>
      </c>
      <c r="M334" s="126">
        <f t="shared" si="45"/>
        <v>8.5983333333333327</v>
      </c>
      <c r="N334" s="11">
        <f t="shared" si="46"/>
        <v>8.65</v>
      </c>
      <c r="O334" s="144">
        <f t="shared" si="47"/>
        <v>5.1666666666667638E-2</v>
      </c>
      <c r="P334" s="2">
        <f>SUMIFS('XBS '!T:T,'XBS '!H:H,' General Stock Summary View  '!$P$2,'XBS '!L:L,' General Stock Summary View  '!B334,'XBS '!C:C,' General Stock Summary View  '!C334)</f>
        <v>0</v>
      </c>
      <c r="Q334" s="3">
        <f>SUMIFS('PowerApp_Physical count'!H:H,'PowerApp_Physical count'!B:B,' General Stock Summary View  '!$P$2,'PowerApp_Physical count'!C:C,' General Stock Summary View  '!C334,'PowerApp_Physical count'!A:A,' General Stock Summary View  '!B334)</f>
        <v>0</v>
      </c>
      <c r="R334" s="4">
        <f t="shared" si="48"/>
        <v>0</v>
      </c>
      <c r="S334" s="5">
        <f>SUMIFS('XBS '!T:T,'XBS '!L:L,' General Stock Summary View  '!B334,'XBS '!H:H,' General Stock Summary View  '!$S$2,'XBS '!C:C,' General Stock Summary View  '!C334)</f>
        <v>0</v>
      </c>
      <c r="T334" s="3">
        <f>SUMIFS('PowerApp_Physical count'!H:H,'PowerApp_Physical count'!B:B,' General Stock Summary View  '!$S$2,'PowerApp_Physical count'!C:C,' General Stock Summary View  '!C334,'PowerApp_Physical count'!A:A,' General Stock Summary View  '!B334)</f>
        <v>0</v>
      </c>
      <c r="U334" s="4">
        <f t="shared" si="49"/>
        <v>0</v>
      </c>
      <c r="V334" s="2">
        <f>SUMIFS('XBS '!T:T,'XBS '!H:H,' General Stock Summary View  '!$V$2,'XBS '!B:B,' General Stock Summary View  '!C334,'XBS '!L:L,' General Stock Summary View  '!B334)</f>
        <v>0</v>
      </c>
      <c r="W334" s="3">
        <f>SUMIFS('PowerApp_Physical count'!H:H,'PowerApp_Physical count'!B:B,' General Stock Summary View  '!$V$2,'PowerApp_Physical count'!C:C,' General Stock Summary View  '!C334,'PowerApp_Physical count'!A:A,' General Stock Summary View  '!B334)</f>
        <v>0</v>
      </c>
      <c r="X334" s="4">
        <f t="shared" si="50"/>
        <v>0</v>
      </c>
      <c r="Y334" s="5">
        <f>SUMIFS('XBS '!T:T,'XBS '!H:H,' General Stock Summary View  '!$Y$2,'XBS '!B:B,' General Stock Summary View  '!C334,'XBS '!L:L,' General Stock Summary View  '!B334)</f>
        <v>0</v>
      </c>
      <c r="Z334" s="3">
        <f>SUMIFS('PowerApp_Physical count'!H:H,'PowerApp_Physical count'!B:B,' General Stock Summary View  '!$Y$2,'PowerApp_Physical count'!C:C,' General Stock Summary View  '!C334,'PowerApp_Physical count'!A:A,' General Stock Summary View  '!B334)</f>
        <v>0</v>
      </c>
      <c r="AA334" s="4">
        <f t="shared" si="51"/>
        <v>0</v>
      </c>
      <c r="AB334" s="5">
        <f>SUMIFS('XBS '!T:T,'XBS '!H:H,' General Stock Summary View  '!$AB$2,'XBS '!B:B,' General Stock Summary View  '!C334,'XBS '!L:L,' General Stock Summary View  '!B334)</f>
        <v>0</v>
      </c>
      <c r="AC334" s="3">
        <f>SUMIFS('PowerApp_Physical count'!H:H,'PowerApp_Physical count'!B:B,' General Stock Summary View  '!$AB$2,'PowerApp_Physical count'!C:C,' General Stock Summary View  '!C334,'PowerApp_Physical count'!A:A,' General Stock Summary View  '!B334)</f>
        <v>0</v>
      </c>
      <c r="AD334" s="6">
        <f t="shared" si="52"/>
        <v>0</v>
      </c>
      <c r="AE334" s="7">
        <f t="shared" si="53"/>
        <v>8.65</v>
      </c>
      <c r="AF334" s="8">
        <f t="shared" si="54"/>
        <v>5.1666666666667638E-2</v>
      </c>
      <c r="AG334" s="112"/>
    </row>
    <row r="335" spans="2:33" s="113" customFormat="1" ht="61.15">
      <c r="B335" s="117" t="s">
        <v>340</v>
      </c>
      <c r="C335" s="111" t="s">
        <v>341</v>
      </c>
      <c r="D335" s="11">
        <f>SUMIFS('XBS '!T:T,'XBS '!C:C,' General Stock Summary View  '!C335,'XBS '!L:L,' General Stock Summary View  '!B335)</f>
        <v>4.7</v>
      </c>
      <c r="E335" s="2">
        <f>SUMIFS('Blocked for Processing'!P:P,'Blocked for Processing'!I:I,' General Stock Summary View  '!B335,'Blocked for Processing'!C:C,' General Stock Summary View  '!C335)</f>
        <v>0</v>
      </c>
      <c r="F335" s="122">
        <f t="shared" si="43"/>
        <v>4.7</v>
      </c>
      <c r="G335" s="148">
        <f>SUMIFS('XBS '!T:T,'XBS '!H:H,' General Stock Summary View  '!$G$2,'XBS '!L:L,' General Stock Summary View  '!B335,'XBS '!C:C,' General Stock Summary View  '!C335)</f>
        <v>0</v>
      </c>
      <c r="H335" s="3">
        <f>SUMIFS('PowerApp_Physical count'!H:H,'PowerApp_Physical count'!B:B,' General Stock Summary View  '!$G$2,'PowerApp_Physical count'!C:C,' General Stock Summary View  '!C335,'PowerApp_Physical count'!A:A,' General Stock Summary View  '!B335)</f>
        <v>0</v>
      </c>
      <c r="I335" s="154">
        <f t="shared" si="55"/>
        <v>0</v>
      </c>
      <c r="J335" s="11">
        <f>SUMIFS('XBS '!T:T,'XBS '!H:H,' General Stock Summary View  '!$J$2,'XBS '!L:L,' General Stock Summary View  '!B335,'XBS '!C:C,' General Stock Summary View  '!C335)</f>
        <v>0</v>
      </c>
      <c r="K335" s="157">
        <f>SUMIFS('PowerApp_Physical count'!H:H,'PowerApp_Physical count'!B:B,' General Stock Summary View  '!$J$2,'PowerApp_Physical count'!C:C,' General Stock Summary View  '!C335,'PowerApp_Physical count'!A:A,' General Stock Summary View  '!B335)</f>
        <v>0</v>
      </c>
      <c r="L335" s="127">
        <f t="shared" si="44"/>
        <v>0</v>
      </c>
      <c r="M335" s="126">
        <f t="shared" si="45"/>
        <v>0</v>
      </c>
      <c r="N335" s="11">
        <f t="shared" si="46"/>
        <v>0</v>
      </c>
      <c r="O335" s="144">
        <f t="shared" si="47"/>
        <v>0</v>
      </c>
      <c r="P335" s="2">
        <f>SUMIFS('XBS '!T:T,'XBS '!H:H,' General Stock Summary View  '!$P$2,'XBS '!L:L,' General Stock Summary View  '!B335,'XBS '!C:C,' General Stock Summary View  '!C335)</f>
        <v>4.7</v>
      </c>
      <c r="Q335" s="3">
        <f>SUMIFS('PowerApp_Physical count'!H:H,'PowerApp_Physical count'!B:B,' General Stock Summary View  '!$P$2,'PowerApp_Physical count'!C:C,' General Stock Summary View  '!C335,'PowerApp_Physical count'!A:A,' General Stock Summary View  '!B335)</f>
        <v>0</v>
      </c>
      <c r="R335" s="4">
        <f t="shared" si="48"/>
        <v>-4.7</v>
      </c>
      <c r="S335" s="5">
        <f>SUMIFS('XBS '!T:T,'XBS '!L:L,' General Stock Summary View  '!B335,'XBS '!H:H,' General Stock Summary View  '!$S$2,'XBS '!C:C,' General Stock Summary View  '!C335)</f>
        <v>0</v>
      </c>
      <c r="T335" s="3">
        <f>SUMIFS('PowerApp_Physical count'!H:H,'PowerApp_Physical count'!B:B,' General Stock Summary View  '!$S$2,'PowerApp_Physical count'!C:C,' General Stock Summary View  '!C335,'PowerApp_Physical count'!A:A,' General Stock Summary View  '!B335)</f>
        <v>0</v>
      </c>
      <c r="U335" s="4">
        <f t="shared" si="49"/>
        <v>0</v>
      </c>
      <c r="V335" s="2">
        <f>SUMIFS('XBS '!T:T,'XBS '!H:H,' General Stock Summary View  '!$V$2,'XBS '!B:B,' General Stock Summary View  '!C335,'XBS '!L:L,' General Stock Summary View  '!B335)</f>
        <v>0</v>
      </c>
      <c r="W335" s="3">
        <f>SUMIFS('PowerApp_Physical count'!H:H,'PowerApp_Physical count'!B:B,' General Stock Summary View  '!$V$2,'PowerApp_Physical count'!C:C,' General Stock Summary View  '!C335,'PowerApp_Physical count'!A:A,' General Stock Summary View  '!B335)</f>
        <v>0</v>
      </c>
      <c r="X335" s="4">
        <f t="shared" si="50"/>
        <v>0</v>
      </c>
      <c r="Y335" s="5">
        <f>SUMIFS('XBS '!T:T,'XBS '!H:H,' General Stock Summary View  '!$Y$2,'XBS '!B:B,' General Stock Summary View  '!C335,'XBS '!L:L,' General Stock Summary View  '!B335)</f>
        <v>0</v>
      </c>
      <c r="Z335" s="3">
        <f>SUMIFS('PowerApp_Physical count'!H:H,'PowerApp_Physical count'!B:B,' General Stock Summary View  '!$Y$2,'PowerApp_Physical count'!C:C,' General Stock Summary View  '!C335,'PowerApp_Physical count'!A:A,' General Stock Summary View  '!B335)</f>
        <v>0</v>
      </c>
      <c r="AA335" s="4">
        <f t="shared" si="51"/>
        <v>0</v>
      </c>
      <c r="AB335" s="5">
        <f>SUMIFS('XBS '!T:T,'XBS '!H:H,' General Stock Summary View  '!$AB$2,'XBS '!B:B,' General Stock Summary View  '!C335,'XBS '!L:L,' General Stock Summary View  '!B335)</f>
        <v>0</v>
      </c>
      <c r="AC335" s="3">
        <f>SUMIFS('PowerApp_Physical count'!H:H,'PowerApp_Physical count'!B:B,' General Stock Summary View  '!$AB$2,'PowerApp_Physical count'!C:C,' General Stock Summary View  '!C335,'PowerApp_Physical count'!A:A,' General Stock Summary View  '!B335)</f>
        <v>0</v>
      </c>
      <c r="AD335" s="6">
        <f t="shared" si="52"/>
        <v>0</v>
      </c>
      <c r="AE335" s="7">
        <f t="shared" si="53"/>
        <v>0</v>
      </c>
      <c r="AF335" s="8">
        <f t="shared" si="54"/>
        <v>-4.7</v>
      </c>
      <c r="AG335" s="112"/>
    </row>
    <row r="336" spans="2:33" s="113" customFormat="1" ht="61.15">
      <c r="B336" s="117" t="s">
        <v>342</v>
      </c>
      <c r="C336" s="111" t="s">
        <v>341</v>
      </c>
      <c r="D336" s="11">
        <f>SUMIFS('XBS '!T:T,'XBS '!C:C,' General Stock Summary View  '!C336,'XBS '!L:L,' General Stock Summary View  '!B336)</f>
        <v>120.52833333333334</v>
      </c>
      <c r="E336" s="2">
        <f>SUMIFS('Blocked for Processing'!P:P,'Blocked for Processing'!I:I,' General Stock Summary View  '!B336,'Blocked for Processing'!C:C,' General Stock Summary View  '!C336)</f>
        <v>0</v>
      </c>
      <c r="F336" s="122">
        <f t="shared" ref="F336:F431" si="56">SUM(D336:E336)</f>
        <v>120.52833333333334</v>
      </c>
      <c r="G336" s="148">
        <f>SUMIFS('XBS '!T:T,'XBS '!H:H,' General Stock Summary View  '!$G$2,'XBS '!L:L,' General Stock Summary View  '!B336,'XBS '!C:C,' General Stock Summary View  '!C336)</f>
        <v>116.52833333333334</v>
      </c>
      <c r="H336" s="3">
        <f>SUMIFS('PowerApp_Physical count'!H:H,'PowerApp_Physical count'!B:B,' General Stock Summary View  '!$G$2,'PowerApp_Physical count'!C:C,' General Stock Summary View  '!C336,'PowerApp_Physical count'!A:A,' General Stock Summary View  '!B336)</f>
        <v>116.33333333333334</v>
      </c>
      <c r="I336" s="154">
        <f t="shared" si="55"/>
        <v>-0.19499999999999318</v>
      </c>
      <c r="J336" s="11">
        <f>SUMIFS('XBS '!T:T,'XBS '!H:H,' General Stock Summary View  '!$J$2,'XBS '!L:L,' General Stock Summary View  '!B336,'XBS '!C:C,' General Stock Summary View  '!C336)</f>
        <v>0</v>
      </c>
      <c r="K336" s="157">
        <f>SUMIFS('PowerApp_Physical count'!H:H,'PowerApp_Physical count'!B:B,' General Stock Summary View  '!$J$2,'PowerApp_Physical count'!C:C,' General Stock Summary View  '!C336,'PowerApp_Physical count'!A:A,' General Stock Summary View  '!B336)</f>
        <v>0</v>
      </c>
      <c r="L336" s="127">
        <f t="shared" ref="L336:L431" si="57">K336-J336</f>
        <v>0</v>
      </c>
      <c r="M336" s="126">
        <f t="shared" ref="M336:M431" si="58">J336+G336+E336</f>
        <v>116.52833333333334</v>
      </c>
      <c r="N336" s="11">
        <f t="shared" ref="N336:N431" si="59">K336+H336</f>
        <v>116.33333333333334</v>
      </c>
      <c r="O336" s="144">
        <f t="shared" ref="O336:O431" si="60">N336-M336</f>
        <v>-0.19499999999999318</v>
      </c>
      <c r="P336" s="2">
        <f>SUMIFS('XBS '!T:T,'XBS '!H:H,' General Stock Summary View  '!$P$2,'XBS '!L:L,' General Stock Summary View  '!B336,'XBS '!C:C,' General Stock Summary View  '!C336)</f>
        <v>0</v>
      </c>
      <c r="Q336" s="3">
        <f>SUMIFS('PowerApp_Physical count'!H:H,'PowerApp_Physical count'!B:B,' General Stock Summary View  '!$P$2,'PowerApp_Physical count'!C:C,' General Stock Summary View  '!C336,'PowerApp_Physical count'!A:A,' General Stock Summary View  '!B336)</f>
        <v>0</v>
      </c>
      <c r="R336" s="4">
        <f t="shared" ref="R336:R431" si="61">Q336-P336</f>
        <v>0</v>
      </c>
      <c r="S336" s="5">
        <f>SUMIFS('XBS '!T:T,'XBS '!L:L,' General Stock Summary View  '!B336,'XBS '!H:H,' General Stock Summary View  '!$S$2,'XBS '!C:C,' General Stock Summary View  '!C336)</f>
        <v>0</v>
      </c>
      <c r="T336" s="3">
        <f>SUMIFS('PowerApp_Physical count'!H:H,'PowerApp_Physical count'!B:B,' General Stock Summary View  '!$S$2,'PowerApp_Physical count'!C:C,' General Stock Summary View  '!C336,'PowerApp_Physical count'!A:A,' General Stock Summary View  '!B336)</f>
        <v>0</v>
      </c>
      <c r="U336" s="4">
        <f t="shared" ref="U336:U431" si="62">T336-S336</f>
        <v>0</v>
      </c>
      <c r="V336" s="2">
        <f>SUMIFS('XBS '!T:T,'XBS '!H:H,' General Stock Summary View  '!$V$2,'XBS '!B:B,' General Stock Summary View  '!C336,'XBS '!L:L,' General Stock Summary View  '!B336)</f>
        <v>4</v>
      </c>
      <c r="W336" s="3">
        <f>SUMIFS('PowerApp_Physical count'!H:H,'PowerApp_Physical count'!B:B,' General Stock Summary View  '!$V$2,'PowerApp_Physical count'!C:C,' General Stock Summary View  '!C336,'PowerApp_Physical count'!A:A,' General Stock Summary View  '!B336)</f>
        <v>0</v>
      </c>
      <c r="X336" s="4">
        <f t="shared" ref="X336:X431" si="63">W336-V336</f>
        <v>-4</v>
      </c>
      <c r="Y336" s="5">
        <f>SUMIFS('XBS '!T:T,'XBS '!H:H,' General Stock Summary View  '!$Y$2,'XBS '!B:B,' General Stock Summary View  '!C336,'XBS '!L:L,' General Stock Summary View  '!B336)</f>
        <v>0</v>
      </c>
      <c r="Z336" s="3">
        <f>SUMIFS('PowerApp_Physical count'!H:H,'PowerApp_Physical count'!B:B,' General Stock Summary View  '!$Y$2,'PowerApp_Physical count'!C:C,' General Stock Summary View  '!C336,'PowerApp_Physical count'!A:A,' General Stock Summary View  '!B336)</f>
        <v>0</v>
      </c>
      <c r="AA336" s="4">
        <f t="shared" ref="AA336:AA431" si="64">Z336-Y336</f>
        <v>0</v>
      </c>
      <c r="AB336" s="5">
        <f>SUMIFS('XBS '!T:T,'XBS '!H:H,' General Stock Summary View  '!$AB$2,'XBS '!B:B,' General Stock Summary View  '!C336,'XBS '!L:L,' General Stock Summary View  '!B336)</f>
        <v>0</v>
      </c>
      <c r="AC336" s="3">
        <f>SUMIFS('PowerApp_Physical count'!H:H,'PowerApp_Physical count'!B:B,' General Stock Summary View  '!$AB$2,'PowerApp_Physical count'!C:C,' General Stock Summary View  '!C336,'PowerApp_Physical count'!A:A,' General Stock Summary View  '!B336)</f>
        <v>0</v>
      </c>
      <c r="AD336" s="6">
        <f t="shared" ref="AD336:AD431" si="65">AC336-AB336</f>
        <v>0</v>
      </c>
      <c r="AE336" s="7">
        <f t="shared" ref="AE336:AE431" si="66">SUM(H336,Q336,T336,W336,Z336,AC336+K336)</f>
        <v>116.33333333333334</v>
      </c>
      <c r="AF336" s="8">
        <f t="shared" ref="AF336:AF431" si="67">AE336-F336</f>
        <v>-4.1949999999999932</v>
      </c>
      <c r="AG336" s="112"/>
    </row>
    <row r="337" spans="2:33" s="113" customFormat="1" ht="61.15">
      <c r="B337" s="117" t="s">
        <v>343</v>
      </c>
      <c r="C337" s="111" t="s">
        <v>344</v>
      </c>
      <c r="D337" s="11">
        <f>SUMIFS('XBS '!T:T,'XBS '!C:C,' General Stock Summary View  '!C337,'XBS '!L:L,' General Stock Summary View  '!B337)</f>
        <v>2.605</v>
      </c>
      <c r="E337" s="2">
        <f>SUMIFS('Blocked for Processing'!P:P,'Blocked for Processing'!I:I,' General Stock Summary View  '!B337,'Blocked for Processing'!C:C,' General Stock Summary View  '!C337)</f>
        <v>0</v>
      </c>
      <c r="F337" s="122">
        <f t="shared" si="56"/>
        <v>2.605</v>
      </c>
      <c r="G337" s="148">
        <f>SUMIFS('XBS '!T:T,'XBS '!H:H,' General Stock Summary View  '!$G$2,'XBS '!L:L,' General Stock Summary View  '!B337,'XBS '!C:C,' General Stock Summary View  '!C337)</f>
        <v>2.605</v>
      </c>
      <c r="H337" s="3">
        <f>SUMIFS('PowerApp_Physical count'!H:H,'PowerApp_Physical count'!B:B,' General Stock Summary View  '!$G$2,'PowerApp_Physical count'!C:C,' General Stock Summary View  '!C337,'PowerApp_Physical count'!A:A,' General Stock Summary View  '!B337)</f>
        <v>2.75</v>
      </c>
      <c r="I337" s="154">
        <f t="shared" ref="I337:I398" si="68">H337-G337</f>
        <v>0.14500000000000002</v>
      </c>
      <c r="J337" s="11">
        <f>SUMIFS('XBS '!T:T,'XBS '!H:H,' General Stock Summary View  '!$J$2,'XBS '!L:L,' General Stock Summary View  '!B337,'XBS '!C:C,' General Stock Summary View  '!C337)</f>
        <v>0</v>
      </c>
      <c r="K337" s="157">
        <f>SUMIFS('PowerApp_Physical count'!H:H,'PowerApp_Physical count'!B:B,' General Stock Summary View  '!$J$2,'PowerApp_Physical count'!C:C,' General Stock Summary View  '!C337,'PowerApp_Physical count'!A:A,' General Stock Summary View  '!B337)</f>
        <v>0</v>
      </c>
      <c r="L337" s="127">
        <f t="shared" si="57"/>
        <v>0</v>
      </c>
      <c r="M337" s="126">
        <f t="shared" si="58"/>
        <v>2.605</v>
      </c>
      <c r="N337" s="11">
        <f t="shared" si="59"/>
        <v>2.75</v>
      </c>
      <c r="O337" s="144">
        <f t="shared" si="60"/>
        <v>0.14500000000000002</v>
      </c>
      <c r="P337" s="2">
        <f>SUMIFS('XBS '!T:T,'XBS '!H:H,' General Stock Summary View  '!$P$2,'XBS '!L:L,' General Stock Summary View  '!B337,'XBS '!C:C,' General Stock Summary View  '!C337)</f>
        <v>0</v>
      </c>
      <c r="Q337" s="3">
        <f>SUMIFS('PowerApp_Physical count'!H:H,'PowerApp_Physical count'!B:B,' General Stock Summary View  '!$P$2,'PowerApp_Physical count'!C:C,' General Stock Summary View  '!C337,'PowerApp_Physical count'!A:A,' General Stock Summary View  '!B337)</f>
        <v>0</v>
      </c>
      <c r="R337" s="4">
        <f t="shared" si="61"/>
        <v>0</v>
      </c>
      <c r="S337" s="5">
        <f>SUMIFS('XBS '!T:T,'XBS '!L:L,' General Stock Summary View  '!B337,'XBS '!H:H,' General Stock Summary View  '!$S$2,'XBS '!C:C,' General Stock Summary View  '!C337)</f>
        <v>0</v>
      </c>
      <c r="T337" s="3">
        <f>SUMIFS('PowerApp_Physical count'!H:H,'PowerApp_Physical count'!B:B,' General Stock Summary View  '!$S$2,'PowerApp_Physical count'!C:C,' General Stock Summary View  '!C337,'PowerApp_Physical count'!A:A,' General Stock Summary View  '!B337)</f>
        <v>0</v>
      </c>
      <c r="U337" s="4">
        <f t="shared" si="62"/>
        <v>0</v>
      </c>
      <c r="V337" s="2">
        <f>SUMIFS('XBS '!T:T,'XBS '!H:H,' General Stock Summary View  '!$V$2,'XBS '!B:B,' General Stock Summary View  '!C337,'XBS '!L:L,' General Stock Summary View  '!B337)</f>
        <v>0</v>
      </c>
      <c r="W337" s="3">
        <f>SUMIFS('PowerApp_Physical count'!H:H,'PowerApp_Physical count'!B:B,' General Stock Summary View  '!$V$2,'PowerApp_Physical count'!C:C,' General Stock Summary View  '!C337,'PowerApp_Physical count'!A:A,' General Stock Summary View  '!B337)</f>
        <v>0</v>
      </c>
      <c r="X337" s="4">
        <f t="shared" si="63"/>
        <v>0</v>
      </c>
      <c r="Y337" s="5">
        <f>SUMIFS('XBS '!T:T,'XBS '!H:H,' General Stock Summary View  '!$Y$2,'XBS '!B:B,' General Stock Summary View  '!C337,'XBS '!L:L,' General Stock Summary View  '!B337)</f>
        <v>0</v>
      </c>
      <c r="Z337" s="3">
        <f>SUMIFS('PowerApp_Physical count'!H:H,'PowerApp_Physical count'!B:B,' General Stock Summary View  '!$Y$2,'PowerApp_Physical count'!C:C,' General Stock Summary View  '!C337,'PowerApp_Physical count'!A:A,' General Stock Summary View  '!B337)</f>
        <v>0</v>
      </c>
      <c r="AA337" s="4">
        <f t="shared" si="64"/>
        <v>0</v>
      </c>
      <c r="AB337" s="5">
        <f>SUMIFS('XBS '!T:T,'XBS '!H:H,' General Stock Summary View  '!$AB$2,'XBS '!B:B,' General Stock Summary View  '!C337,'XBS '!L:L,' General Stock Summary View  '!B337)</f>
        <v>0</v>
      </c>
      <c r="AC337" s="3">
        <f>SUMIFS('PowerApp_Physical count'!H:H,'PowerApp_Physical count'!B:B,' General Stock Summary View  '!$AB$2,'PowerApp_Physical count'!C:C,' General Stock Summary View  '!C337,'PowerApp_Physical count'!A:A,' General Stock Summary View  '!B337)</f>
        <v>0</v>
      </c>
      <c r="AD337" s="6">
        <f t="shared" si="65"/>
        <v>0</v>
      </c>
      <c r="AE337" s="7">
        <f t="shared" si="66"/>
        <v>2.75</v>
      </c>
      <c r="AF337" s="8">
        <f t="shared" si="67"/>
        <v>0.14500000000000002</v>
      </c>
      <c r="AG337" s="112"/>
    </row>
    <row r="338" spans="2:33" s="113" customFormat="1" ht="61.15">
      <c r="B338" s="117" t="s">
        <v>345</v>
      </c>
      <c r="C338" s="111" t="s">
        <v>344</v>
      </c>
      <c r="D338" s="11">
        <f>SUMIFS('XBS '!T:T,'XBS '!C:C,' General Stock Summary View  '!C338,'XBS '!L:L,' General Stock Summary View  '!B338)</f>
        <v>6.0266666666666673</v>
      </c>
      <c r="E338" s="2">
        <f>SUMIFS('Blocked for Processing'!P:P,'Blocked for Processing'!I:I,' General Stock Summary View  '!B338,'Blocked for Processing'!C:C,' General Stock Summary View  '!C338)</f>
        <v>0</v>
      </c>
      <c r="F338" s="122">
        <f t="shared" si="56"/>
        <v>6.0266666666666673</v>
      </c>
      <c r="G338" s="148">
        <f>SUMIFS('XBS '!T:T,'XBS '!H:H,' General Stock Summary View  '!$G$2,'XBS '!L:L,' General Stock Summary View  '!B338,'XBS '!C:C,' General Stock Summary View  '!C338)</f>
        <v>6.0266666666666673</v>
      </c>
      <c r="H338" s="3">
        <f>SUMIFS('PowerApp_Physical count'!H:H,'PowerApp_Physical count'!B:B,' General Stock Summary View  '!$G$2,'PowerApp_Physical count'!C:C,' General Stock Summary View  '!C338,'PowerApp_Physical count'!A:A,' General Stock Summary View  '!B338)</f>
        <v>5.8666666666666663</v>
      </c>
      <c r="I338" s="154">
        <f t="shared" si="68"/>
        <v>-0.16000000000000103</v>
      </c>
      <c r="J338" s="11">
        <f>SUMIFS('XBS '!T:T,'XBS '!H:H,' General Stock Summary View  '!$J$2,'XBS '!L:L,' General Stock Summary View  '!B338,'XBS '!C:C,' General Stock Summary View  '!C338)</f>
        <v>0</v>
      </c>
      <c r="K338" s="157">
        <f>SUMIFS('PowerApp_Physical count'!H:H,'PowerApp_Physical count'!B:B,' General Stock Summary View  '!$J$2,'PowerApp_Physical count'!C:C,' General Stock Summary View  '!C338,'PowerApp_Physical count'!A:A,' General Stock Summary View  '!B338)</f>
        <v>0</v>
      </c>
      <c r="L338" s="127">
        <f t="shared" si="57"/>
        <v>0</v>
      </c>
      <c r="M338" s="126">
        <f t="shared" si="58"/>
        <v>6.0266666666666673</v>
      </c>
      <c r="N338" s="11">
        <f t="shared" si="59"/>
        <v>5.8666666666666663</v>
      </c>
      <c r="O338" s="144">
        <f t="shared" si="60"/>
        <v>-0.16000000000000103</v>
      </c>
      <c r="P338" s="2">
        <f>SUMIFS('XBS '!T:T,'XBS '!H:H,' General Stock Summary View  '!$P$2,'XBS '!L:L,' General Stock Summary View  '!B338,'XBS '!C:C,' General Stock Summary View  '!C338)</f>
        <v>0</v>
      </c>
      <c r="Q338" s="3">
        <f>SUMIFS('PowerApp_Physical count'!H:H,'PowerApp_Physical count'!B:B,' General Stock Summary View  '!$P$2,'PowerApp_Physical count'!C:C,' General Stock Summary View  '!C338,'PowerApp_Physical count'!A:A,' General Stock Summary View  '!B338)</f>
        <v>0</v>
      </c>
      <c r="R338" s="4">
        <f t="shared" si="61"/>
        <v>0</v>
      </c>
      <c r="S338" s="5">
        <f>SUMIFS('XBS '!T:T,'XBS '!L:L,' General Stock Summary View  '!B338,'XBS '!H:H,' General Stock Summary View  '!$S$2,'XBS '!C:C,' General Stock Summary View  '!C338)</f>
        <v>0</v>
      </c>
      <c r="T338" s="3">
        <f>SUMIFS('PowerApp_Physical count'!H:H,'PowerApp_Physical count'!B:B,' General Stock Summary View  '!$S$2,'PowerApp_Physical count'!C:C,' General Stock Summary View  '!C338,'PowerApp_Physical count'!A:A,' General Stock Summary View  '!B338)</f>
        <v>0</v>
      </c>
      <c r="U338" s="4">
        <f t="shared" si="62"/>
        <v>0</v>
      </c>
      <c r="V338" s="2">
        <f>SUMIFS('XBS '!T:T,'XBS '!H:H,' General Stock Summary View  '!$V$2,'XBS '!B:B,' General Stock Summary View  '!C338,'XBS '!L:L,' General Stock Summary View  '!B338)</f>
        <v>0</v>
      </c>
      <c r="W338" s="3">
        <f>SUMIFS('PowerApp_Physical count'!H:H,'PowerApp_Physical count'!B:B,' General Stock Summary View  '!$V$2,'PowerApp_Physical count'!C:C,' General Stock Summary View  '!C338,'PowerApp_Physical count'!A:A,' General Stock Summary View  '!B338)</f>
        <v>0</v>
      </c>
      <c r="X338" s="4">
        <f t="shared" si="63"/>
        <v>0</v>
      </c>
      <c r="Y338" s="5">
        <f>SUMIFS('XBS '!T:T,'XBS '!H:H,' General Stock Summary View  '!$Y$2,'XBS '!B:B,' General Stock Summary View  '!C338,'XBS '!L:L,' General Stock Summary View  '!B338)</f>
        <v>0</v>
      </c>
      <c r="Z338" s="3">
        <f>SUMIFS('PowerApp_Physical count'!H:H,'PowerApp_Physical count'!B:B,' General Stock Summary View  '!$Y$2,'PowerApp_Physical count'!C:C,' General Stock Summary View  '!C338,'PowerApp_Physical count'!A:A,' General Stock Summary View  '!B338)</f>
        <v>0</v>
      </c>
      <c r="AA338" s="4">
        <f t="shared" si="64"/>
        <v>0</v>
      </c>
      <c r="AB338" s="5">
        <f>SUMIFS('XBS '!T:T,'XBS '!H:H,' General Stock Summary View  '!$AB$2,'XBS '!B:B,' General Stock Summary View  '!C338,'XBS '!L:L,' General Stock Summary View  '!B338)</f>
        <v>0</v>
      </c>
      <c r="AC338" s="3">
        <f>SUMIFS('PowerApp_Physical count'!H:H,'PowerApp_Physical count'!B:B,' General Stock Summary View  '!$AB$2,'PowerApp_Physical count'!C:C,' General Stock Summary View  '!C338,'PowerApp_Physical count'!A:A,' General Stock Summary View  '!B338)</f>
        <v>0</v>
      </c>
      <c r="AD338" s="6">
        <f t="shared" si="65"/>
        <v>0</v>
      </c>
      <c r="AE338" s="7">
        <f t="shared" si="66"/>
        <v>5.8666666666666663</v>
      </c>
      <c r="AF338" s="8">
        <f t="shared" si="67"/>
        <v>-0.16000000000000103</v>
      </c>
      <c r="AG338" s="112"/>
    </row>
    <row r="339" spans="2:33" s="113" customFormat="1" ht="61.15">
      <c r="B339" s="117" t="s">
        <v>346</v>
      </c>
      <c r="C339" s="111" t="s">
        <v>347</v>
      </c>
      <c r="D339" s="11">
        <f>SUMIFS('XBS '!T:T,'XBS '!C:C,' General Stock Summary View  '!C339,'XBS '!L:L,' General Stock Summary View  '!B339)</f>
        <v>1.5000000000000001E-2</v>
      </c>
      <c r="E339" s="2">
        <f>SUMIFS('Blocked for Processing'!P:P,'Blocked for Processing'!I:I,' General Stock Summary View  '!B339,'Blocked for Processing'!C:C,' General Stock Summary View  '!C339)</f>
        <v>0</v>
      </c>
      <c r="F339" s="122">
        <f t="shared" si="56"/>
        <v>1.5000000000000001E-2</v>
      </c>
      <c r="G339" s="148">
        <f>SUMIFS('XBS '!T:T,'XBS '!H:H,' General Stock Summary View  '!$G$2,'XBS '!L:L,' General Stock Summary View  '!B339,'XBS '!C:C,' General Stock Summary View  '!C339)</f>
        <v>0</v>
      </c>
      <c r="H339" s="3">
        <f>SUMIFS('PowerApp_Physical count'!H:H,'PowerApp_Physical count'!B:B,' General Stock Summary View  '!$G$2,'PowerApp_Physical count'!C:C,' General Stock Summary View  '!C339,'PowerApp_Physical count'!A:A,' General Stock Summary View  '!B339)</f>
        <v>0</v>
      </c>
      <c r="I339" s="154">
        <f t="shared" si="68"/>
        <v>0</v>
      </c>
      <c r="J339" s="11">
        <f>SUMIFS('XBS '!T:T,'XBS '!H:H,' General Stock Summary View  '!$J$2,'XBS '!L:L,' General Stock Summary View  '!B339,'XBS '!C:C,' General Stock Summary View  '!C339)</f>
        <v>0</v>
      </c>
      <c r="K339" s="157">
        <f>SUMIFS('PowerApp_Physical count'!H:H,'PowerApp_Physical count'!B:B,' General Stock Summary View  '!$J$2,'PowerApp_Physical count'!C:C,' General Stock Summary View  '!C339,'PowerApp_Physical count'!A:A,' General Stock Summary View  '!B339)</f>
        <v>0</v>
      </c>
      <c r="L339" s="127">
        <f t="shared" si="57"/>
        <v>0</v>
      </c>
      <c r="M339" s="126">
        <f t="shared" si="58"/>
        <v>0</v>
      </c>
      <c r="N339" s="11">
        <f t="shared" si="59"/>
        <v>0</v>
      </c>
      <c r="O339" s="144">
        <f t="shared" si="60"/>
        <v>0</v>
      </c>
      <c r="P339" s="2">
        <f>SUMIFS('XBS '!T:T,'XBS '!H:H,' General Stock Summary View  '!$P$2,'XBS '!L:L,' General Stock Summary View  '!B339,'XBS '!C:C,' General Stock Summary View  '!C339)</f>
        <v>1.5000000000000001E-2</v>
      </c>
      <c r="Q339" s="3">
        <f>SUMIFS('PowerApp_Physical count'!H:H,'PowerApp_Physical count'!B:B,' General Stock Summary View  '!$P$2,'PowerApp_Physical count'!C:C,' General Stock Summary View  '!C339,'PowerApp_Physical count'!A:A,' General Stock Summary View  '!B339)</f>
        <v>0</v>
      </c>
      <c r="R339" s="4">
        <f t="shared" si="61"/>
        <v>-1.5000000000000001E-2</v>
      </c>
      <c r="S339" s="5">
        <f>SUMIFS('XBS '!T:T,'XBS '!L:L,' General Stock Summary View  '!B339,'XBS '!H:H,' General Stock Summary View  '!$S$2,'XBS '!C:C,' General Stock Summary View  '!C339)</f>
        <v>0</v>
      </c>
      <c r="T339" s="3">
        <f>SUMIFS('PowerApp_Physical count'!H:H,'PowerApp_Physical count'!B:B,' General Stock Summary View  '!$S$2,'PowerApp_Physical count'!C:C,' General Stock Summary View  '!C339,'PowerApp_Physical count'!A:A,' General Stock Summary View  '!B339)</f>
        <v>0</v>
      </c>
      <c r="U339" s="4">
        <f t="shared" si="62"/>
        <v>0</v>
      </c>
      <c r="V339" s="2">
        <f>SUMIFS('XBS '!T:T,'XBS '!H:H,' General Stock Summary View  '!$V$2,'XBS '!B:B,' General Stock Summary View  '!C339,'XBS '!L:L,' General Stock Summary View  '!B339)</f>
        <v>0</v>
      </c>
      <c r="W339" s="3">
        <f>SUMIFS('PowerApp_Physical count'!H:H,'PowerApp_Physical count'!B:B,' General Stock Summary View  '!$V$2,'PowerApp_Physical count'!C:C,' General Stock Summary View  '!C339,'PowerApp_Physical count'!A:A,' General Stock Summary View  '!B339)</f>
        <v>0</v>
      </c>
      <c r="X339" s="4">
        <f t="shared" si="63"/>
        <v>0</v>
      </c>
      <c r="Y339" s="5">
        <f>SUMIFS('XBS '!T:T,'XBS '!H:H,' General Stock Summary View  '!$Y$2,'XBS '!B:B,' General Stock Summary View  '!C339,'XBS '!L:L,' General Stock Summary View  '!B339)</f>
        <v>0</v>
      </c>
      <c r="Z339" s="3">
        <f>SUMIFS('PowerApp_Physical count'!H:H,'PowerApp_Physical count'!B:B,' General Stock Summary View  '!$Y$2,'PowerApp_Physical count'!C:C,' General Stock Summary View  '!C339,'PowerApp_Physical count'!A:A,' General Stock Summary View  '!B339)</f>
        <v>0</v>
      </c>
      <c r="AA339" s="4">
        <f t="shared" si="64"/>
        <v>0</v>
      </c>
      <c r="AB339" s="5">
        <f>SUMIFS('XBS '!T:T,'XBS '!H:H,' General Stock Summary View  '!$AB$2,'XBS '!B:B,' General Stock Summary View  '!C339,'XBS '!L:L,' General Stock Summary View  '!B339)</f>
        <v>0</v>
      </c>
      <c r="AC339" s="3">
        <f>SUMIFS('PowerApp_Physical count'!H:H,'PowerApp_Physical count'!B:B,' General Stock Summary View  '!$AB$2,'PowerApp_Physical count'!C:C,' General Stock Summary View  '!C339,'PowerApp_Physical count'!A:A,' General Stock Summary View  '!B339)</f>
        <v>0</v>
      </c>
      <c r="AD339" s="6">
        <f t="shared" si="65"/>
        <v>0</v>
      </c>
      <c r="AE339" s="7">
        <f t="shared" si="66"/>
        <v>0</v>
      </c>
      <c r="AF339" s="8">
        <f t="shared" si="67"/>
        <v>-1.5000000000000001E-2</v>
      </c>
      <c r="AG339" s="112"/>
    </row>
    <row r="340" spans="2:33" s="113" customFormat="1" ht="61.15">
      <c r="B340" s="117" t="s">
        <v>39</v>
      </c>
      <c r="C340" s="111" t="s">
        <v>347</v>
      </c>
      <c r="D340" s="11">
        <f>SUMIFS('XBS '!T:T,'XBS '!C:C,' General Stock Summary View  '!C340,'XBS '!L:L,' General Stock Summary View  '!B340)</f>
        <v>5.2766666666666673</v>
      </c>
      <c r="E340" s="2">
        <f>SUMIFS('Blocked for Processing'!P:P,'Blocked for Processing'!I:I,' General Stock Summary View  '!B340,'Blocked for Processing'!C:C,' General Stock Summary View  '!C340)</f>
        <v>0</v>
      </c>
      <c r="F340" s="122">
        <f t="shared" si="56"/>
        <v>5.2766666666666673</v>
      </c>
      <c r="G340" s="148">
        <f>SUMIFS('XBS '!T:T,'XBS '!H:H,' General Stock Summary View  '!$G$2,'XBS '!L:L,' General Stock Summary View  '!B340,'XBS '!C:C,' General Stock Summary View  '!C340)</f>
        <v>5.2766666666666673</v>
      </c>
      <c r="H340" s="3">
        <f>SUMIFS('PowerApp_Physical count'!H:H,'PowerApp_Physical count'!B:B,' General Stock Summary View  '!$G$2,'PowerApp_Physical count'!C:C,' General Stock Summary View  '!C340,'PowerApp_Physical count'!A:A,' General Stock Summary View  '!B340)</f>
        <v>5.3166666666666664</v>
      </c>
      <c r="I340" s="154">
        <f t="shared" si="68"/>
        <v>3.9999999999999147E-2</v>
      </c>
      <c r="J340" s="11">
        <f>SUMIFS('XBS '!T:T,'XBS '!H:H,' General Stock Summary View  '!$J$2,'XBS '!L:L,' General Stock Summary View  '!B340,'XBS '!C:C,' General Stock Summary View  '!C340)</f>
        <v>0</v>
      </c>
      <c r="K340" s="157">
        <f>SUMIFS('PowerApp_Physical count'!H:H,'PowerApp_Physical count'!B:B,' General Stock Summary View  '!$J$2,'PowerApp_Physical count'!C:C,' General Stock Summary View  '!C340,'PowerApp_Physical count'!A:A,' General Stock Summary View  '!B340)</f>
        <v>0</v>
      </c>
      <c r="L340" s="127">
        <f t="shared" si="57"/>
        <v>0</v>
      </c>
      <c r="M340" s="126">
        <f t="shared" si="58"/>
        <v>5.2766666666666673</v>
      </c>
      <c r="N340" s="11">
        <f t="shared" si="59"/>
        <v>5.3166666666666664</v>
      </c>
      <c r="O340" s="144">
        <f t="shared" si="60"/>
        <v>3.9999999999999147E-2</v>
      </c>
      <c r="P340" s="2">
        <f>SUMIFS('XBS '!T:T,'XBS '!H:H,' General Stock Summary View  '!$P$2,'XBS '!L:L,' General Stock Summary View  '!B340,'XBS '!C:C,' General Stock Summary View  '!C340)</f>
        <v>0</v>
      </c>
      <c r="Q340" s="3">
        <f>SUMIFS('PowerApp_Physical count'!H:H,'PowerApp_Physical count'!B:B,' General Stock Summary View  '!$P$2,'PowerApp_Physical count'!C:C,' General Stock Summary View  '!C340,'PowerApp_Physical count'!A:A,' General Stock Summary View  '!B340)</f>
        <v>0</v>
      </c>
      <c r="R340" s="4">
        <f t="shared" si="61"/>
        <v>0</v>
      </c>
      <c r="S340" s="5">
        <f>SUMIFS('XBS '!T:T,'XBS '!L:L,' General Stock Summary View  '!B340,'XBS '!H:H,' General Stock Summary View  '!$S$2,'XBS '!C:C,' General Stock Summary View  '!C340)</f>
        <v>0</v>
      </c>
      <c r="T340" s="3">
        <f>SUMIFS('PowerApp_Physical count'!H:H,'PowerApp_Physical count'!B:B,' General Stock Summary View  '!$S$2,'PowerApp_Physical count'!C:C,' General Stock Summary View  '!C340,'PowerApp_Physical count'!A:A,' General Stock Summary View  '!B340)</f>
        <v>0</v>
      </c>
      <c r="U340" s="4">
        <f t="shared" si="62"/>
        <v>0</v>
      </c>
      <c r="V340" s="2">
        <f>SUMIFS('XBS '!T:T,'XBS '!H:H,' General Stock Summary View  '!$V$2,'XBS '!B:B,' General Stock Summary View  '!C340,'XBS '!L:L,' General Stock Summary View  '!B340)</f>
        <v>0</v>
      </c>
      <c r="W340" s="3">
        <f>SUMIFS('PowerApp_Physical count'!H:H,'PowerApp_Physical count'!B:B,' General Stock Summary View  '!$V$2,'PowerApp_Physical count'!C:C,' General Stock Summary View  '!C340,'PowerApp_Physical count'!A:A,' General Stock Summary View  '!B340)</f>
        <v>0</v>
      </c>
      <c r="X340" s="4">
        <f t="shared" si="63"/>
        <v>0</v>
      </c>
      <c r="Y340" s="5">
        <f>SUMIFS('XBS '!T:T,'XBS '!H:H,' General Stock Summary View  '!$Y$2,'XBS '!B:B,' General Stock Summary View  '!C340,'XBS '!L:L,' General Stock Summary View  '!B340)</f>
        <v>0</v>
      </c>
      <c r="Z340" s="3">
        <f>SUMIFS('PowerApp_Physical count'!H:H,'PowerApp_Physical count'!B:B,' General Stock Summary View  '!$Y$2,'PowerApp_Physical count'!C:C,' General Stock Summary View  '!C340,'PowerApp_Physical count'!A:A,' General Stock Summary View  '!B340)</f>
        <v>0</v>
      </c>
      <c r="AA340" s="4">
        <f t="shared" si="64"/>
        <v>0</v>
      </c>
      <c r="AB340" s="5">
        <f>SUMIFS('XBS '!T:T,'XBS '!H:H,' General Stock Summary View  '!$AB$2,'XBS '!B:B,' General Stock Summary View  '!C340,'XBS '!L:L,' General Stock Summary View  '!B340)</f>
        <v>0</v>
      </c>
      <c r="AC340" s="3">
        <f>SUMIFS('PowerApp_Physical count'!H:H,'PowerApp_Physical count'!B:B,' General Stock Summary View  '!$AB$2,'PowerApp_Physical count'!C:C,' General Stock Summary View  '!C340,'PowerApp_Physical count'!A:A,' General Stock Summary View  '!B340)</f>
        <v>0</v>
      </c>
      <c r="AD340" s="6">
        <f t="shared" si="65"/>
        <v>0</v>
      </c>
      <c r="AE340" s="7">
        <f t="shared" si="66"/>
        <v>5.3166666666666664</v>
      </c>
      <c r="AF340" s="8">
        <f t="shared" si="67"/>
        <v>3.9999999999999147E-2</v>
      </c>
      <c r="AG340" s="112"/>
    </row>
    <row r="341" spans="2:33" s="113" customFormat="1" ht="61.15">
      <c r="B341" s="117" t="s">
        <v>38</v>
      </c>
      <c r="C341" s="111" t="s">
        <v>347</v>
      </c>
      <c r="D341" s="11">
        <f>SUMIFS('XBS '!T:T,'XBS '!C:C,' General Stock Summary View  '!C341,'XBS '!L:L,' General Stock Summary View  '!B341)</f>
        <v>4.6749999999999998</v>
      </c>
      <c r="E341" s="2">
        <f>SUMIFS('Blocked for Processing'!P:P,'Blocked for Processing'!I:I,' General Stock Summary View  '!B341,'Blocked for Processing'!C:C,' General Stock Summary View  '!C341)</f>
        <v>0</v>
      </c>
      <c r="F341" s="122">
        <f t="shared" si="56"/>
        <v>4.6749999999999998</v>
      </c>
      <c r="G341" s="148">
        <f>SUMIFS('XBS '!T:T,'XBS '!H:H,' General Stock Summary View  '!$G$2,'XBS '!L:L,' General Stock Summary View  '!B341,'XBS '!C:C,' General Stock Summary View  '!C341)</f>
        <v>4.6749999999999998</v>
      </c>
      <c r="H341" s="3">
        <f>SUMIFS('PowerApp_Physical count'!H:H,'PowerApp_Physical count'!B:B,' General Stock Summary View  '!$G$2,'PowerApp_Physical count'!C:C,' General Stock Summary View  '!C341,'PowerApp_Physical count'!A:A,' General Stock Summary View  '!B341)</f>
        <v>4.7</v>
      </c>
      <c r="I341" s="154">
        <f t="shared" si="68"/>
        <v>2.5000000000000355E-2</v>
      </c>
      <c r="J341" s="11">
        <f>SUMIFS('XBS '!T:T,'XBS '!H:H,' General Stock Summary View  '!$J$2,'XBS '!L:L,' General Stock Summary View  '!B341,'XBS '!C:C,' General Stock Summary View  '!C341)</f>
        <v>0</v>
      </c>
      <c r="K341" s="157">
        <f>SUMIFS('PowerApp_Physical count'!H:H,'PowerApp_Physical count'!B:B,' General Stock Summary View  '!$J$2,'PowerApp_Physical count'!C:C,' General Stock Summary View  '!C341,'PowerApp_Physical count'!A:A,' General Stock Summary View  '!B341)</f>
        <v>0</v>
      </c>
      <c r="L341" s="127">
        <f t="shared" si="57"/>
        <v>0</v>
      </c>
      <c r="M341" s="126">
        <f t="shared" si="58"/>
        <v>4.6749999999999998</v>
      </c>
      <c r="N341" s="11">
        <f t="shared" si="59"/>
        <v>4.7</v>
      </c>
      <c r="O341" s="144">
        <f t="shared" si="60"/>
        <v>2.5000000000000355E-2</v>
      </c>
      <c r="P341" s="2">
        <f>SUMIFS('XBS '!T:T,'XBS '!H:H,' General Stock Summary View  '!$P$2,'XBS '!L:L,' General Stock Summary View  '!B341,'XBS '!C:C,' General Stock Summary View  '!C341)</f>
        <v>0</v>
      </c>
      <c r="Q341" s="3">
        <f>SUMIFS('PowerApp_Physical count'!H:H,'PowerApp_Physical count'!B:B,' General Stock Summary View  '!$P$2,'PowerApp_Physical count'!C:C,' General Stock Summary View  '!C341,'PowerApp_Physical count'!A:A,' General Stock Summary View  '!B341)</f>
        <v>0</v>
      </c>
      <c r="R341" s="4">
        <f t="shared" si="61"/>
        <v>0</v>
      </c>
      <c r="S341" s="5">
        <f>SUMIFS('XBS '!T:T,'XBS '!L:L,' General Stock Summary View  '!B341,'XBS '!H:H,' General Stock Summary View  '!$S$2,'XBS '!C:C,' General Stock Summary View  '!C341)</f>
        <v>0</v>
      </c>
      <c r="T341" s="3">
        <f>SUMIFS('PowerApp_Physical count'!H:H,'PowerApp_Physical count'!B:B,' General Stock Summary View  '!$S$2,'PowerApp_Physical count'!C:C,' General Stock Summary View  '!C341,'PowerApp_Physical count'!A:A,' General Stock Summary View  '!B341)</f>
        <v>0</v>
      </c>
      <c r="U341" s="4">
        <f t="shared" si="62"/>
        <v>0</v>
      </c>
      <c r="V341" s="2">
        <f>SUMIFS('XBS '!T:T,'XBS '!H:H,' General Stock Summary View  '!$V$2,'XBS '!B:B,' General Stock Summary View  '!C341,'XBS '!L:L,' General Stock Summary View  '!B341)</f>
        <v>0</v>
      </c>
      <c r="W341" s="3">
        <f>SUMIFS('PowerApp_Physical count'!H:H,'PowerApp_Physical count'!B:B,' General Stock Summary View  '!$V$2,'PowerApp_Physical count'!C:C,' General Stock Summary View  '!C341,'PowerApp_Physical count'!A:A,' General Stock Summary View  '!B341)</f>
        <v>0</v>
      </c>
      <c r="X341" s="4">
        <f t="shared" si="63"/>
        <v>0</v>
      </c>
      <c r="Y341" s="5">
        <f>SUMIFS('XBS '!T:T,'XBS '!H:H,' General Stock Summary View  '!$Y$2,'XBS '!B:B,' General Stock Summary View  '!C341,'XBS '!L:L,' General Stock Summary View  '!B341)</f>
        <v>0</v>
      </c>
      <c r="Z341" s="3">
        <f>SUMIFS('PowerApp_Physical count'!H:H,'PowerApp_Physical count'!B:B,' General Stock Summary View  '!$Y$2,'PowerApp_Physical count'!C:C,' General Stock Summary View  '!C341,'PowerApp_Physical count'!A:A,' General Stock Summary View  '!B341)</f>
        <v>0</v>
      </c>
      <c r="AA341" s="4">
        <f t="shared" si="64"/>
        <v>0</v>
      </c>
      <c r="AB341" s="5">
        <f>SUMIFS('XBS '!T:T,'XBS '!H:H,' General Stock Summary View  '!$AB$2,'XBS '!B:B,' General Stock Summary View  '!C341,'XBS '!L:L,' General Stock Summary View  '!B341)</f>
        <v>0</v>
      </c>
      <c r="AC341" s="3">
        <f>SUMIFS('PowerApp_Physical count'!H:H,'PowerApp_Physical count'!B:B,' General Stock Summary View  '!$AB$2,'PowerApp_Physical count'!C:C,' General Stock Summary View  '!C341,'PowerApp_Physical count'!A:A,' General Stock Summary View  '!B341)</f>
        <v>0</v>
      </c>
      <c r="AD341" s="6">
        <f t="shared" si="65"/>
        <v>0</v>
      </c>
      <c r="AE341" s="7">
        <f t="shared" si="66"/>
        <v>4.7</v>
      </c>
      <c r="AF341" s="8">
        <f t="shared" si="67"/>
        <v>2.5000000000000355E-2</v>
      </c>
      <c r="AG341" s="112"/>
    </row>
    <row r="342" spans="2:33" s="113" customFormat="1" ht="61.15">
      <c r="B342" s="117" t="s">
        <v>213</v>
      </c>
      <c r="C342" s="111" t="s">
        <v>347</v>
      </c>
      <c r="D342" s="11">
        <f>SUMIFS('XBS '!T:T,'XBS '!C:C,' General Stock Summary View  '!C342,'XBS '!L:L,' General Stock Summary View  '!B342)</f>
        <v>6.0783333333333331</v>
      </c>
      <c r="E342" s="2">
        <f>SUMIFS('Blocked for Processing'!P:P,'Blocked for Processing'!I:I,' General Stock Summary View  '!B342,'Blocked for Processing'!C:C,' General Stock Summary View  '!C342)</f>
        <v>0</v>
      </c>
      <c r="F342" s="122">
        <f t="shared" si="56"/>
        <v>6.0783333333333331</v>
      </c>
      <c r="G342" s="148">
        <f>SUMIFS('XBS '!T:T,'XBS '!H:H,' General Stock Summary View  '!$G$2,'XBS '!L:L,' General Stock Summary View  '!B342,'XBS '!C:C,' General Stock Summary View  '!C342)</f>
        <v>6.0783333333333331</v>
      </c>
      <c r="H342" s="3">
        <f>SUMIFS('PowerApp_Physical count'!H:H,'PowerApp_Physical count'!B:B,' General Stock Summary View  '!$G$2,'PowerApp_Physical count'!C:C,' General Stock Summary View  '!C342,'PowerApp_Physical count'!A:A,' General Stock Summary View  '!B342)</f>
        <v>6.1166666666666663</v>
      </c>
      <c r="I342" s="154">
        <f t="shared" si="68"/>
        <v>3.8333333333333108E-2</v>
      </c>
      <c r="J342" s="11">
        <f>SUMIFS('XBS '!T:T,'XBS '!H:H,' General Stock Summary View  '!$J$2,'XBS '!L:L,' General Stock Summary View  '!B342,'XBS '!C:C,' General Stock Summary View  '!C342)</f>
        <v>0</v>
      </c>
      <c r="K342" s="157">
        <f>SUMIFS('PowerApp_Physical count'!H:H,'PowerApp_Physical count'!B:B,' General Stock Summary View  '!$J$2,'PowerApp_Physical count'!C:C,' General Stock Summary View  '!C342,'PowerApp_Physical count'!A:A,' General Stock Summary View  '!B342)</f>
        <v>0</v>
      </c>
      <c r="L342" s="127">
        <f t="shared" si="57"/>
        <v>0</v>
      </c>
      <c r="M342" s="126">
        <f t="shared" si="58"/>
        <v>6.0783333333333331</v>
      </c>
      <c r="N342" s="11">
        <f t="shared" si="59"/>
        <v>6.1166666666666663</v>
      </c>
      <c r="O342" s="144">
        <f t="shared" si="60"/>
        <v>3.8333333333333108E-2</v>
      </c>
      <c r="P342" s="2">
        <f>SUMIFS('XBS '!T:T,'XBS '!H:H,' General Stock Summary View  '!$P$2,'XBS '!L:L,' General Stock Summary View  '!B342,'XBS '!C:C,' General Stock Summary View  '!C342)</f>
        <v>0</v>
      </c>
      <c r="Q342" s="3">
        <f>SUMIFS('PowerApp_Physical count'!H:H,'PowerApp_Physical count'!B:B,' General Stock Summary View  '!$P$2,'PowerApp_Physical count'!C:C,' General Stock Summary View  '!C342,'PowerApp_Physical count'!A:A,' General Stock Summary View  '!B342)</f>
        <v>0</v>
      </c>
      <c r="R342" s="4">
        <f t="shared" si="61"/>
        <v>0</v>
      </c>
      <c r="S342" s="5">
        <f>SUMIFS('XBS '!T:T,'XBS '!L:L,' General Stock Summary View  '!B342,'XBS '!H:H,' General Stock Summary View  '!$S$2,'XBS '!C:C,' General Stock Summary View  '!C342)</f>
        <v>0</v>
      </c>
      <c r="T342" s="3">
        <f>SUMIFS('PowerApp_Physical count'!H:H,'PowerApp_Physical count'!B:B,' General Stock Summary View  '!$S$2,'PowerApp_Physical count'!C:C,' General Stock Summary View  '!C342,'PowerApp_Physical count'!A:A,' General Stock Summary View  '!B342)</f>
        <v>0</v>
      </c>
      <c r="U342" s="4">
        <f t="shared" si="62"/>
        <v>0</v>
      </c>
      <c r="V342" s="2">
        <f>SUMIFS('XBS '!T:T,'XBS '!H:H,' General Stock Summary View  '!$V$2,'XBS '!B:B,' General Stock Summary View  '!C342,'XBS '!L:L,' General Stock Summary View  '!B342)</f>
        <v>0</v>
      </c>
      <c r="W342" s="3">
        <f>SUMIFS('PowerApp_Physical count'!H:H,'PowerApp_Physical count'!B:B,' General Stock Summary View  '!$V$2,'PowerApp_Physical count'!C:C,' General Stock Summary View  '!C342,'PowerApp_Physical count'!A:A,' General Stock Summary View  '!B342)</f>
        <v>0</v>
      </c>
      <c r="X342" s="4">
        <f t="shared" si="63"/>
        <v>0</v>
      </c>
      <c r="Y342" s="5">
        <f>SUMIFS('XBS '!T:T,'XBS '!H:H,' General Stock Summary View  '!$Y$2,'XBS '!B:B,' General Stock Summary View  '!C342,'XBS '!L:L,' General Stock Summary View  '!B342)</f>
        <v>0</v>
      </c>
      <c r="Z342" s="3">
        <f>SUMIFS('PowerApp_Physical count'!H:H,'PowerApp_Physical count'!B:B,' General Stock Summary View  '!$Y$2,'PowerApp_Physical count'!C:C,' General Stock Summary View  '!C342,'PowerApp_Physical count'!A:A,' General Stock Summary View  '!B342)</f>
        <v>0</v>
      </c>
      <c r="AA342" s="4">
        <f t="shared" si="64"/>
        <v>0</v>
      </c>
      <c r="AB342" s="5">
        <f>SUMIFS('XBS '!T:T,'XBS '!H:H,' General Stock Summary View  '!$AB$2,'XBS '!B:B,' General Stock Summary View  '!C342,'XBS '!L:L,' General Stock Summary View  '!B342)</f>
        <v>0</v>
      </c>
      <c r="AC342" s="3">
        <f>SUMIFS('PowerApp_Physical count'!H:H,'PowerApp_Physical count'!B:B,' General Stock Summary View  '!$AB$2,'PowerApp_Physical count'!C:C,' General Stock Summary View  '!C342,'PowerApp_Physical count'!A:A,' General Stock Summary View  '!B342)</f>
        <v>0</v>
      </c>
      <c r="AD342" s="6">
        <f t="shared" si="65"/>
        <v>0</v>
      </c>
      <c r="AE342" s="7">
        <f t="shared" si="66"/>
        <v>6.1166666666666663</v>
      </c>
      <c r="AF342" s="8">
        <f t="shared" si="67"/>
        <v>3.8333333333333108E-2</v>
      </c>
      <c r="AG342" s="112"/>
    </row>
    <row r="343" spans="2:33" s="113" customFormat="1" ht="61.15">
      <c r="B343" s="117" t="s">
        <v>37</v>
      </c>
      <c r="C343" s="111" t="s">
        <v>347</v>
      </c>
      <c r="D343" s="11">
        <f>SUMIFS('XBS '!T:T,'XBS '!C:C,' General Stock Summary View  '!C343,'XBS '!L:L,' General Stock Summary View  '!B343)</f>
        <v>6.3116666666666665</v>
      </c>
      <c r="E343" s="2">
        <f>SUMIFS('Blocked for Processing'!P:P,'Blocked for Processing'!I:I,' General Stock Summary View  '!B343,'Blocked for Processing'!C:C,' General Stock Summary View  '!C343)</f>
        <v>0</v>
      </c>
      <c r="F343" s="122">
        <f t="shared" si="56"/>
        <v>6.3116666666666665</v>
      </c>
      <c r="G343" s="148">
        <f>SUMIFS('XBS '!T:T,'XBS '!H:H,' General Stock Summary View  '!$G$2,'XBS '!L:L,' General Stock Summary View  '!B343,'XBS '!C:C,' General Stock Summary View  '!C343)</f>
        <v>6.3116666666666665</v>
      </c>
      <c r="H343" s="3">
        <f>SUMIFS('PowerApp_Physical count'!H:H,'PowerApp_Physical count'!B:B,' General Stock Summary View  '!$G$2,'PowerApp_Physical count'!C:C,' General Stock Summary View  '!C343,'PowerApp_Physical count'!A:A,' General Stock Summary View  '!B343)</f>
        <v>6.35</v>
      </c>
      <c r="I343" s="154">
        <f t="shared" si="68"/>
        <v>3.8333333333333108E-2</v>
      </c>
      <c r="J343" s="11">
        <f>SUMIFS('XBS '!T:T,'XBS '!H:H,' General Stock Summary View  '!$J$2,'XBS '!L:L,' General Stock Summary View  '!B343,'XBS '!C:C,' General Stock Summary View  '!C343)</f>
        <v>0</v>
      </c>
      <c r="K343" s="157">
        <f>SUMIFS('PowerApp_Physical count'!H:H,'PowerApp_Physical count'!B:B,' General Stock Summary View  '!$J$2,'PowerApp_Physical count'!C:C,' General Stock Summary View  '!C343,'PowerApp_Physical count'!A:A,' General Stock Summary View  '!B343)</f>
        <v>0</v>
      </c>
      <c r="L343" s="127">
        <f t="shared" si="57"/>
        <v>0</v>
      </c>
      <c r="M343" s="126">
        <f t="shared" si="58"/>
        <v>6.3116666666666665</v>
      </c>
      <c r="N343" s="11">
        <f t="shared" si="59"/>
        <v>6.35</v>
      </c>
      <c r="O343" s="144">
        <f t="shared" si="60"/>
        <v>3.8333333333333108E-2</v>
      </c>
      <c r="P343" s="2">
        <f>SUMIFS('XBS '!T:T,'XBS '!H:H,' General Stock Summary View  '!$P$2,'XBS '!L:L,' General Stock Summary View  '!B343,'XBS '!C:C,' General Stock Summary View  '!C343)</f>
        <v>0</v>
      </c>
      <c r="Q343" s="3">
        <f>SUMIFS('PowerApp_Physical count'!H:H,'PowerApp_Physical count'!B:B,' General Stock Summary View  '!$P$2,'PowerApp_Physical count'!C:C,' General Stock Summary View  '!C343,'PowerApp_Physical count'!A:A,' General Stock Summary View  '!B343)</f>
        <v>0</v>
      </c>
      <c r="R343" s="4">
        <f t="shared" si="61"/>
        <v>0</v>
      </c>
      <c r="S343" s="5">
        <f>SUMIFS('XBS '!T:T,'XBS '!L:L,' General Stock Summary View  '!B343,'XBS '!H:H,' General Stock Summary View  '!$S$2,'XBS '!C:C,' General Stock Summary View  '!C343)</f>
        <v>0</v>
      </c>
      <c r="T343" s="3">
        <f>SUMIFS('PowerApp_Physical count'!H:H,'PowerApp_Physical count'!B:B,' General Stock Summary View  '!$S$2,'PowerApp_Physical count'!C:C,' General Stock Summary View  '!C343,'PowerApp_Physical count'!A:A,' General Stock Summary View  '!B343)</f>
        <v>0</v>
      </c>
      <c r="U343" s="4">
        <f t="shared" si="62"/>
        <v>0</v>
      </c>
      <c r="V343" s="2">
        <f>SUMIFS('XBS '!T:T,'XBS '!H:H,' General Stock Summary View  '!$V$2,'XBS '!B:B,' General Stock Summary View  '!C343,'XBS '!L:L,' General Stock Summary View  '!B343)</f>
        <v>0</v>
      </c>
      <c r="W343" s="3">
        <f>SUMIFS('PowerApp_Physical count'!H:H,'PowerApp_Physical count'!B:B,' General Stock Summary View  '!$V$2,'PowerApp_Physical count'!C:C,' General Stock Summary View  '!C343,'PowerApp_Physical count'!A:A,' General Stock Summary View  '!B343)</f>
        <v>0</v>
      </c>
      <c r="X343" s="4">
        <f t="shared" si="63"/>
        <v>0</v>
      </c>
      <c r="Y343" s="5">
        <f>SUMIFS('XBS '!T:T,'XBS '!H:H,' General Stock Summary View  '!$Y$2,'XBS '!B:B,' General Stock Summary View  '!C343,'XBS '!L:L,' General Stock Summary View  '!B343)</f>
        <v>0</v>
      </c>
      <c r="Z343" s="3">
        <f>SUMIFS('PowerApp_Physical count'!H:H,'PowerApp_Physical count'!B:B,' General Stock Summary View  '!$Y$2,'PowerApp_Physical count'!C:C,' General Stock Summary View  '!C343,'PowerApp_Physical count'!A:A,' General Stock Summary View  '!B343)</f>
        <v>0</v>
      </c>
      <c r="AA343" s="4">
        <f t="shared" si="64"/>
        <v>0</v>
      </c>
      <c r="AB343" s="5">
        <f>SUMIFS('XBS '!T:T,'XBS '!H:H,' General Stock Summary View  '!$AB$2,'XBS '!B:B,' General Stock Summary View  '!C343,'XBS '!L:L,' General Stock Summary View  '!B343)</f>
        <v>0</v>
      </c>
      <c r="AC343" s="3">
        <f>SUMIFS('PowerApp_Physical count'!H:H,'PowerApp_Physical count'!B:B,' General Stock Summary View  '!$AB$2,'PowerApp_Physical count'!C:C,' General Stock Summary View  '!C343,'PowerApp_Physical count'!A:A,' General Stock Summary View  '!B343)</f>
        <v>0</v>
      </c>
      <c r="AD343" s="6">
        <f t="shared" si="65"/>
        <v>0</v>
      </c>
      <c r="AE343" s="7">
        <f t="shared" si="66"/>
        <v>6.35</v>
      </c>
      <c r="AF343" s="8">
        <f t="shared" si="67"/>
        <v>3.8333333333333108E-2</v>
      </c>
      <c r="AG343" s="112"/>
    </row>
    <row r="344" spans="2:33" s="113" customFormat="1" ht="61.15">
      <c r="B344" s="117" t="s">
        <v>348</v>
      </c>
      <c r="C344" s="111" t="s">
        <v>347</v>
      </c>
      <c r="D344" s="11">
        <f>SUMIFS('XBS '!T:T,'XBS '!C:C,' General Stock Summary View  '!C344,'XBS '!L:L,' General Stock Summary View  '!B344)</f>
        <v>0.96666666666666667</v>
      </c>
      <c r="E344" s="2">
        <f>SUMIFS('Blocked for Processing'!P:P,'Blocked for Processing'!I:I,' General Stock Summary View  '!B344,'Blocked for Processing'!C:C,' General Stock Summary View  '!C344)</f>
        <v>0</v>
      </c>
      <c r="F344" s="122">
        <f t="shared" si="56"/>
        <v>0.96666666666666667</v>
      </c>
      <c r="G344" s="148">
        <f>SUMIFS('XBS '!T:T,'XBS '!H:H,' General Stock Summary View  '!$G$2,'XBS '!L:L,' General Stock Summary View  '!B344,'XBS '!C:C,' General Stock Summary View  '!C344)</f>
        <v>0</v>
      </c>
      <c r="H344" s="3">
        <f>SUMIFS('PowerApp_Physical count'!H:H,'PowerApp_Physical count'!B:B,' General Stock Summary View  '!$G$2,'PowerApp_Physical count'!C:C,' General Stock Summary View  '!C344,'PowerApp_Physical count'!A:A,' General Stock Summary View  '!B344)</f>
        <v>0</v>
      </c>
      <c r="I344" s="154">
        <f t="shared" si="68"/>
        <v>0</v>
      </c>
      <c r="J344" s="11">
        <f>SUMIFS('XBS '!T:T,'XBS '!H:H,' General Stock Summary View  '!$J$2,'XBS '!L:L,' General Stock Summary View  '!B344,'XBS '!C:C,' General Stock Summary View  '!C344)</f>
        <v>0</v>
      </c>
      <c r="K344" s="157">
        <f>SUMIFS('PowerApp_Physical count'!H:H,'PowerApp_Physical count'!B:B,' General Stock Summary View  '!$J$2,'PowerApp_Physical count'!C:C,' General Stock Summary View  '!C344,'PowerApp_Physical count'!A:A,' General Stock Summary View  '!B344)</f>
        <v>0</v>
      </c>
      <c r="L344" s="127">
        <f t="shared" si="57"/>
        <v>0</v>
      </c>
      <c r="M344" s="126">
        <f t="shared" si="58"/>
        <v>0</v>
      </c>
      <c r="N344" s="11">
        <f t="shared" si="59"/>
        <v>0</v>
      </c>
      <c r="O344" s="144">
        <f t="shared" si="60"/>
        <v>0</v>
      </c>
      <c r="P344" s="2">
        <f>SUMIFS('XBS '!T:T,'XBS '!H:H,' General Stock Summary View  '!$P$2,'XBS '!L:L,' General Stock Summary View  '!B344,'XBS '!C:C,' General Stock Summary View  '!C344)</f>
        <v>0.96666666666666667</v>
      </c>
      <c r="Q344" s="3">
        <f>SUMIFS('PowerApp_Physical count'!H:H,'PowerApp_Physical count'!B:B,' General Stock Summary View  '!$P$2,'PowerApp_Physical count'!C:C,' General Stock Summary View  '!C344,'PowerApp_Physical count'!A:A,' General Stock Summary View  '!B344)</f>
        <v>0</v>
      </c>
      <c r="R344" s="4">
        <f t="shared" si="61"/>
        <v>-0.96666666666666667</v>
      </c>
      <c r="S344" s="5">
        <f>SUMIFS('XBS '!T:T,'XBS '!L:L,' General Stock Summary View  '!B344,'XBS '!H:H,' General Stock Summary View  '!$S$2,'XBS '!C:C,' General Stock Summary View  '!C344)</f>
        <v>0</v>
      </c>
      <c r="T344" s="3">
        <f>SUMIFS('PowerApp_Physical count'!H:H,'PowerApp_Physical count'!B:B,' General Stock Summary View  '!$S$2,'PowerApp_Physical count'!C:C,' General Stock Summary View  '!C344,'PowerApp_Physical count'!A:A,' General Stock Summary View  '!B344)</f>
        <v>0</v>
      </c>
      <c r="U344" s="4">
        <f t="shared" si="62"/>
        <v>0</v>
      </c>
      <c r="V344" s="2">
        <f>SUMIFS('XBS '!T:T,'XBS '!H:H,' General Stock Summary View  '!$V$2,'XBS '!B:B,' General Stock Summary View  '!C344,'XBS '!L:L,' General Stock Summary View  '!B344)</f>
        <v>0</v>
      </c>
      <c r="W344" s="3">
        <f>SUMIFS('PowerApp_Physical count'!H:H,'PowerApp_Physical count'!B:B,' General Stock Summary View  '!$V$2,'PowerApp_Physical count'!C:C,' General Stock Summary View  '!C344,'PowerApp_Physical count'!A:A,' General Stock Summary View  '!B344)</f>
        <v>0</v>
      </c>
      <c r="X344" s="4">
        <f t="shared" si="63"/>
        <v>0</v>
      </c>
      <c r="Y344" s="5">
        <f>SUMIFS('XBS '!T:T,'XBS '!H:H,' General Stock Summary View  '!$Y$2,'XBS '!B:B,' General Stock Summary View  '!C344,'XBS '!L:L,' General Stock Summary View  '!B344)</f>
        <v>0</v>
      </c>
      <c r="Z344" s="3">
        <f>SUMIFS('PowerApp_Physical count'!H:H,'PowerApp_Physical count'!B:B,' General Stock Summary View  '!$Y$2,'PowerApp_Physical count'!C:C,' General Stock Summary View  '!C344,'PowerApp_Physical count'!A:A,' General Stock Summary View  '!B344)</f>
        <v>0</v>
      </c>
      <c r="AA344" s="4">
        <f t="shared" si="64"/>
        <v>0</v>
      </c>
      <c r="AB344" s="5">
        <f>SUMIFS('XBS '!T:T,'XBS '!H:H,' General Stock Summary View  '!$AB$2,'XBS '!B:B,' General Stock Summary View  '!C344,'XBS '!L:L,' General Stock Summary View  '!B344)</f>
        <v>0</v>
      </c>
      <c r="AC344" s="3">
        <f>SUMIFS('PowerApp_Physical count'!H:H,'PowerApp_Physical count'!B:B,' General Stock Summary View  '!$AB$2,'PowerApp_Physical count'!C:C,' General Stock Summary View  '!C344,'PowerApp_Physical count'!A:A,' General Stock Summary View  '!B344)</f>
        <v>0</v>
      </c>
      <c r="AD344" s="6">
        <f t="shared" si="65"/>
        <v>0</v>
      </c>
      <c r="AE344" s="7">
        <f t="shared" si="66"/>
        <v>0</v>
      </c>
      <c r="AF344" s="8">
        <f t="shared" si="67"/>
        <v>-0.96666666666666667</v>
      </c>
      <c r="AG344" s="112"/>
    </row>
    <row r="345" spans="2:33" s="113" customFormat="1" ht="61.15">
      <c r="B345" s="117" t="s">
        <v>349</v>
      </c>
      <c r="C345" s="111" t="s">
        <v>347</v>
      </c>
      <c r="D345" s="11">
        <f>SUMIFS('XBS '!T:T,'XBS '!C:C,' General Stock Summary View  '!C345,'XBS '!L:L,' General Stock Summary View  '!B345)</f>
        <v>7.4</v>
      </c>
      <c r="E345" s="2">
        <f>SUMIFS('Blocked for Processing'!P:P,'Blocked for Processing'!I:I,' General Stock Summary View  '!B345,'Blocked for Processing'!C:C,' General Stock Summary View  '!C345)</f>
        <v>0</v>
      </c>
      <c r="F345" s="122">
        <f t="shared" si="56"/>
        <v>7.4</v>
      </c>
      <c r="G345" s="148">
        <f>SUMIFS('XBS '!T:T,'XBS '!H:H,' General Stock Summary View  '!$G$2,'XBS '!L:L,' General Stock Summary View  '!B345,'XBS '!C:C,' General Stock Summary View  '!C345)</f>
        <v>0</v>
      </c>
      <c r="H345" s="3">
        <f>SUMIFS('PowerApp_Physical count'!H:H,'PowerApp_Physical count'!B:B,' General Stock Summary View  '!$G$2,'PowerApp_Physical count'!C:C,' General Stock Summary View  '!C345,'PowerApp_Physical count'!A:A,' General Stock Summary View  '!B345)</f>
        <v>0</v>
      </c>
      <c r="I345" s="154">
        <f t="shared" si="68"/>
        <v>0</v>
      </c>
      <c r="J345" s="11">
        <f>SUMIFS('XBS '!T:T,'XBS '!H:H,' General Stock Summary View  '!$J$2,'XBS '!L:L,' General Stock Summary View  '!B345,'XBS '!C:C,' General Stock Summary View  '!C345)</f>
        <v>0</v>
      </c>
      <c r="K345" s="157">
        <f>SUMIFS('PowerApp_Physical count'!H:H,'PowerApp_Physical count'!B:B,' General Stock Summary View  '!$J$2,'PowerApp_Physical count'!C:C,' General Stock Summary View  '!C345,'PowerApp_Physical count'!A:A,' General Stock Summary View  '!B345)</f>
        <v>0</v>
      </c>
      <c r="L345" s="127">
        <f t="shared" si="57"/>
        <v>0</v>
      </c>
      <c r="M345" s="126">
        <f t="shared" si="58"/>
        <v>0</v>
      </c>
      <c r="N345" s="11">
        <f t="shared" si="59"/>
        <v>0</v>
      </c>
      <c r="O345" s="144">
        <f t="shared" si="60"/>
        <v>0</v>
      </c>
      <c r="P345" s="2">
        <f>SUMIFS('XBS '!T:T,'XBS '!H:H,' General Stock Summary View  '!$P$2,'XBS '!L:L,' General Stock Summary View  '!B345,'XBS '!C:C,' General Stock Summary View  '!C345)</f>
        <v>7.4</v>
      </c>
      <c r="Q345" s="3">
        <f>SUMIFS('PowerApp_Physical count'!H:H,'PowerApp_Physical count'!B:B,' General Stock Summary View  '!$P$2,'PowerApp_Physical count'!C:C,' General Stock Summary View  '!C345,'PowerApp_Physical count'!A:A,' General Stock Summary View  '!B345)</f>
        <v>0</v>
      </c>
      <c r="R345" s="4">
        <f t="shared" si="61"/>
        <v>-7.4</v>
      </c>
      <c r="S345" s="5">
        <f>SUMIFS('XBS '!T:T,'XBS '!L:L,' General Stock Summary View  '!B345,'XBS '!H:H,' General Stock Summary View  '!$S$2,'XBS '!C:C,' General Stock Summary View  '!C345)</f>
        <v>0</v>
      </c>
      <c r="T345" s="3">
        <f>SUMIFS('PowerApp_Physical count'!H:H,'PowerApp_Physical count'!B:B,' General Stock Summary View  '!$S$2,'PowerApp_Physical count'!C:C,' General Stock Summary View  '!C345,'PowerApp_Physical count'!A:A,' General Stock Summary View  '!B345)</f>
        <v>0</v>
      </c>
      <c r="U345" s="4">
        <f t="shared" si="62"/>
        <v>0</v>
      </c>
      <c r="V345" s="2">
        <f>SUMIFS('XBS '!T:T,'XBS '!H:H,' General Stock Summary View  '!$V$2,'XBS '!B:B,' General Stock Summary View  '!C345,'XBS '!L:L,' General Stock Summary View  '!B345)</f>
        <v>0</v>
      </c>
      <c r="W345" s="3">
        <f>SUMIFS('PowerApp_Physical count'!H:H,'PowerApp_Physical count'!B:B,' General Stock Summary View  '!$V$2,'PowerApp_Physical count'!C:C,' General Stock Summary View  '!C345,'PowerApp_Physical count'!A:A,' General Stock Summary View  '!B345)</f>
        <v>0</v>
      </c>
      <c r="X345" s="4">
        <f t="shared" si="63"/>
        <v>0</v>
      </c>
      <c r="Y345" s="5">
        <f>SUMIFS('XBS '!T:T,'XBS '!H:H,' General Stock Summary View  '!$Y$2,'XBS '!B:B,' General Stock Summary View  '!C345,'XBS '!L:L,' General Stock Summary View  '!B345)</f>
        <v>0</v>
      </c>
      <c r="Z345" s="3">
        <f>SUMIFS('PowerApp_Physical count'!H:H,'PowerApp_Physical count'!B:B,' General Stock Summary View  '!$Y$2,'PowerApp_Physical count'!C:C,' General Stock Summary View  '!C345,'PowerApp_Physical count'!A:A,' General Stock Summary View  '!B345)</f>
        <v>0</v>
      </c>
      <c r="AA345" s="4">
        <f t="shared" si="64"/>
        <v>0</v>
      </c>
      <c r="AB345" s="5">
        <f>SUMIFS('XBS '!T:T,'XBS '!H:H,' General Stock Summary View  '!$AB$2,'XBS '!B:B,' General Stock Summary View  '!C345,'XBS '!L:L,' General Stock Summary View  '!B345)</f>
        <v>0</v>
      </c>
      <c r="AC345" s="3">
        <f>SUMIFS('PowerApp_Physical count'!H:H,'PowerApp_Physical count'!B:B,' General Stock Summary View  '!$AB$2,'PowerApp_Physical count'!C:C,' General Stock Summary View  '!C345,'PowerApp_Physical count'!A:A,' General Stock Summary View  '!B345)</f>
        <v>0</v>
      </c>
      <c r="AD345" s="6">
        <f t="shared" si="65"/>
        <v>0</v>
      </c>
      <c r="AE345" s="7">
        <f t="shared" si="66"/>
        <v>0</v>
      </c>
      <c r="AF345" s="8">
        <f t="shared" si="67"/>
        <v>-7.4</v>
      </c>
      <c r="AG345" s="112"/>
    </row>
    <row r="346" spans="2:33" s="113" customFormat="1" ht="61.15">
      <c r="B346" s="117" t="s">
        <v>68</v>
      </c>
      <c r="C346" s="111" t="s">
        <v>347</v>
      </c>
      <c r="D346" s="11">
        <f>SUMIFS('XBS '!T:T,'XBS '!C:C,' General Stock Summary View  '!C346,'XBS '!L:L,' General Stock Summary View  '!B346)</f>
        <v>3.8166666666666669</v>
      </c>
      <c r="E346" s="2">
        <f>SUMIFS('Blocked for Processing'!P:P,'Blocked for Processing'!I:I,' General Stock Summary View  '!B346,'Blocked for Processing'!C:C,' General Stock Summary View  '!C346)</f>
        <v>0</v>
      </c>
      <c r="F346" s="122">
        <f t="shared" si="56"/>
        <v>3.8166666666666669</v>
      </c>
      <c r="G346" s="148">
        <f>SUMIFS('XBS '!T:T,'XBS '!H:H,' General Stock Summary View  '!$G$2,'XBS '!L:L,' General Stock Summary View  '!B346,'XBS '!C:C,' General Stock Summary View  '!C346)</f>
        <v>0</v>
      </c>
      <c r="H346" s="3">
        <f>SUMIFS('PowerApp_Physical count'!H:H,'PowerApp_Physical count'!B:B,' General Stock Summary View  '!$G$2,'PowerApp_Physical count'!C:C,' General Stock Summary View  '!C346,'PowerApp_Physical count'!A:A,' General Stock Summary View  '!B346)</f>
        <v>0</v>
      </c>
      <c r="I346" s="154">
        <f t="shared" si="68"/>
        <v>0</v>
      </c>
      <c r="J346" s="11">
        <f>SUMIFS('XBS '!T:T,'XBS '!H:H,' General Stock Summary View  '!$J$2,'XBS '!L:L,' General Stock Summary View  '!B346,'XBS '!C:C,' General Stock Summary View  '!C346)</f>
        <v>0</v>
      </c>
      <c r="K346" s="157">
        <f>SUMIFS('PowerApp_Physical count'!H:H,'PowerApp_Physical count'!B:B,' General Stock Summary View  '!$J$2,'PowerApp_Physical count'!C:C,' General Stock Summary View  '!C346,'PowerApp_Physical count'!A:A,' General Stock Summary View  '!B346)</f>
        <v>0</v>
      </c>
      <c r="L346" s="127">
        <f t="shared" si="57"/>
        <v>0</v>
      </c>
      <c r="M346" s="126">
        <f t="shared" si="58"/>
        <v>0</v>
      </c>
      <c r="N346" s="11">
        <f t="shared" si="59"/>
        <v>0</v>
      </c>
      <c r="O346" s="144">
        <f t="shared" si="60"/>
        <v>0</v>
      </c>
      <c r="P346" s="2">
        <f>SUMIFS('XBS '!T:T,'XBS '!H:H,' General Stock Summary View  '!$P$2,'XBS '!L:L,' General Stock Summary View  '!B346,'XBS '!C:C,' General Stock Summary View  '!C346)</f>
        <v>3.8166666666666669</v>
      </c>
      <c r="Q346" s="3">
        <f>SUMIFS('PowerApp_Physical count'!H:H,'PowerApp_Physical count'!B:B,' General Stock Summary View  '!$P$2,'PowerApp_Physical count'!C:C,' General Stock Summary View  '!C346,'PowerApp_Physical count'!A:A,' General Stock Summary View  '!B346)</f>
        <v>0</v>
      </c>
      <c r="R346" s="4">
        <f t="shared" si="61"/>
        <v>-3.8166666666666669</v>
      </c>
      <c r="S346" s="5">
        <f>SUMIFS('XBS '!T:T,'XBS '!L:L,' General Stock Summary View  '!B346,'XBS '!H:H,' General Stock Summary View  '!$S$2,'XBS '!C:C,' General Stock Summary View  '!C346)</f>
        <v>0</v>
      </c>
      <c r="T346" s="3">
        <f>SUMIFS('PowerApp_Physical count'!H:H,'PowerApp_Physical count'!B:B,' General Stock Summary View  '!$S$2,'PowerApp_Physical count'!C:C,' General Stock Summary View  '!C346,'PowerApp_Physical count'!A:A,' General Stock Summary View  '!B346)</f>
        <v>0</v>
      </c>
      <c r="U346" s="4">
        <f t="shared" si="62"/>
        <v>0</v>
      </c>
      <c r="V346" s="2">
        <f>SUMIFS('XBS '!T:T,'XBS '!H:H,' General Stock Summary View  '!$V$2,'XBS '!B:B,' General Stock Summary View  '!C346,'XBS '!L:L,' General Stock Summary View  '!B346)</f>
        <v>0</v>
      </c>
      <c r="W346" s="3">
        <f>SUMIFS('PowerApp_Physical count'!H:H,'PowerApp_Physical count'!B:B,' General Stock Summary View  '!$V$2,'PowerApp_Physical count'!C:C,' General Stock Summary View  '!C346,'PowerApp_Physical count'!A:A,' General Stock Summary View  '!B346)</f>
        <v>0</v>
      </c>
      <c r="X346" s="4">
        <f t="shared" si="63"/>
        <v>0</v>
      </c>
      <c r="Y346" s="5">
        <f>SUMIFS('XBS '!T:T,'XBS '!H:H,' General Stock Summary View  '!$Y$2,'XBS '!B:B,' General Stock Summary View  '!C346,'XBS '!L:L,' General Stock Summary View  '!B346)</f>
        <v>0</v>
      </c>
      <c r="Z346" s="3">
        <f>SUMIFS('PowerApp_Physical count'!H:H,'PowerApp_Physical count'!B:B,' General Stock Summary View  '!$Y$2,'PowerApp_Physical count'!C:C,' General Stock Summary View  '!C346,'PowerApp_Physical count'!A:A,' General Stock Summary View  '!B346)</f>
        <v>0</v>
      </c>
      <c r="AA346" s="4">
        <f t="shared" si="64"/>
        <v>0</v>
      </c>
      <c r="AB346" s="5">
        <f>SUMIFS('XBS '!T:T,'XBS '!H:H,' General Stock Summary View  '!$AB$2,'XBS '!B:B,' General Stock Summary View  '!C346,'XBS '!L:L,' General Stock Summary View  '!B346)</f>
        <v>0</v>
      </c>
      <c r="AC346" s="3">
        <f>SUMIFS('PowerApp_Physical count'!H:H,'PowerApp_Physical count'!B:B,' General Stock Summary View  '!$AB$2,'PowerApp_Physical count'!C:C,' General Stock Summary View  '!C346,'PowerApp_Physical count'!A:A,' General Stock Summary View  '!B346)</f>
        <v>0</v>
      </c>
      <c r="AD346" s="6">
        <f t="shared" si="65"/>
        <v>0</v>
      </c>
      <c r="AE346" s="7">
        <f t="shared" si="66"/>
        <v>0</v>
      </c>
      <c r="AF346" s="8">
        <f t="shared" si="67"/>
        <v>-3.8166666666666669</v>
      </c>
      <c r="AG346" s="112"/>
    </row>
    <row r="347" spans="2:33" s="113" customFormat="1" ht="61.15">
      <c r="B347" s="117" t="s">
        <v>73</v>
      </c>
      <c r="C347" s="111" t="s">
        <v>347</v>
      </c>
      <c r="D347" s="11">
        <f>SUMIFS('XBS '!T:T,'XBS '!C:C,' General Stock Summary View  '!C347,'XBS '!L:L,' General Stock Summary View  '!B347)</f>
        <v>3.05</v>
      </c>
      <c r="E347" s="2">
        <f>SUMIFS('Blocked for Processing'!P:P,'Blocked for Processing'!I:I,' General Stock Summary View  '!B347,'Blocked for Processing'!C:C,' General Stock Summary View  '!C347)</f>
        <v>0</v>
      </c>
      <c r="F347" s="122">
        <f t="shared" si="56"/>
        <v>3.05</v>
      </c>
      <c r="G347" s="148">
        <f>SUMIFS('XBS '!T:T,'XBS '!H:H,' General Stock Summary View  '!$G$2,'XBS '!L:L,' General Stock Summary View  '!B347,'XBS '!C:C,' General Stock Summary View  '!C347)</f>
        <v>0</v>
      </c>
      <c r="H347" s="3">
        <f>SUMIFS('PowerApp_Physical count'!H:H,'PowerApp_Physical count'!B:B,' General Stock Summary View  '!$G$2,'PowerApp_Physical count'!C:C,' General Stock Summary View  '!C347,'PowerApp_Physical count'!A:A,' General Stock Summary View  '!B347)</f>
        <v>0</v>
      </c>
      <c r="I347" s="154">
        <f t="shared" si="68"/>
        <v>0</v>
      </c>
      <c r="J347" s="11">
        <f>SUMIFS('XBS '!T:T,'XBS '!H:H,' General Stock Summary View  '!$J$2,'XBS '!L:L,' General Stock Summary View  '!B347,'XBS '!C:C,' General Stock Summary View  '!C347)</f>
        <v>0</v>
      </c>
      <c r="K347" s="157">
        <f>SUMIFS('PowerApp_Physical count'!H:H,'PowerApp_Physical count'!B:B,' General Stock Summary View  '!$J$2,'PowerApp_Physical count'!C:C,' General Stock Summary View  '!C347,'PowerApp_Physical count'!A:A,' General Stock Summary View  '!B347)</f>
        <v>0</v>
      </c>
      <c r="L347" s="127">
        <f t="shared" si="57"/>
        <v>0</v>
      </c>
      <c r="M347" s="126">
        <f t="shared" si="58"/>
        <v>0</v>
      </c>
      <c r="N347" s="11">
        <f t="shared" si="59"/>
        <v>0</v>
      </c>
      <c r="O347" s="144">
        <f t="shared" si="60"/>
        <v>0</v>
      </c>
      <c r="P347" s="2">
        <f>SUMIFS('XBS '!T:T,'XBS '!H:H,' General Stock Summary View  '!$P$2,'XBS '!L:L,' General Stock Summary View  '!B347,'XBS '!C:C,' General Stock Summary View  '!C347)</f>
        <v>3.05</v>
      </c>
      <c r="Q347" s="3">
        <f>SUMIFS('PowerApp_Physical count'!H:H,'PowerApp_Physical count'!B:B,' General Stock Summary View  '!$P$2,'PowerApp_Physical count'!C:C,' General Stock Summary View  '!C347,'PowerApp_Physical count'!A:A,' General Stock Summary View  '!B347)</f>
        <v>0</v>
      </c>
      <c r="R347" s="4">
        <f t="shared" si="61"/>
        <v>-3.05</v>
      </c>
      <c r="S347" s="5">
        <f>SUMIFS('XBS '!T:T,'XBS '!L:L,' General Stock Summary View  '!B347,'XBS '!H:H,' General Stock Summary View  '!$S$2,'XBS '!C:C,' General Stock Summary View  '!C347)</f>
        <v>0</v>
      </c>
      <c r="T347" s="3">
        <f>SUMIFS('PowerApp_Physical count'!H:H,'PowerApp_Physical count'!B:B,' General Stock Summary View  '!$S$2,'PowerApp_Physical count'!C:C,' General Stock Summary View  '!C347,'PowerApp_Physical count'!A:A,' General Stock Summary View  '!B347)</f>
        <v>0</v>
      </c>
      <c r="U347" s="4">
        <f t="shared" si="62"/>
        <v>0</v>
      </c>
      <c r="V347" s="2">
        <f>SUMIFS('XBS '!T:T,'XBS '!H:H,' General Stock Summary View  '!$V$2,'XBS '!B:B,' General Stock Summary View  '!C347,'XBS '!L:L,' General Stock Summary View  '!B347)</f>
        <v>0</v>
      </c>
      <c r="W347" s="3">
        <f>SUMIFS('PowerApp_Physical count'!H:H,'PowerApp_Physical count'!B:B,' General Stock Summary View  '!$V$2,'PowerApp_Physical count'!C:C,' General Stock Summary View  '!C347,'PowerApp_Physical count'!A:A,' General Stock Summary View  '!B347)</f>
        <v>0</v>
      </c>
      <c r="X347" s="4">
        <f t="shared" si="63"/>
        <v>0</v>
      </c>
      <c r="Y347" s="5">
        <f>SUMIFS('XBS '!T:T,'XBS '!H:H,' General Stock Summary View  '!$Y$2,'XBS '!B:B,' General Stock Summary View  '!C347,'XBS '!L:L,' General Stock Summary View  '!B347)</f>
        <v>0</v>
      </c>
      <c r="Z347" s="3">
        <f>SUMIFS('PowerApp_Physical count'!H:H,'PowerApp_Physical count'!B:B,' General Stock Summary View  '!$Y$2,'PowerApp_Physical count'!C:C,' General Stock Summary View  '!C347,'PowerApp_Physical count'!A:A,' General Stock Summary View  '!B347)</f>
        <v>0</v>
      </c>
      <c r="AA347" s="4">
        <f t="shared" si="64"/>
        <v>0</v>
      </c>
      <c r="AB347" s="5">
        <f>SUMIFS('XBS '!T:T,'XBS '!H:H,' General Stock Summary View  '!$AB$2,'XBS '!B:B,' General Stock Summary View  '!C347,'XBS '!L:L,' General Stock Summary View  '!B347)</f>
        <v>0</v>
      </c>
      <c r="AC347" s="3">
        <f>SUMIFS('PowerApp_Physical count'!H:H,'PowerApp_Physical count'!B:B,' General Stock Summary View  '!$AB$2,'PowerApp_Physical count'!C:C,' General Stock Summary View  '!C347,'PowerApp_Physical count'!A:A,' General Stock Summary View  '!B347)</f>
        <v>0</v>
      </c>
      <c r="AD347" s="6">
        <f t="shared" si="65"/>
        <v>0</v>
      </c>
      <c r="AE347" s="7">
        <f t="shared" si="66"/>
        <v>0</v>
      </c>
      <c r="AF347" s="8">
        <f t="shared" si="67"/>
        <v>-3.05</v>
      </c>
      <c r="AG347" s="112"/>
    </row>
    <row r="348" spans="2:33" s="113" customFormat="1" ht="61.15">
      <c r="B348" s="117" t="s">
        <v>74</v>
      </c>
      <c r="C348" s="111" t="s">
        <v>347</v>
      </c>
      <c r="D348" s="11">
        <f>SUMIFS('XBS '!T:T,'XBS '!C:C,' General Stock Summary View  '!C348,'XBS '!L:L,' General Stock Summary View  '!B348)</f>
        <v>3</v>
      </c>
      <c r="E348" s="2">
        <f>SUMIFS('Blocked for Processing'!P:P,'Blocked for Processing'!I:I,' General Stock Summary View  '!B348,'Blocked for Processing'!C:C,' General Stock Summary View  '!C348)</f>
        <v>0</v>
      </c>
      <c r="F348" s="122">
        <f t="shared" si="56"/>
        <v>3</v>
      </c>
      <c r="G348" s="148">
        <f>SUMIFS('XBS '!T:T,'XBS '!H:H,' General Stock Summary View  '!$G$2,'XBS '!L:L,' General Stock Summary View  '!B348,'XBS '!C:C,' General Stock Summary View  '!C348)</f>
        <v>0</v>
      </c>
      <c r="H348" s="3">
        <f>SUMIFS('PowerApp_Physical count'!H:H,'PowerApp_Physical count'!B:B,' General Stock Summary View  '!$G$2,'PowerApp_Physical count'!C:C,' General Stock Summary View  '!C348,'PowerApp_Physical count'!A:A,' General Stock Summary View  '!B348)</f>
        <v>0</v>
      </c>
      <c r="I348" s="154">
        <f t="shared" si="68"/>
        <v>0</v>
      </c>
      <c r="J348" s="11">
        <f>SUMIFS('XBS '!T:T,'XBS '!H:H,' General Stock Summary View  '!$J$2,'XBS '!L:L,' General Stock Summary View  '!B348,'XBS '!C:C,' General Stock Summary View  '!C348)</f>
        <v>0</v>
      </c>
      <c r="K348" s="157">
        <f>SUMIFS('PowerApp_Physical count'!H:H,'PowerApp_Physical count'!B:B,' General Stock Summary View  '!$J$2,'PowerApp_Physical count'!C:C,' General Stock Summary View  '!C348,'PowerApp_Physical count'!A:A,' General Stock Summary View  '!B348)</f>
        <v>0</v>
      </c>
      <c r="L348" s="127">
        <f t="shared" si="57"/>
        <v>0</v>
      </c>
      <c r="M348" s="126">
        <f t="shared" si="58"/>
        <v>0</v>
      </c>
      <c r="N348" s="11">
        <f t="shared" si="59"/>
        <v>0</v>
      </c>
      <c r="O348" s="144">
        <f t="shared" si="60"/>
        <v>0</v>
      </c>
      <c r="P348" s="2">
        <f>SUMIFS('XBS '!T:T,'XBS '!H:H,' General Stock Summary View  '!$P$2,'XBS '!L:L,' General Stock Summary View  '!B348,'XBS '!C:C,' General Stock Summary View  '!C348)</f>
        <v>3</v>
      </c>
      <c r="Q348" s="3">
        <f>SUMIFS('PowerApp_Physical count'!H:H,'PowerApp_Physical count'!B:B,' General Stock Summary View  '!$P$2,'PowerApp_Physical count'!C:C,' General Stock Summary View  '!C348,'PowerApp_Physical count'!A:A,' General Stock Summary View  '!B348)</f>
        <v>0</v>
      </c>
      <c r="R348" s="4">
        <f t="shared" si="61"/>
        <v>-3</v>
      </c>
      <c r="S348" s="5">
        <f>SUMIFS('XBS '!T:T,'XBS '!L:L,' General Stock Summary View  '!B348,'XBS '!H:H,' General Stock Summary View  '!$S$2,'XBS '!C:C,' General Stock Summary View  '!C348)</f>
        <v>0</v>
      </c>
      <c r="T348" s="3">
        <f>SUMIFS('PowerApp_Physical count'!H:H,'PowerApp_Physical count'!B:B,' General Stock Summary View  '!$S$2,'PowerApp_Physical count'!C:C,' General Stock Summary View  '!C348,'PowerApp_Physical count'!A:A,' General Stock Summary View  '!B348)</f>
        <v>0</v>
      </c>
      <c r="U348" s="4">
        <f t="shared" si="62"/>
        <v>0</v>
      </c>
      <c r="V348" s="2">
        <f>SUMIFS('XBS '!T:T,'XBS '!H:H,' General Stock Summary View  '!$V$2,'XBS '!B:B,' General Stock Summary View  '!C348,'XBS '!L:L,' General Stock Summary View  '!B348)</f>
        <v>0</v>
      </c>
      <c r="W348" s="3">
        <f>SUMIFS('PowerApp_Physical count'!H:H,'PowerApp_Physical count'!B:B,' General Stock Summary View  '!$V$2,'PowerApp_Physical count'!C:C,' General Stock Summary View  '!C348,'PowerApp_Physical count'!A:A,' General Stock Summary View  '!B348)</f>
        <v>0</v>
      </c>
      <c r="X348" s="4">
        <f t="shared" si="63"/>
        <v>0</v>
      </c>
      <c r="Y348" s="5">
        <f>SUMIFS('XBS '!T:T,'XBS '!H:H,' General Stock Summary View  '!$Y$2,'XBS '!B:B,' General Stock Summary View  '!C348,'XBS '!L:L,' General Stock Summary View  '!B348)</f>
        <v>0</v>
      </c>
      <c r="Z348" s="3">
        <f>SUMIFS('PowerApp_Physical count'!H:H,'PowerApp_Physical count'!B:B,' General Stock Summary View  '!$Y$2,'PowerApp_Physical count'!C:C,' General Stock Summary View  '!C348,'PowerApp_Physical count'!A:A,' General Stock Summary View  '!B348)</f>
        <v>0</v>
      </c>
      <c r="AA348" s="4">
        <f t="shared" si="64"/>
        <v>0</v>
      </c>
      <c r="AB348" s="5">
        <f>SUMIFS('XBS '!T:T,'XBS '!H:H,' General Stock Summary View  '!$AB$2,'XBS '!B:B,' General Stock Summary View  '!C348,'XBS '!L:L,' General Stock Summary View  '!B348)</f>
        <v>0</v>
      </c>
      <c r="AC348" s="3">
        <f>SUMIFS('PowerApp_Physical count'!H:H,'PowerApp_Physical count'!B:B,' General Stock Summary View  '!$AB$2,'PowerApp_Physical count'!C:C,' General Stock Summary View  '!C348,'PowerApp_Physical count'!A:A,' General Stock Summary View  '!B348)</f>
        <v>0</v>
      </c>
      <c r="AD348" s="6">
        <f t="shared" si="65"/>
        <v>0</v>
      </c>
      <c r="AE348" s="7">
        <f t="shared" si="66"/>
        <v>0</v>
      </c>
      <c r="AF348" s="8">
        <f t="shared" si="67"/>
        <v>-3</v>
      </c>
      <c r="AG348" s="112"/>
    </row>
    <row r="349" spans="2:33" s="113" customFormat="1" ht="61.15">
      <c r="B349" s="117" t="s">
        <v>201</v>
      </c>
      <c r="C349" s="111" t="s">
        <v>347</v>
      </c>
      <c r="D349" s="11">
        <f>SUMIFS('XBS '!T:T,'XBS '!C:C,' General Stock Summary View  '!C349,'XBS '!L:L,' General Stock Summary View  '!B349)</f>
        <v>7.5333333333333332</v>
      </c>
      <c r="E349" s="2">
        <f>SUMIFS('Blocked for Processing'!P:P,'Blocked for Processing'!I:I,' General Stock Summary View  '!B349,'Blocked for Processing'!C:C,' General Stock Summary View  '!C349)</f>
        <v>0</v>
      </c>
      <c r="F349" s="122">
        <f t="shared" si="56"/>
        <v>7.5333333333333332</v>
      </c>
      <c r="G349" s="148">
        <f>SUMIFS('XBS '!T:T,'XBS '!H:H,' General Stock Summary View  '!$G$2,'XBS '!L:L,' General Stock Summary View  '!B349,'XBS '!C:C,' General Stock Summary View  '!C349)</f>
        <v>0</v>
      </c>
      <c r="H349" s="3">
        <f>SUMIFS('PowerApp_Physical count'!H:H,'PowerApp_Physical count'!B:B,' General Stock Summary View  '!$G$2,'PowerApp_Physical count'!C:C,' General Stock Summary View  '!C349,'PowerApp_Physical count'!A:A,' General Stock Summary View  '!B349)</f>
        <v>0</v>
      </c>
      <c r="I349" s="154">
        <f t="shared" si="68"/>
        <v>0</v>
      </c>
      <c r="J349" s="11">
        <f>SUMIFS('XBS '!T:T,'XBS '!H:H,' General Stock Summary View  '!$J$2,'XBS '!L:L,' General Stock Summary View  '!B349,'XBS '!C:C,' General Stock Summary View  '!C349)</f>
        <v>0</v>
      </c>
      <c r="K349" s="157">
        <f>SUMIFS('PowerApp_Physical count'!H:H,'PowerApp_Physical count'!B:B,' General Stock Summary View  '!$J$2,'PowerApp_Physical count'!C:C,' General Stock Summary View  '!C349,'PowerApp_Physical count'!A:A,' General Stock Summary View  '!B349)</f>
        <v>0</v>
      </c>
      <c r="L349" s="127">
        <f t="shared" si="57"/>
        <v>0</v>
      </c>
      <c r="M349" s="126">
        <f t="shared" si="58"/>
        <v>0</v>
      </c>
      <c r="N349" s="11">
        <f t="shared" si="59"/>
        <v>0</v>
      </c>
      <c r="O349" s="144">
        <f t="shared" si="60"/>
        <v>0</v>
      </c>
      <c r="P349" s="2">
        <f>SUMIFS('XBS '!T:T,'XBS '!H:H,' General Stock Summary View  '!$P$2,'XBS '!L:L,' General Stock Summary View  '!B349,'XBS '!C:C,' General Stock Summary View  '!C349)</f>
        <v>7.5333333333333332</v>
      </c>
      <c r="Q349" s="3">
        <f>SUMIFS('PowerApp_Physical count'!H:H,'PowerApp_Physical count'!B:B,' General Stock Summary View  '!$P$2,'PowerApp_Physical count'!C:C,' General Stock Summary View  '!C349,'PowerApp_Physical count'!A:A,' General Stock Summary View  '!B349)</f>
        <v>0</v>
      </c>
      <c r="R349" s="4">
        <f t="shared" si="61"/>
        <v>-7.5333333333333332</v>
      </c>
      <c r="S349" s="5">
        <f>SUMIFS('XBS '!T:T,'XBS '!L:L,' General Stock Summary View  '!B349,'XBS '!H:H,' General Stock Summary View  '!$S$2,'XBS '!C:C,' General Stock Summary View  '!C349)</f>
        <v>0</v>
      </c>
      <c r="T349" s="3">
        <f>SUMIFS('PowerApp_Physical count'!H:H,'PowerApp_Physical count'!B:B,' General Stock Summary View  '!$S$2,'PowerApp_Physical count'!C:C,' General Stock Summary View  '!C349,'PowerApp_Physical count'!A:A,' General Stock Summary View  '!B349)</f>
        <v>0</v>
      </c>
      <c r="U349" s="4">
        <f t="shared" si="62"/>
        <v>0</v>
      </c>
      <c r="V349" s="2">
        <f>SUMIFS('XBS '!T:T,'XBS '!H:H,' General Stock Summary View  '!$V$2,'XBS '!B:B,' General Stock Summary View  '!C349,'XBS '!L:L,' General Stock Summary View  '!B349)</f>
        <v>0</v>
      </c>
      <c r="W349" s="3">
        <f>SUMIFS('PowerApp_Physical count'!H:H,'PowerApp_Physical count'!B:B,' General Stock Summary View  '!$V$2,'PowerApp_Physical count'!C:C,' General Stock Summary View  '!C349,'PowerApp_Physical count'!A:A,' General Stock Summary View  '!B349)</f>
        <v>0</v>
      </c>
      <c r="X349" s="4">
        <f t="shared" si="63"/>
        <v>0</v>
      </c>
      <c r="Y349" s="5">
        <f>SUMIFS('XBS '!T:T,'XBS '!H:H,' General Stock Summary View  '!$Y$2,'XBS '!B:B,' General Stock Summary View  '!C349,'XBS '!L:L,' General Stock Summary View  '!B349)</f>
        <v>0</v>
      </c>
      <c r="Z349" s="3">
        <f>SUMIFS('PowerApp_Physical count'!H:H,'PowerApp_Physical count'!B:B,' General Stock Summary View  '!$Y$2,'PowerApp_Physical count'!C:C,' General Stock Summary View  '!C349,'PowerApp_Physical count'!A:A,' General Stock Summary View  '!B349)</f>
        <v>0</v>
      </c>
      <c r="AA349" s="4">
        <f t="shared" si="64"/>
        <v>0</v>
      </c>
      <c r="AB349" s="5">
        <f>SUMIFS('XBS '!T:T,'XBS '!H:H,' General Stock Summary View  '!$AB$2,'XBS '!B:B,' General Stock Summary View  '!C349,'XBS '!L:L,' General Stock Summary View  '!B349)</f>
        <v>0</v>
      </c>
      <c r="AC349" s="3">
        <f>SUMIFS('PowerApp_Physical count'!H:H,'PowerApp_Physical count'!B:B,' General Stock Summary View  '!$AB$2,'PowerApp_Physical count'!C:C,' General Stock Summary View  '!C349,'PowerApp_Physical count'!A:A,' General Stock Summary View  '!B349)</f>
        <v>0</v>
      </c>
      <c r="AD349" s="6">
        <f t="shared" si="65"/>
        <v>0</v>
      </c>
      <c r="AE349" s="7">
        <f t="shared" si="66"/>
        <v>0</v>
      </c>
      <c r="AF349" s="8">
        <f t="shared" si="67"/>
        <v>-7.5333333333333332</v>
      </c>
      <c r="AG349" s="112"/>
    </row>
    <row r="350" spans="2:33" s="113" customFormat="1" ht="61.15">
      <c r="B350" s="117" t="s">
        <v>350</v>
      </c>
      <c r="C350" s="111" t="s">
        <v>347</v>
      </c>
      <c r="D350" s="11">
        <f>SUMIFS('XBS '!T:T,'XBS '!C:C,' General Stock Summary View  '!C350,'XBS '!L:L,' General Stock Summary View  '!B350)</f>
        <v>2.85</v>
      </c>
      <c r="E350" s="2">
        <f>SUMIFS('Blocked for Processing'!P:P,'Blocked for Processing'!I:I,' General Stock Summary View  '!B350,'Blocked for Processing'!C:C,' General Stock Summary View  '!C350)</f>
        <v>0</v>
      </c>
      <c r="F350" s="122">
        <f t="shared" si="56"/>
        <v>2.85</v>
      </c>
      <c r="G350" s="148">
        <f>SUMIFS('XBS '!T:T,'XBS '!H:H,' General Stock Summary View  '!$G$2,'XBS '!L:L,' General Stock Summary View  '!B350,'XBS '!C:C,' General Stock Summary View  '!C350)</f>
        <v>0</v>
      </c>
      <c r="H350" s="3">
        <f>SUMIFS('PowerApp_Physical count'!H:H,'PowerApp_Physical count'!B:B,' General Stock Summary View  '!$G$2,'PowerApp_Physical count'!C:C,' General Stock Summary View  '!C350,'PowerApp_Physical count'!A:A,' General Stock Summary View  '!B350)</f>
        <v>0</v>
      </c>
      <c r="I350" s="154">
        <f t="shared" si="68"/>
        <v>0</v>
      </c>
      <c r="J350" s="11">
        <f>SUMIFS('XBS '!T:T,'XBS '!H:H,' General Stock Summary View  '!$J$2,'XBS '!L:L,' General Stock Summary View  '!B350,'XBS '!C:C,' General Stock Summary View  '!C350)</f>
        <v>0</v>
      </c>
      <c r="K350" s="157">
        <f>SUMIFS('PowerApp_Physical count'!H:H,'PowerApp_Physical count'!B:B,' General Stock Summary View  '!$J$2,'PowerApp_Physical count'!C:C,' General Stock Summary View  '!C350,'PowerApp_Physical count'!A:A,' General Stock Summary View  '!B350)</f>
        <v>0</v>
      </c>
      <c r="L350" s="127">
        <f t="shared" si="57"/>
        <v>0</v>
      </c>
      <c r="M350" s="126">
        <f t="shared" si="58"/>
        <v>0</v>
      </c>
      <c r="N350" s="11">
        <f t="shared" si="59"/>
        <v>0</v>
      </c>
      <c r="O350" s="144">
        <f t="shared" si="60"/>
        <v>0</v>
      </c>
      <c r="P350" s="2">
        <f>SUMIFS('XBS '!T:T,'XBS '!H:H,' General Stock Summary View  '!$P$2,'XBS '!L:L,' General Stock Summary View  '!B350,'XBS '!C:C,' General Stock Summary View  '!C350)</f>
        <v>2.85</v>
      </c>
      <c r="Q350" s="3">
        <f>SUMIFS('PowerApp_Physical count'!H:H,'PowerApp_Physical count'!B:B,' General Stock Summary View  '!$P$2,'PowerApp_Physical count'!C:C,' General Stock Summary View  '!C350,'PowerApp_Physical count'!A:A,' General Stock Summary View  '!B350)</f>
        <v>0</v>
      </c>
      <c r="R350" s="4">
        <f t="shared" si="61"/>
        <v>-2.85</v>
      </c>
      <c r="S350" s="5">
        <f>SUMIFS('XBS '!T:T,'XBS '!L:L,' General Stock Summary View  '!B350,'XBS '!H:H,' General Stock Summary View  '!$S$2,'XBS '!C:C,' General Stock Summary View  '!C350)</f>
        <v>0</v>
      </c>
      <c r="T350" s="3">
        <f>SUMIFS('PowerApp_Physical count'!H:H,'PowerApp_Physical count'!B:B,' General Stock Summary View  '!$S$2,'PowerApp_Physical count'!C:C,' General Stock Summary View  '!C350,'PowerApp_Physical count'!A:A,' General Stock Summary View  '!B350)</f>
        <v>0</v>
      </c>
      <c r="U350" s="4">
        <f t="shared" si="62"/>
        <v>0</v>
      </c>
      <c r="V350" s="2">
        <f>SUMIFS('XBS '!T:T,'XBS '!H:H,' General Stock Summary View  '!$V$2,'XBS '!B:B,' General Stock Summary View  '!C350,'XBS '!L:L,' General Stock Summary View  '!B350)</f>
        <v>0</v>
      </c>
      <c r="W350" s="3">
        <f>SUMIFS('PowerApp_Physical count'!H:H,'PowerApp_Physical count'!B:B,' General Stock Summary View  '!$V$2,'PowerApp_Physical count'!C:C,' General Stock Summary View  '!C350,'PowerApp_Physical count'!A:A,' General Stock Summary View  '!B350)</f>
        <v>0</v>
      </c>
      <c r="X350" s="4">
        <f t="shared" si="63"/>
        <v>0</v>
      </c>
      <c r="Y350" s="5">
        <f>SUMIFS('XBS '!T:T,'XBS '!H:H,' General Stock Summary View  '!$Y$2,'XBS '!B:B,' General Stock Summary View  '!C350,'XBS '!L:L,' General Stock Summary View  '!B350)</f>
        <v>0</v>
      </c>
      <c r="Z350" s="3">
        <f>SUMIFS('PowerApp_Physical count'!H:H,'PowerApp_Physical count'!B:B,' General Stock Summary View  '!$Y$2,'PowerApp_Physical count'!C:C,' General Stock Summary View  '!C350,'PowerApp_Physical count'!A:A,' General Stock Summary View  '!B350)</f>
        <v>0</v>
      </c>
      <c r="AA350" s="4">
        <f t="shared" si="64"/>
        <v>0</v>
      </c>
      <c r="AB350" s="5">
        <f>SUMIFS('XBS '!T:T,'XBS '!H:H,' General Stock Summary View  '!$AB$2,'XBS '!B:B,' General Stock Summary View  '!C350,'XBS '!L:L,' General Stock Summary View  '!B350)</f>
        <v>0</v>
      </c>
      <c r="AC350" s="3">
        <f>SUMIFS('PowerApp_Physical count'!H:H,'PowerApp_Physical count'!B:B,' General Stock Summary View  '!$AB$2,'PowerApp_Physical count'!C:C,' General Stock Summary View  '!C350,'PowerApp_Physical count'!A:A,' General Stock Summary View  '!B350)</f>
        <v>0</v>
      </c>
      <c r="AD350" s="6">
        <f t="shared" si="65"/>
        <v>0</v>
      </c>
      <c r="AE350" s="7">
        <f t="shared" si="66"/>
        <v>0</v>
      </c>
      <c r="AF350" s="8">
        <f t="shared" si="67"/>
        <v>-2.85</v>
      </c>
      <c r="AG350" s="112"/>
    </row>
    <row r="351" spans="2:33" s="113" customFormat="1" ht="61.15">
      <c r="B351" s="117" t="s">
        <v>78</v>
      </c>
      <c r="C351" s="111" t="s">
        <v>347</v>
      </c>
      <c r="D351" s="11">
        <f>SUMIFS('XBS '!T:T,'XBS '!C:C,' General Stock Summary View  '!C351,'XBS '!L:L,' General Stock Summary View  '!B351)</f>
        <v>6.35</v>
      </c>
      <c r="E351" s="2">
        <f>SUMIFS('Blocked for Processing'!P:P,'Blocked for Processing'!I:I,' General Stock Summary View  '!B351,'Blocked for Processing'!C:C,' General Stock Summary View  '!C351)</f>
        <v>0</v>
      </c>
      <c r="F351" s="122">
        <f t="shared" si="56"/>
        <v>6.35</v>
      </c>
      <c r="G351" s="148">
        <f>SUMIFS('XBS '!T:T,'XBS '!H:H,' General Stock Summary View  '!$G$2,'XBS '!L:L,' General Stock Summary View  '!B351,'XBS '!C:C,' General Stock Summary View  '!C351)</f>
        <v>0</v>
      </c>
      <c r="H351" s="3">
        <f>SUMIFS('PowerApp_Physical count'!H:H,'PowerApp_Physical count'!B:B,' General Stock Summary View  '!$G$2,'PowerApp_Physical count'!C:C,' General Stock Summary View  '!C351,'PowerApp_Physical count'!A:A,' General Stock Summary View  '!B351)</f>
        <v>0</v>
      </c>
      <c r="I351" s="154">
        <f t="shared" si="68"/>
        <v>0</v>
      </c>
      <c r="J351" s="11">
        <f>SUMIFS('XBS '!T:T,'XBS '!H:H,' General Stock Summary View  '!$J$2,'XBS '!L:L,' General Stock Summary View  '!B351,'XBS '!C:C,' General Stock Summary View  '!C351)</f>
        <v>0</v>
      </c>
      <c r="K351" s="157">
        <f>SUMIFS('PowerApp_Physical count'!H:H,'PowerApp_Physical count'!B:B,' General Stock Summary View  '!$J$2,'PowerApp_Physical count'!C:C,' General Stock Summary View  '!C351,'PowerApp_Physical count'!A:A,' General Stock Summary View  '!B351)</f>
        <v>0</v>
      </c>
      <c r="L351" s="127">
        <f t="shared" si="57"/>
        <v>0</v>
      </c>
      <c r="M351" s="126">
        <f t="shared" si="58"/>
        <v>0</v>
      </c>
      <c r="N351" s="11">
        <f t="shared" si="59"/>
        <v>0</v>
      </c>
      <c r="O351" s="144">
        <f t="shared" si="60"/>
        <v>0</v>
      </c>
      <c r="P351" s="2">
        <f>SUMIFS('XBS '!T:T,'XBS '!H:H,' General Stock Summary View  '!$P$2,'XBS '!L:L,' General Stock Summary View  '!B351,'XBS '!C:C,' General Stock Summary View  '!C351)</f>
        <v>6.35</v>
      </c>
      <c r="Q351" s="3">
        <f>SUMIFS('PowerApp_Physical count'!H:H,'PowerApp_Physical count'!B:B,' General Stock Summary View  '!$P$2,'PowerApp_Physical count'!C:C,' General Stock Summary View  '!C351,'PowerApp_Physical count'!A:A,' General Stock Summary View  '!B351)</f>
        <v>0</v>
      </c>
      <c r="R351" s="4">
        <f t="shared" si="61"/>
        <v>-6.35</v>
      </c>
      <c r="S351" s="5">
        <f>SUMIFS('XBS '!T:T,'XBS '!L:L,' General Stock Summary View  '!B351,'XBS '!H:H,' General Stock Summary View  '!$S$2,'XBS '!C:C,' General Stock Summary View  '!C351)</f>
        <v>0</v>
      </c>
      <c r="T351" s="3">
        <f>SUMIFS('PowerApp_Physical count'!H:H,'PowerApp_Physical count'!B:B,' General Stock Summary View  '!$S$2,'PowerApp_Physical count'!C:C,' General Stock Summary View  '!C351,'PowerApp_Physical count'!A:A,' General Stock Summary View  '!B351)</f>
        <v>0</v>
      </c>
      <c r="U351" s="4">
        <f t="shared" si="62"/>
        <v>0</v>
      </c>
      <c r="V351" s="2">
        <f>SUMIFS('XBS '!T:T,'XBS '!H:H,' General Stock Summary View  '!$V$2,'XBS '!B:B,' General Stock Summary View  '!C351,'XBS '!L:L,' General Stock Summary View  '!B351)</f>
        <v>0</v>
      </c>
      <c r="W351" s="3">
        <f>SUMIFS('PowerApp_Physical count'!H:H,'PowerApp_Physical count'!B:B,' General Stock Summary View  '!$V$2,'PowerApp_Physical count'!C:C,' General Stock Summary View  '!C351,'PowerApp_Physical count'!A:A,' General Stock Summary View  '!B351)</f>
        <v>0</v>
      </c>
      <c r="X351" s="4">
        <f t="shared" si="63"/>
        <v>0</v>
      </c>
      <c r="Y351" s="5">
        <f>SUMIFS('XBS '!T:T,'XBS '!H:H,' General Stock Summary View  '!$Y$2,'XBS '!B:B,' General Stock Summary View  '!C351,'XBS '!L:L,' General Stock Summary View  '!B351)</f>
        <v>0</v>
      </c>
      <c r="Z351" s="3">
        <f>SUMIFS('PowerApp_Physical count'!H:H,'PowerApp_Physical count'!B:B,' General Stock Summary View  '!$Y$2,'PowerApp_Physical count'!C:C,' General Stock Summary View  '!C351,'PowerApp_Physical count'!A:A,' General Stock Summary View  '!B351)</f>
        <v>0</v>
      </c>
      <c r="AA351" s="4">
        <f t="shared" si="64"/>
        <v>0</v>
      </c>
      <c r="AB351" s="5">
        <f>SUMIFS('XBS '!T:T,'XBS '!H:H,' General Stock Summary View  '!$AB$2,'XBS '!B:B,' General Stock Summary View  '!C351,'XBS '!L:L,' General Stock Summary View  '!B351)</f>
        <v>0</v>
      </c>
      <c r="AC351" s="3">
        <f>SUMIFS('PowerApp_Physical count'!H:H,'PowerApp_Physical count'!B:B,' General Stock Summary View  '!$AB$2,'PowerApp_Physical count'!C:C,' General Stock Summary View  '!C351,'PowerApp_Physical count'!A:A,' General Stock Summary View  '!B351)</f>
        <v>0</v>
      </c>
      <c r="AD351" s="6">
        <f t="shared" si="65"/>
        <v>0</v>
      </c>
      <c r="AE351" s="7">
        <f t="shared" si="66"/>
        <v>0</v>
      </c>
      <c r="AF351" s="8">
        <f t="shared" si="67"/>
        <v>-6.35</v>
      </c>
      <c r="AG351" s="112"/>
    </row>
    <row r="352" spans="2:33" s="113" customFormat="1" ht="61.15">
      <c r="B352" s="117" t="s">
        <v>351</v>
      </c>
      <c r="C352" s="111" t="s">
        <v>347</v>
      </c>
      <c r="D352" s="11">
        <f>SUMIFS('XBS '!T:T,'XBS '!C:C,' General Stock Summary View  '!C352,'XBS '!L:L,' General Stock Summary View  '!B352)</f>
        <v>5</v>
      </c>
      <c r="E352" s="2">
        <f>SUMIFS('Blocked for Processing'!P:P,'Blocked for Processing'!I:I,' General Stock Summary View  '!B352,'Blocked for Processing'!C:C,' General Stock Summary View  '!C352)</f>
        <v>0</v>
      </c>
      <c r="F352" s="122">
        <f t="shared" si="56"/>
        <v>5</v>
      </c>
      <c r="G352" s="148">
        <f>SUMIFS('XBS '!T:T,'XBS '!H:H,' General Stock Summary View  '!$G$2,'XBS '!L:L,' General Stock Summary View  '!B352,'XBS '!C:C,' General Stock Summary View  '!C352)</f>
        <v>0</v>
      </c>
      <c r="H352" s="3">
        <f>SUMIFS('PowerApp_Physical count'!H:H,'PowerApp_Physical count'!B:B,' General Stock Summary View  '!$G$2,'PowerApp_Physical count'!C:C,' General Stock Summary View  '!C352,'PowerApp_Physical count'!A:A,' General Stock Summary View  '!B352)</f>
        <v>0</v>
      </c>
      <c r="I352" s="154">
        <f t="shared" si="68"/>
        <v>0</v>
      </c>
      <c r="J352" s="11">
        <f>SUMIFS('XBS '!T:T,'XBS '!H:H,' General Stock Summary View  '!$J$2,'XBS '!L:L,' General Stock Summary View  '!B352,'XBS '!C:C,' General Stock Summary View  '!C352)</f>
        <v>0</v>
      </c>
      <c r="K352" s="157">
        <f>SUMIFS('PowerApp_Physical count'!H:H,'PowerApp_Physical count'!B:B,' General Stock Summary View  '!$J$2,'PowerApp_Physical count'!C:C,' General Stock Summary View  '!C352,'PowerApp_Physical count'!A:A,' General Stock Summary View  '!B352)</f>
        <v>0</v>
      </c>
      <c r="L352" s="127">
        <f t="shared" si="57"/>
        <v>0</v>
      </c>
      <c r="M352" s="126">
        <f t="shared" si="58"/>
        <v>0</v>
      </c>
      <c r="N352" s="11">
        <f t="shared" si="59"/>
        <v>0</v>
      </c>
      <c r="O352" s="144">
        <f t="shared" si="60"/>
        <v>0</v>
      </c>
      <c r="P352" s="2">
        <f>SUMIFS('XBS '!T:T,'XBS '!H:H,' General Stock Summary View  '!$P$2,'XBS '!L:L,' General Stock Summary View  '!B352,'XBS '!C:C,' General Stock Summary View  '!C352)</f>
        <v>5</v>
      </c>
      <c r="Q352" s="3">
        <f>SUMIFS('PowerApp_Physical count'!H:H,'PowerApp_Physical count'!B:B,' General Stock Summary View  '!$P$2,'PowerApp_Physical count'!C:C,' General Stock Summary View  '!C352,'PowerApp_Physical count'!A:A,' General Stock Summary View  '!B352)</f>
        <v>0</v>
      </c>
      <c r="R352" s="4">
        <f t="shared" si="61"/>
        <v>-5</v>
      </c>
      <c r="S352" s="5">
        <f>SUMIFS('XBS '!T:T,'XBS '!L:L,' General Stock Summary View  '!B352,'XBS '!H:H,' General Stock Summary View  '!$S$2,'XBS '!C:C,' General Stock Summary View  '!C352)</f>
        <v>0</v>
      </c>
      <c r="T352" s="3">
        <f>SUMIFS('PowerApp_Physical count'!H:H,'PowerApp_Physical count'!B:B,' General Stock Summary View  '!$S$2,'PowerApp_Physical count'!C:C,' General Stock Summary View  '!C352,'PowerApp_Physical count'!A:A,' General Stock Summary View  '!B352)</f>
        <v>0</v>
      </c>
      <c r="U352" s="4">
        <f t="shared" si="62"/>
        <v>0</v>
      </c>
      <c r="V352" s="2">
        <f>SUMIFS('XBS '!T:T,'XBS '!H:H,' General Stock Summary View  '!$V$2,'XBS '!B:B,' General Stock Summary View  '!C352,'XBS '!L:L,' General Stock Summary View  '!B352)</f>
        <v>0</v>
      </c>
      <c r="W352" s="3">
        <f>SUMIFS('PowerApp_Physical count'!H:H,'PowerApp_Physical count'!B:B,' General Stock Summary View  '!$V$2,'PowerApp_Physical count'!C:C,' General Stock Summary View  '!C352,'PowerApp_Physical count'!A:A,' General Stock Summary View  '!B352)</f>
        <v>0</v>
      </c>
      <c r="X352" s="4">
        <f t="shared" si="63"/>
        <v>0</v>
      </c>
      <c r="Y352" s="5">
        <f>SUMIFS('XBS '!T:T,'XBS '!H:H,' General Stock Summary View  '!$Y$2,'XBS '!B:B,' General Stock Summary View  '!C352,'XBS '!L:L,' General Stock Summary View  '!B352)</f>
        <v>0</v>
      </c>
      <c r="Z352" s="3">
        <f>SUMIFS('PowerApp_Physical count'!H:H,'PowerApp_Physical count'!B:B,' General Stock Summary View  '!$Y$2,'PowerApp_Physical count'!C:C,' General Stock Summary View  '!C352,'PowerApp_Physical count'!A:A,' General Stock Summary View  '!B352)</f>
        <v>0</v>
      </c>
      <c r="AA352" s="4">
        <f t="shared" si="64"/>
        <v>0</v>
      </c>
      <c r="AB352" s="5">
        <f>SUMIFS('XBS '!T:T,'XBS '!H:H,' General Stock Summary View  '!$AB$2,'XBS '!B:B,' General Stock Summary View  '!C352,'XBS '!L:L,' General Stock Summary View  '!B352)</f>
        <v>0</v>
      </c>
      <c r="AC352" s="3">
        <f>SUMIFS('PowerApp_Physical count'!H:H,'PowerApp_Physical count'!B:B,' General Stock Summary View  '!$AB$2,'PowerApp_Physical count'!C:C,' General Stock Summary View  '!C352,'PowerApp_Physical count'!A:A,' General Stock Summary View  '!B352)</f>
        <v>0</v>
      </c>
      <c r="AD352" s="6">
        <f t="shared" si="65"/>
        <v>0</v>
      </c>
      <c r="AE352" s="7">
        <f t="shared" si="66"/>
        <v>0</v>
      </c>
      <c r="AF352" s="8">
        <f t="shared" si="67"/>
        <v>-5</v>
      </c>
      <c r="AG352" s="112"/>
    </row>
    <row r="353" spans="2:33" s="113" customFormat="1" ht="61.15">
      <c r="B353" s="117" t="s">
        <v>352</v>
      </c>
      <c r="C353" s="111" t="s">
        <v>347</v>
      </c>
      <c r="D353" s="11">
        <f>SUMIFS('XBS '!T:T,'XBS '!C:C,' General Stock Summary View  '!C353,'XBS '!L:L,' General Stock Summary View  '!B353)</f>
        <v>3.3</v>
      </c>
      <c r="E353" s="2">
        <f>SUMIFS('Blocked for Processing'!P:P,'Blocked for Processing'!I:I,' General Stock Summary View  '!B353,'Blocked for Processing'!C:C,' General Stock Summary View  '!C353)</f>
        <v>0</v>
      </c>
      <c r="F353" s="122">
        <f t="shared" si="56"/>
        <v>3.3</v>
      </c>
      <c r="G353" s="148">
        <f>SUMIFS('XBS '!T:T,'XBS '!H:H,' General Stock Summary View  '!$G$2,'XBS '!L:L,' General Stock Summary View  '!B353,'XBS '!C:C,' General Stock Summary View  '!C353)</f>
        <v>0</v>
      </c>
      <c r="H353" s="3">
        <f>SUMIFS('PowerApp_Physical count'!H:H,'PowerApp_Physical count'!B:B,' General Stock Summary View  '!$G$2,'PowerApp_Physical count'!C:C,' General Stock Summary View  '!C353,'PowerApp_Physical count'!A:A,' General Stock Summary View  '!B353)</f>
        <v>0</v>
      </c>
      <c r="I353" s="154">
        <f t="shared" si="68"/>
        <v>0</v>
      </c>
      <c r="J353" s="11">
        <f>SUMIFS('XBS '!T:T,'XBS '!H:H,' General Stock Summary View  '!$J$2,'XBS '!L:L,' General Stock Summary View  '!B353,'XBS '!C:C,' General Stock Summary View  '!C353)</f>
        <v>0</v>
      </c>
      <c r="K353" s="157">
        <f>SUMIFS('PowerApp_Physical count'!H:H,'PowerApp_Physical count'!B:B,' General Stock Summary View  '!$J$2,'PowerApp_Physical count'!C:C,' General Stock Summary View  '!C353,'PowerApp_Physical count'!A:A,' General Stock Summary View  '!B353)</f>
        <v>0</v>
      </c>
      <c r="L353" s="127">
        <f t="shared" si="57"/>
        <v>0</v>
      </c>
      <c r="M353" s="126">
        <f t="shared" si="58"/>
        <v>0</v>
      </c>
      <c r="N353" s="11">
        <f t="shared" si="59"/>
        <v>0</v>
      </c>
      <c r="O353" s="144">
        <f t="shared" si="60"/>
        <v>0</v>
      </c>
      <c r="P353" s="2">
        <f>SUMIFS('XBS '!T:T,'XBS '!H:H,' General Stock Summary View  '!$P$2,'XBS '!L:L,' General Stock Summary View  '!B353,'XBS '!C:C,' General Stock Summary View  '!C353)</f>
        <v>3.3</v>
      </c>
      <c r="Q353" s="3">
        <f>SUMIFS('PowerApp_Physical count'!H:H,'PowerApp_Physical count'!B:B,' General Stock Summary View  '!$P$2,'PowerApp_Physical count'!C:C,' General Stock Summary View  '!C353,'PowerApp_Physical count'!A:A,' General Stock Summary View  '!B353)</f>
        <v>0</v>
      </c>
      <c r="R353" s="4">
        <f t="shared" si="61"/>
        <v>-3.3</v>
      </c>
      <c r="S353" s="5">
        <f>SUMIFS('XBS '!T:T,'XBS '!L:L,' General Stock Summary View  '!B353,'XBS '!H:H,' General Stock Summary View  '!$S$2,'XBS '!C:C,' General Stock Summary View  '!C353)</f>
        <v>0</v>
      </c>
      <c r="T353" s="3">
        <f>SUMIFS('PowerApp_Physical count'!H:H,'PowerApp_Physical count'!B:B,' General Stock Summary View  '!$S$2,'PowerApp_Physical count'!C:C,' General Stock Summary View  '!C353,'PowerApp_Physical count'!A:A,' General Stock Summary View  '!B353)</f>
        <v>0</v>
      </c>
      <c r="U353" s="4">
        <f t="shared" si="62"/>
        <v>0</v>
      </c>
      <c r="V353" s="2">
        <f>SUMIFS('XBS '!T:T,'XBS '!H:H,' General Stock Summary View  '!$V$2,'XBS '!B:B,' General Stock Summary View  '!C353,'XBS '!L:L,' General Stock Summary View  '!B353)</f>
        <v>0</v>
      </c>
      <c r="W353" s="3">
        <f>SUMIFS('PowerApp_Physical count'!H:H,'PowerApp_Physical count'!B:B,' General Stock Summary View  '!$V$2,'PowerApp_Physical count'!C:C,' General Stock Summary View  '!C353,'PowerApp_Physical count'!A:A,' General Stock Summary View  '!B353)</f>
        <v>0</v>
      </c>
      <c r="X353" s="4">
        <f t="shared" si="63"/>
        <v>0</v>
      </c>
      <c r="Y353" s="5">
        <f>SUMIFS('XBS '!T:T,'XBS '!H:H,' General Stock Summary View  '!$Y$2,'XBS '!B:B,' General Stock Summary View  '!C353,'XBS '!L:L,' General Stock Summary View  '!B353)</f>
        <v>0</v>
      </c>
      <c r="Z353" s="3">
        <f>SUMIFS('PowerApp_Physical count'!H:H,'PowerApp_Physical count'!B:B,' General Stock Summary View  '!$Y$2,'PowerApp_Physical count'!C:C,' General Stock Summary View  '!C353,'PowerApp_Physical count'!A:A,' General Stock Summary View  '!B353)</f>
        <v>0</v>
      </c>
      <c r="AA353" s="4">
        <f t="shared" si="64"/>
        <v>0</v>
      </c>
      <c r="AB353" s="5">
        <f>SUMIFS('XBS '!T:T,'XBS '!H:H,' General Stock Summary View  '!$AB$2,'XBS '!B:B,' General Stock Summary View  '!C353,'XBS '!L:L,' General Stock Summary View  '!B353)</f>
        <v>0</v>
      </c>
      <c r="AC353" s="3">
        <f>SUMIFS('PowerApp_Physical count'!H:H,'PowerApp_Physical count'!B:B,' General Stock Summary View  '!$AB$2,'PowerApp_Physical count'!C:C,' General Stock Summary View  '!C353,'PowerApp_Physical count'!A:A,' General Stock Summary View  '!B353)</f>
        <v>0</v>
      </c>
      <c r="AD353" s="6">
        <f t="shared" si="65"/>
        <v>0</v>
      </c>
      <c r="AE353" s="7">
        <f t="shared" si="66"/>
        <v>0</v>
      </c>
      <c r="AF353" s="8">
        <f t="shared" si="67"/>
        <v>-3.3</v>
      </c>
      <c r="AG353" s="112"/>
    </row>
    <row r="354" spans="2:33" s="113" customFormat="1" ht="61.15">
      <c r="B354" s="117" t="s">
        <v>81</v>
      </c>
      <c r="C354" s="111" t="s">
        <v>347</v>
      </c>
      <c r="D354" s="11">
        <f>SUMIFS('XBS '!T:T,'XBS '!C:C,' General Stock Summary View  '!C354,'XBS '!L:L,' General Stock Summary View  '!B354)</f>
        <v>13.3</v>
      </c>
      <c r="E354" s="2">
        <f>SUMIFS('Blocked for Processing'!P:P,'Blocked for Processing'!I:I,' General Stock Summary View  '!B354,'Blocked for Processing'!C:C,' General Stock Summary View  '!C354)</f>
        <v>0</v>
      </c>
      <c r="F354" s="122">
        <f t="shared" si="56"/>
        <v>13.3</v>
      </c>
      <c r="G354" s="148">
        <f>SUMIFS('XBS '!T:T,'XBS '!H:H,' General Stock Summary View  '!$G$2,'XBS '!L:L,' General Stock Summary View  '!B354,'XBS '!C:C,' General Stock Summary View  '!C354)</f>
        <v>0</v>
      </c>
      <c r="H354" s="3">
        <f>SUMIFS('PowerApp_Physical count'!H:H,'PowerApp_Physical count'!B:B,' General Stock Summary View  '!$G$2,'PowerApp_Physical count'!C:C,' General Stock Summary View  '!C354,'PowerApp_Physical count'!A:A,' General Stock Summary View  '!B354)</f>
        <v>0</v>
      </c>
      <c r="I354" s="154">
        <f t="shared" si="68"/>
        <v>0</v>
      </c>
      <c r="J354" s="11">
        <f>SUMIFS('XBS '!T:T,'XBS '!H:H,' General Stock Summary View  '!$J$2,'XBS '!L:L,' General Stock Summary View  '!B354,'XBS '!C:C,' General Stock Summary View  '!C354)</f>
        <v>0</v>
      </c>
      <c r="K354" s="157">
        <f>SUMIFS('PowerApp_Physical count'!H:H,'PowerApp_Physical count'!B:B,' General Stock Summary View  '!$J$2,'PowerApp_Physical count'!C:C,' General Stock Summary View  '!C354,'PowerApp_Physical count'!A:A,' General Stock Summary View  '!B354)</f>
        <v>0</v>
      </c>
      <c r="L354" s="127">
        <f t="shared" si="57"/>
        <v>0</v>
      </c>
      <c r="M354" s="126">
        <f t="shared" si="58"/>
        <v>0</v>
      </c>
      <c r="N354" s="11">
        <f t="shared" si="59"/>
        <v>0</v>
      </c>
      <c r="O354" s="144">
        <f t="shared" si="60"/>
        <v>0</v>
      </c>
      <c r="P354" s="2">
        <f>SUMIFS('XBS '!T:T,'XBS '!H:H,' General Stock Summary View  '!$P$2,'XBS '!L:L,' General Stock Summary View  '!B354,'XBS '!C:C,' General Stock Summary View  '!C354)</f>
        <v>13.3</v>
      </c>
      <c r="Q354" s="3">
        <f>SUMIFS('PowerApp_Physical count'!H:H,'PowerApp_Physical count'!B:B,' General Stock Summary View  '!$P$2,'PowerApp_Physical count'!C:C,' General Stock Summary View  '!C354,'PowerApp_Physical count'!A:A,' General Stock Summary View  '!B354)</f>
        <v>0</v>
      </c>
      <c r="R354" s="4">
        <f t="shared" si="61"/>
        <v>-13.3</v>
      </c>
      <c r="S354" s="5">
        <f>SUMIFS('XBS '!T:T,'XBS '!L:L,' General Stock Summary View  '!B354,'XBS '!H:H,' General Stock Summary View  '!$S$2,'XBS '!C:C,' General Stock Summary View  '!C354)</f>
        <v>0</v>
      </c>
      <c r="T354" s="3">
        <f>SUMIFS('PowerApp_Physical count'!H:H,'PowerApp_Physical count'!B:B,' General Stock Summary View  '!$S$2,'PowerApp_Physical count'!C:C,' General Stock Summary View  '!C354,'PowerApp_Physical count'!A:A,' General Stock Summary View  '!B354)</f>
        <v>0</v>
      </c>
      <c r="U354" s="4">
        <f t="shared" si="62"/>
        <v>0</v>
      </c>
      <c r="V354" s="2">
        <f>SUMIFS('XBS '!T:T,'XBS '!H:H,' General Stock Summary View  '!$V$2,'XBS '!B:B,' General Stock Summary View  '!C354,'XBS '!L:L,' General Stock Summary View  '!B354)</f>
        <v>0</v>
      </c>
      <c r="W354" s="3">
        <f>SUMIFS('PowerApp_Physical count'!H:H,'PowerApp_Physical count'!B:B,' General Stock Summary View  '!$V$2,'PowerApp_Physical count'!C:C,' General Stock Summary View  '!C354,'PowerApp_Physical count'!A:A,' General Stock Summary View  '!B354)</f>
        <v>0</v>
      </c>
      <c r="X354" s="4">
        <f t="shared" si="63"/>
        <v>0</v>
      </c>
      <c r="Y354" s="5">
        <f>SUMIFS('XBS '!T:T,'XBS '!H:H,' General Stock Summary View  '!$Y$2,'XBS '!B:B,' General Stock Summary View  '!C354,'XBS '!L:L,' General Stock Summary View  '!B354)</f>
        <v>0</v>
      </c>
      <c r="Z354" s="3">
        <f>SUMIFS('PowerApp_Physical count'!H:H,'PowerApp_Physical count'!B:B,' General Stock Summary View  '!$Y$2,'PowerApp_Physical count'!C:C,' General Stock Summary View  '!C354,'PowerApp_Physical count'!A:A,' General Stock Summary View  '!B354)</f>
        <v>0</v>
      </c>
      <c r="AA354" s="4">
        <f t="shared" si="64"/>
        <v>0</v>
      </c>
      <c r="AB354" s="5">
        <f>SUMIFS('XBS '!T:T,'XBS '!H:H,' General Stock Summary View  '!$AB$2,'XBS '!B:B,' General Stock Summary View  '!C354,'XBS '!L:L,' General Stock Summary View  '!B354)</f>
        <v>0</v>
      </c>
      <c r="AC354" s="3">
        <f>SUMIFS('PowerApp_Physical count'!H:H,'PowerApp_Physical count'!B:B,' General Stock Summary View  '!$AB$2,'PowerApp_Physical count'!C:C,' General Stock Summary View  '!C354,'PowerApp_Physical count'!A:A,' General Stock Summary View  '!B354)</f>
        <v>0</v>
      </c>
      <c r="AD354" s="6">
        <f t="shared" si="65"/>
        <v>0</v>
      </c>
      <c r="AE354" s="7">
        <f t="shared" si="66"/>
        <v>0</v>
      </c>
      <c r="AF354" s="8">
        <f t="shared" si="67"/>
        <v>-13.3</v>
      </c>
      <c r="AG354" s="112"/>
    </row>
    <row r="355" spans="2:33" s="113" customFormat="1" ht="61.15">
      <c r="B355" s="117" t="s">
        <v>46</v>
      </c>
      <c r="C355" s="111" t="s">
        <v>347</v>
      </c>
      <c r="D355" s="11">
        <f>SUMIFS('XBS '!T:T,'XBS '!C:C,' General Stock Summary View  '!C355,'XBS '!L:L,' General Stock Summary View  '!B355)</f>
        <v>8.8166666666666664</v>
      </c>
      <c r="E355" s="2">
        <f>SUMIFS('Blocked for Processing'!P:P,'Blocked for Processing'!I:I,' General Stock Summary View  '!B355,'Blocked for Processing'!C:C,' General Stock Summary View  '!C355)</f>
        <v>0</v>
      </c>
      <c r="F355" s="122">
        <f t="shared" si="56"/>
        <v>8.8166666666666664</v>
      </c>
      <c r="G355" s="148">
        <f>SUMIFS('XBS '!T:T,'XBS '!H:H,' General Stock Summary View  '!$G$2,'XBS '!L:L,' General Stock Summary View  '!B355,'XBS '!C:C,' General Stock Summary View  '!C355)</f>
        <v>0</v>
      </c>
      <c r="H355" s="3">
        <f>SUMIFS('PowerApp_Physical count'!H:H,'PowerApp_Physical count'!B:B,' General Stock Summary View  '!$G$2,'PowerApp_Physical count'!C:C,' General Stock Summary View  '!C355,'PowerApp_Physical count'!A:A,' General Stock Summary View  '!B355)</f>
        <v>0</v>
      </c>
      <c r="I355" s="154">
        <f t="shared" si="68"/>
        <v>0</v>
      </c>
      <c r="J355" s="11">
        <f>SUMIFS('XBS '!T:T,'XBS '!H:H,' General Stock Summary View  '!$J$2,'XBS '!L:L,' General Stock Summary View  '!B355,'XBS '!C:C,' General Stock Summary View  '!C355)</f>
        <v>0</v>
      </c>
      <c r="K355" s="157">
        <f>SUMIFS('PowerApp_Physical count'!H:H,'PowerApp_Physical count'!B:B,' General Stock Summary View  '!$J$2,'PowerApp_Physical count'!C:C,' General Stock Summary View  '!C355,'PowerApp_Physical count'!A:A,' General Stock Summary View  '!B355)</f>
        <v>0</v>
      </c>
      <c r="L355" s="127">
        <f t="shared" si="57"/>
        <v>0</v>
      </c>
      <c r="M355" s="126">
        <f t="shared" si="58"/>
        <v>0</v>
      </c>
      <c r="N355" s="11">
        <f t="shared" si="59"/>
        <v>0</v>
      </c>
      <c r="O355" s="144">
        <f t="shared" si="60"/>
        <v>0</v>
      </c>
      <c r="P355" s="2">
        <f>SUMIFS('XBS '!T:T,'XBS '!H:H,' General Stock Summary View  '!$P$2,'XBS '!L:L,' General Stock Summary View  '!B355,'XBS '!C:C,' General Stock Summary View  '!C355)</f>
        <v>8.8166666666666664</v>
      </c>
      <c r="Q355" s="3">
        <f>SUMIFS('PowerApp_Physical count'!H:H,'PowerApp_Physical count'!B:B,' General Stock Summary View  '!$P$2,'PowerApp_Physical count'!C:C,' General Stock Summary View  '!C355,'PowerApp_Physical count'!A:A,' General Stock Summary View  '!B355)</f>
        <v>0</v>
      </c>
      <c r="R355" s="4">
        <f t="shared" si="61"/>
        <v>-8.8166666666666664</v>
      </c>
      <c r="S355" s="5">
        <f>SUMIFS('XBS '!T:T,'XBS '!L:L,' General Stock Summary View  '!B355,'XBS '!H:H,' General Stock Summary View  '!$S$2,'XBS '!C:C,' General Stock Summary View  '!C355)</f>
        <v>0</v>
      </c>
      <c r="T355" s="3">
        <f>SUMIFS('PowerApp_Physical count'!H:H,'PowerApp_Physical count'!B:B,' General Stock Summary View  '!$S$2,'PowerApp_Physical count'!C:C,' General Stock Summary View  '!C355,'PowerApp_Physical count'!A:A,' General Stock Summary View  '!B355)</f>
        <v>0</v>
      </c>
      <c r="U355" s="4">
        <f t="shared" si="62"/>
        <v>0</v>
      </c>
      <c r="V355" s="2">
        <f>SUMIFS('XBS '!T:T,'XBS '!H:H,' General Stock Summary View  '!$V$2,'XBS '!B:B,' General Stock Summary View  '!C355,'XBS '!L:L,' General Stock Summary View  '!B355)</f>
        <v>0</v>
      </c>
      <c r="W355" s="3">
        <f>SUMIFS('PowerApp_Physical count'!H:H,'PowerApp_Physical count'!B:B,' General Stock Summary View  '!$V$2,'PowerApp_Physical count'!C:C,' General Stock Summary View  '!C355,'PowerApp_Physical count'!A:A,' General Stock Summary View  '!B355)</f>
        <v>0</v>
      </c>
      <c r="X355" s="4">
        <f t="shared" si="63"/>
        <v>0</v>
      </c>
      <c r="Y355" s="5">
        <f>SUMIFS('XBS '!T:T,'XBS '!H:H,' General Stock Summary View  '!$Y$2,'XBS '!B:B,' General Stock Summary View  '!C355,'XBS '!L:L,' General Stock Summary View  '!B355)</f>
        <v>0</v>
      </c>
      <c r="Z355" s="3">
        <f>SUMIFS('PowerApp_Physical count'!H:H,'PowerApp_Physical count'!B:B,' General Stock Summary View  '!$Y$2,'PowerApp_Physical count'!C:C,' General Stock Summary View  '!C355,'PowerApp_Physical count'!A:A,' General Stock Summary View  '!B355)</f>
        <v>0</v>
      </c>
      <c r="AA355" s="4">
        <f t="shared" si="64"/>
        <v>0</v>
      </c>
      <c r="AB355" s="5">
        <f>SUMIFS('XBS '!T:T,'XBS '!H:H,' General Stock Summary View  '!$AB$2,'XBS '!B:B,' General Stock Summary View  '!C355,'XBS '!L:L,' General Stock Summary View  '!B355)</f>
        <v>0</v>
      </c>
      <c r="AC355" s="3">
        <f>SUMIFS('PowerApp_Physical count'!H:H,'PowerApp_Physical count'!B:B,' General Stock Summary View  '!$AB$2,'PowerApp_Physical count'!C:C,' General Stock Summary View  '!C355,'PowerApp_Physical count'!A:A,' General Stock Summary View  '!B355)</f>
        <v>0</v>
      </c>
      <c r="AD355" s="6">
        <f t="shared" si="65"/>
        <v>0</v>
      </c>
      <c r="AE355" s="7">
        <f t="shared" si="66"/>
        <v>0</v>
      </c>
      <c r="AF355" s="8">
        <f t="shared" si="67"/>
        <v>-8.8166666666666664</v>
      </c>
      <c r="AG355" s="112"/>
    </row>
    <row r="356" spans="2:33" s="113" customFormat="1" ht="61.15">
      <c r="B356" s="117" t="s">
        <v>225</v>
      </c>
      <c r="C356" s="111" t="s">
        <v>347</v>
      </c>
      <c r="D356" s="11">
        <f>SUMIFS('XBS '!T:T,'XBS '!C:C,' General Stock Summary View  '!C356,'XBS '!L:L,' General Stock Summary View  '!B356)</f>
        <v>8.4499999999999993</v>
      </c>
      <c r="E356" s="2">
        <f>SUMIFS('Blocked for Processing'!P:P,'Blocked for Processing'!I:I,' General Stock Summary View  '!B356,'Blocked for Processing'!C:C,' General Stock Summary View  '!C356)</f>
        <v>0</v>
      </c>
      <c r="F356" s="122">
        <f t="shared" si="56"/>
        <v>8.4499999999999993</v>
      </c>
      <c r="G356" s="148">
        <f>SUMIFS('XBS '!T:T,'XBS '!H:H,' General Stock Summary View  '!$G$2,'XBS '!L:L,' General Stock Summary View  '!B356,'XBS '!C:C,' General Stock Summary View  '!C356)</f>
        <v>0</v>
      </c>
      <c r="H356" s="3">
        <f>SUMIFS('PowerApp_Physical count'!H:H,'PowerApp_Physical count'!B:B,' General Stock Summary View  '!$G$2,'PowerApp_Physical count'!C:C,' General Stock Summary View  '!C356,'PowerApp_Physical count'!A:A,' General Stock Summary View  '!B356)</f>
        <v>0</v>
      </c>
      <c r="I356" s="154">
        <f t="shared" si="68"/>
        <v>0</v>
      </c>
      <c r="J356" s="11">
        <f>SUMIFS('XBS '!T:T,'XBS '!H:H,' General Stock Summary View  '!$J$2,'XBS '!L:L,' General Stock Summary View  '!B356,'XBS '!C:C,' General Stock Summary View  '!C356)</f>
        <v>0</v>
      </c>
      <c r="K356" s="157">
        <f>SUMIFS('PowerApp_Physical count'!H:H,'PowerApp_Physical count'!B:B,' General Stock Summary View  '!$J$2,'PowerApp_Physical count'!C:C,' General Stock Summary View  '!C356,'PowerApp_Physical count'!A:A,' General Stock Summary View  '!B356)</f>
        <v>0</v>
      </c>
      <c r="L356" s="127">
        <f t="shared" si="57"/>
        <v>0</v>
      </c>
      <c r="M356" s="126">
        <f t="shared" si="58"/>
        <v>0</v>
      </c>
      <c r="N356" s="11">
        <f t="shared" si="59"/>
        <v>0</v>
      </c>
      <c r="O356" s="144">
        <f t="shared" si="60"/>
        <v>0</v>
      </c>
      <c r="P356" s="2">
        <f>SUMIFS('XBS '!T:T,'XBS '!H:H,' General Stock Summary View  '!$P$2,'XBS '!L:L,' General Stock Summary View  '!B356,'XBS '!C:C,' General Stock Summary View  '!C356)</f>
        <v>8.4499999999999993</v>
      </c>
      <c r="Q356" s="3">
        <f>SUMIFS('PowerApp_Physical count'!H:H,'PowerApp_Physical count'!B:B,' General Stock Summary View  '!$P$2,'PowerApp_Physical count'!C:C,' General Stock Summary View  '!C356,'PowerApp_Physical count'!A:A,' General Stock Summary View  '!B356)</f>
        <v>0</v>
      </c>
      <c r="R356" s="4">
        <f t="shared" si="61"/>
        <v>-8.4499999999999993</v>
      </c>
      <c r="S356" s="5">
        <f>SUMIFS('XBS '!T:T,'XBS '!L:L,' General Stock Summary View  '!B356,'XBS '!H:H,' General Stock Summary View  '!$S$2,'XBS '!C:C,' General Stock Summary View  '!C356)</f>
        <v>0</v>
      </c>
      <c r="T356" s="3">
        <f>SUMIFS('PowerApp_Physical count'!H:H,'PowerApp_Physical count'!B:B,' General Stock Summary View  '!$S$2,'PowerApp_Physical count'!C:C,' General Stock Summary View  '!C356,'PowerApp_Physical count'!A:A,' General Stock Summary View  '!B356)</f>
        <v>0</v>
      </c>
      <c r="U356" s="4">
        <f t="shared" si="62"/>
        <v>0</v>
      </c>
      <c r="V356" s="2">
        <f>SUMIFS('XBS '!T:T,'XBS '!H:H,' General Stock Summary View  '!$V$2,'XBS '!B:B,' General Stock Summary View  '!C356,'XBS '!L:L,' General Stock Summary View  '!B356)</f>
        <v>0</v>
      </c>
      <c r="W356" s="3">
        <f>SUMIFS('PowerApp_Physical count'!H:H,'PowerApp_Physical count'!B:B,' General Stock Summary View  '!$V$2,'PowerApp_Physical count'!C:C,' General Stock Summary View  '!C356,'PowerApp_Physical count'!A:A,' General Stock Summary View  '!B356)</f>
        <v>0</v>
      </c>
      <c r="X356" s="4">
        <f t="shared" si="63"/>
        <v>0</v>
      </c>
      <c r="Y356" s="5">
        <f>SUMIFS('XBS '!T:T,'XBS '!H:H,' General Stock Summary View  '!$Y$2,'XBS '!B:B,' General Stock Summary View  '!C356,'XBS '!L:L,' General Stock Summary View  '!B356)</f>
        <v>0</v>
      </c>
      <c r="Z356" s="3">
        <f>SUMIFS('PowerApp_Physical count'!H:H,'PowerApp_Physical count'!B:B,' General Stock Summary View  '!$Y$2,'PowerApp_Physical count'!C:C,' General Stock Summary View  '!C356,'PowerApp_Physical count'!A:A,' General Stock Summary View  '!B356)</f>
        <v>0</v>
      </c>
      <c r="AA356" s="4">
        <f t="shared" si="64"/>
        <v>0</v>
      </c>
      <c r="AB356" s="5">
        <f>SUMIFS('XBS '!T:T,'XBS '!H:H,' General Stock Summary View  '!$AB$2,'XBS '!B:B,' General Stock Summary View  '!C356,'XBS '!L:L,' General Stock Summary View  '!B356)</f>
        <v>0</v>
      </c>
      <c r="AC356" s="3">
        <f>SUMIFS('PowerApp_Physical count'!H:H,'PowerApp_Physical count'!B:B,' General Stock Summary View  '!$AB$2,'PowerApp_Physical count'!C:C,' General Stock Summary View  '!C356,'PowerApp_Physical count'!A:A,' General Stock Summary View  '!B356)</f>
        <v>0</v>
      </c>
      <c r="AD356" s="6">
        <f t="shared" si="65"/>
        <v>0</v>
      </c>
      <c r="AE356" s="7">
        <f t="shared" si="66"/>
        <v>0</v>
      </c>
      <c r="AF356" s="8">
        <f t="shared" si="67"/>
        <v>-8.4499999999999993</v>
      </c>
      <c r="AG356" s="112"/>
    </row>
    <row r="357" spans="2:33" s="113" customFormat="1" ht="61.15">
      <c r="B357" s="117" t="s">
        <v>353</v>
      </c>
      <c r="C357" s="111" t="s">
        <v>347</v>
      </c>
      <c r="D357" s="11">
        <f>SUMIFS('XBS '!T:T,'XBS '!C:C,' General Stock Summary View  '!C357,'XBS '!L:L,' General Stock Summary View  '!B357)</f>
        <v>2.6833333333333331</v>
      </c>
      <c r="E357" s="2">
        <f>SUMIFS('Blocked for Processing'!P:P,'Blocked for Processing'!I:I,' General Stock Summary View  '!B357,'Blocked for Processing'!C:C,' General Stock Summary View  '!C357)</f>
        <v>0</v>
      </c>
      <c r="F357" s="122">
        <f t="shared" si="56"/>
        <v>2.6833333333333331</v>
      </c>
      <c r="G357" s="148">
        <f>SUMIFS('XBS '!T:T,'XBS '!H:H,' General Stock Summary View  '!$G$2,'XBS '!L:L,' General Stock Summary View  '!B357,'XBS '!C:C,' General Stock Summary View  '!C357)</f>
        <v>0</v>
      </c>
      <c r="H357" s="3">
        <f>SUMIFS('PowerApp_Physical count'!H:H,'PowerApp_Physical count'!B:B,' General Stock Summary View  '!$G$2,'PowerApp_Physical count'!C:C,' General Stock Summary View  '!C357,'PowerApp_Physical count'!A:A,' General Stock Summary View  '!B357)</f>
        <v>0</v>
      </c>
      <c r="I357" s="154">
        <f t="shared" si="68"/>
        <v>0</v>
      </c>
      <c r="J357" s="11">
        <f>SUMIFS('XBS '!T:T,'XBS '!H:H,' General Stock Summary View  '!$J$2,'XBS '!L:L,' General Stock Summary View  '!B357,'XBS '!C:C,' General Stock Summary View  '!C357)</f>
        <v>0</v>
      </c>
      <c r="K357" s="157">
        <f>SUMIFS('PowerApp_Physical count'!H:H,'PowerApp_Physical count'!B:B,' General Stock Summary View  '!$J$2,'PowerApp_Physical count'!C:C,' General Stock Summary View  '!C357,'PowerApp_Physical count'!A:A,' General Stock Summary View  '!B357)</f>
        <v>0</v>
      </c>
      <c r="L357" s="127">
        <f t="shared" si="57"/>
        <v>0</v>
      </c>
      <c r="M357" s="126">
        <f t="shared" si="58"/>
        <v>0</v>
      </c>
      <c r="N357" s="11">
        <f t="shared" si="59"/>
        <v>0</v>
      </c>
      <c r="O357" s="144">
        <f t="shared" si="60"/>
        <v>0</v>
      </c>
      <c r="P357" s="2">
        <f>SUMIFS('XBS '!T:T,'XBS '!H:H,' General Stock Summary View  '!$P$2,'XBS '!L:L,' General Stock Summary View  '!B357,'XBS '!C:C,' General Stock Summary View  '!C357)</f>
        <v>2.6833333333333331</v>
      </c>
      <c r="Q357" s="3">
        <f>SUMIFS('PowerApp_Physical count'!H:H,'PowerApp_Physical count'!B:B,' General Stock Summary View  '!$P$2,'PowerApp_Physical count'!C:C,' General Stock Summary View  '!C357,'PowerApp_Physical count'!A:A,' General Stock Summary View  '!B357)</f>
        <v>0</v>
      </c>
      <c r="R357" s="4">
        <f t="shared" si="61"/>
        <v>-2.6833333333333331</v>
      </c>
      <c r="S357" s="5">
        <f>SUMIFS('XBS '!T:T,'XBS '!L:L,' General Stock Summary View  '!B357,'XBS '!H:H,' General Stock Summary View  '!$S$2,'XBS '!C:C,' General Stock Summary View  '!C357)</f>
        <v>0</v>
      </c>
      <c r="T357" s="3">
        <f>SUMIFS('PowerApp_Physical count'!H:H,'PowerApp_Physical count'!B:B,' General Stock Summary View  '!$S$2,'PowerApp_Physical count'!C:C,' General Stock Summary View  '!C357,'PowerApp_Physical count'!A:A,' General Stock Summary View  '!B357)</f>
        <v>0</v>
      </c>
      <c r="U357" s="4">
        <f t="shared" si="62"/>
        <v>0</v>
      </c>
      <c r="V357" s="2">
        <f>SUMIFS('XBS '!T:T,'XBS '!H:H,' General Stock Summary View  '!$V$2,'XBS '!B:B,' General Stock Summary View  '!C357,'XBS '!L:L,' General Stock Summary View  '!B357)</f>
        <v>0</v>
      </c>
      <c r="W357" s="3">
        <f>SUMIFS('PowerApp_Physical count'!H:H,'PowerApp_Physical count'!B:B,' General Stock Summary View  '!$V$2,'PowerApp_Physical count'!C:C,' General Stock Summary View  '!C357,'PowerApp_Physical count'!A:A,' General Stock Summary View  '!B357)</f>
        <v>0</v>
      </c>
      <c r="X357" s="4">
        <f t="shared" si="63"/>
        <v>0</v>
      </c>
      <c r="Y357" s="5">
        <f>SUMIFS('XBS '!T:T,'XBS '!H:H,' General Stock Summary View  '!$Y$2,'XBS '!B:B,' General Stock Summary View  '!C357,'XBS '!L:L,' General Stock Summary View  '!B357)</f>
        <v>0</v>
      </c>
      <c r="Z357" s="3">
        <f>SUMIFS('PowerApp_Physical count'!H:H,'PowerApp_Physical count'!B:B,' General Stock Summary View  '!$Y$2,'PowerApp_Physical count'!C:C,' General Stock Summary View  '!C357,'PowerApp_Physical count'!A:A,' General Stock Summary View  '!B357)</f>
        <v>0</v>
      </c>
      <c r="AA357" s="4">
        <f t="shared" si="64"/>
        <v>0</v>
      </c>
      <c r="AB357" s="5">
        <f>SUMIFS('XBS '!T:T,'XBS '!H:H,' General Stock Summary View  '!$AB$2,'XBS '!B:B,' General Stock Summary View  '!C357,'XBS '!L:L,' General Stock Summary View  '!B357)</f>
        <v>0</v>
      </c>
      <c r="AC357" s="3">
        <f>SUMIFS('PowerApp_Physical count'!H:H,'PowerApp_Physical count'!B:B,' General Stock Summary View  '!$AB$2,'PowerApp_Physical count'!C:C,' General Stock Summary View  '!C357,'PowerApp_Physical count'!A:A,' General Stock Summary View  '!B357)</f>
        <v>0</v>
      </c>
      <c r="AD357" s="6">
        <f t="shared" si="65"/>
        <v>0</v>
      </c>
      <c r="AE357" s="7">
        <f t="shared" si="66"/>
        <v>0</v>
      </c>
      <c r="AF357" s="8">
        <f t="shared" si="67"/>
        <v>-2.6833333333333331</v>
      </c>
      <c r="AG357" s="112"/>
    </row>
    <row r="358" spans="2:33" s="113" customFormat="1" ht="61.15">
      <c r="B358" s="117" t="s">
        <v>354</v>
      </c>
      <c r="C358" s="111" t="s">
        <v>347</v>
      </c>
      <c r="D358" s="11">
        <f>SUMIFS('XBS '!T:T,'XBS '!C:C,' General Stock Summary View  '!C358,'XBS '!L:L,' General Stock Summary View  '!B358)</f>
        <v>10.533333333333333</v>
      </c>
      <c r="E358" s="2">
        <f>SUMIFS('Blocked for Processing'!P:P,'Blocked for Processing'!I:I,' General Stock Summary View  '!B358,'Blocked for Processing'!C:C,' General Stock Summary View  '!C358)</f>
        <v>0</v>
      </c>
      <c r="F358" s="122">
        <f t="shared" si="56"/>
        <v>10.533333333333333</v>
      </c>
      <c r="G358" s="148">
        <f>SUMIFS('XBS '!T:T,'XBS '!H:H,' General Stock Summary View  '!$G$2,'XBS '!L:L,' General Stock Summary View  '!B358,'XBS '!C:C,' General Stock Summary View  '!C358)</f>
        <v>0</v>
      </c>
      <c r="H358" s="3">
        <f>SUMIFS('PowerApp_Physical count'!H:H,'PowerApp_Physical count'!B:B,' General Stock Summary View  '!$G$2,'PowerApp_Physical count'!C:C,' General Stock Summary View  '!C358,'PowerApp_Physical count'!A:A,' General Stock Summary View  '!B358)</f>
        <v>0</v>
      </c>
      <c r="I358" s="154">
        <f t="shared" si="68"/>
        <v>0</v>
      </c>
      <c r="J358" s="11">
        <f>SUMIFS('XBS '!T:T,'XBS '!H:H,' General Stock Summary View  '!$J$2,'XBS '!L:L,' General Stock Summary View  '!B358,'XBS '!C:C,' General Stock Summary View  '!C358)</f>
        <v>0</v>
      </c>
      <c r="K358" s="157">
        <f>SUMIFS('PowerApp_Physical count'!H:H,'PowerApp_Physical count'!B:B,' General Stock Summary View  '!$J$2,'PowerApp_Physical count'!C:C,' General Stock Summary View  '!C358,'PowerApp_Physical count'!A:A,' General Stock Summary View  '!B358)</f>
        <v>0</v>
      </c>
      <c r="L358" s="127">
        <f t="shared" si="57"/>
        <v>0</v>
      </c>
      <c r="M358" s="126">
        <f t="shared" si="58"/>
        <v>0</v>
      </c>
      <c r="N358" s="11">
        <f t="shared" si="59"/>
        <v>0</v>
      </c>
      <c r="O358" s="144">
        <f t="shared" si="60"/>
        <v>0</v>
      </c>
      <c r="P358" s="2">
        <f>SUMIFS('XBS '!T:T,'XBS '!H:H,' General Stock Summary View  '!$P$2,'XBS '!L:L,' General Stock Summary View  '!B358,'XBS '!C:C,' General Stock Summary View  '!C358)</f>
        <v>10.533333333333333</v>
      </c>
      <c r="Q358" s="3">
        <f>SUMIFS('PowerApp_Physical count'!H:H,'PowerApp_Physical count'!B:B,' General Stock Summary View  '!$P$2,'PowerApp_Physical count'!C:C,' General Stock Summary View  '!C358,'PowerApp_Physical count'!A:A,' General Stock Summary View  '!B358)</f>
        <v>0</v>
      </c>
      <c r="R358" s="4">
        <f t="shared" si="61"/>
        <v>-10.533333333333333</v>
      </c>
      <c r="S358" s="5">
        <f>SUMIFS('XBS '!T:T,'XBS '!L:L,' General Stock Summary View  '!B358,'XBS '!H:H,' General Stock Summary View  '!$S$2,'XBS '!C:C,' General Stock Summary View  '!C358)</f>
        <v>0</v>
      </c>
      <c r="T358" s="3">
        <f>SUMIFS('PowerApp_Physical count'!H:H,'PowerApp_Physical count'!B:B,' General Stock Summary View  '!$S$2,'PowerApp_Physical count'!C:C,' General Stock Summary View  '!C358,'PowerApp_Physical count'!A:A,' General Stock Summary View  '!B358)</f>
        <v>0</v>
      </c>
      <c r="U358" s="4">
        <f t="shared" si="62"/>
        <v>0</v>
      </c>
      <c r="V358" s="2">
        <f>SUMIFS('XBS '!T:T,'XBS '!H:H,' General Stock Summary View  '!$V$2,'XBS '!B:B,' General Stock Summary View  '!C358,'XBS '!L:L,' General Stock Summary View  '!B358)</f>
        <v>0</v>
      </c>
      <c r="W358" s="3">
        <f>SUMIFS('PowerApp_Physical count'!H:H,'PowerApp_Physical count'!B:B,' General Stock Summary View  '!$V$2,'PowerApp_Physical count'!C:C,' General Stock Summary View  '!C358,'PowerApp_Physical count'!A:A,' General Stock Summary View  '!B358)</f>
        <v>0</v>
      </c>
      <c r="X358" s="4">
        <f t="shared" si="63"/>
        <v>0</v>
      </c>
      <c r="Y358" s="5">
        <f>SUMIFS('XBS '!T:T,'XBS '!H:H,' General Stock Summary View  '!$Y$2,'XBS '!B:B,' General Stock Summary View  '!C358,'XBS '!L:L,' General Stock Summary View  '!B358)</f>
        <v>0</v>
      </c>
      <c r="Z358" s="3">
        <f>SUMIFS('PowerApp_Physical count'!H:H,'PowerApp_Physical count'!B:B,' General Stock Summary View  '!$Y$2,'PowerApp_Physical count'!C:C,' General Stock Summary View  '!C358,'PowerApp_Physical count'!A:A,' General Stock Summary View  '!B358)</f>
        <v>0</v>
      </c>
      <c r="AA358" s="4">
        <f t="shared" si="64"/>
        <v>0</v>
      </c>
      <c r="AB358" s="5">
        <f>SUMIFS('XBS '!T:T,'XBS '!H:H,' General Stock Summary View  '!$AB$2,'XBS '!B:B,' General Stock Summary View  '!C358,'XBS '!L:L,' General Stock Summary View  '!B358)</f>
        <v>0</v>
      </c>
      <c r="AC358" s="3">
        <f>SUMIFS('PowerApp_Physical count'!H:H,'PowerApp_Physical count'!B:B,' General Stock Summary View  '!$AB$2,'PowerApp_Physical count'!C:C,' General Stock Summary View  '!C358,'PowerApp_Physical count'!A:A,' General Stock Summary View  '!B358)</f>
        <v>0</v>
      </c>
      <c r="AD358" s="6">
        <f t="shared" si="65"/>
        <v>0</v>
      </c>
      <c r="AE358" s="7">
        <f t="shared" si="66"/>
        <v>0</v>
      </c>
      <c r="AF358" s="8">
        <f t="shared" si="67"/>
        <v>-10.533333333333333</v>
      </c>
      <c r="AG358" s="112"/>
    </row>
    <row r="359" spans="2:33" s="113" customFormat="1" ht="61.15">
      <c r="B359" s="117" t="s">
        <v>355</v>
      </c>
      <c r="C359" s="111" t="s">
        <v>347</v>
      </c>
      <c r="D359" s="11">
        <f>SUMIFS('XBS '!T:T,'XBS '!C:C,' General Stock Summary View  '!C359,'XBS '!L:L,' General Stock Summary View  '!B359)</f>
        <v>5.7</v>
      </c>
      <c r="E359" s="2">
        <f>SUMIFS('Blocked for Processing'!P:P,'Blocked for Processing'!I:I,' General Stock Summary View  '!B359,'Blocked for Processing'!C:C,' General Stock Summary View  '!C359)</f>
        <v>0</v>
      </c>
      <c r="F359" s="122">
        <f t="shared" si="56"/>
        <v>5.7</v>
      </c>
      <c r="G359" s="148">
        <f>SUMIFS('XBS '!T:T,'XBS '!H:H,' General Stock Summary View  '!$G$2,'XBS '!L:L,' General Stock Summary View  '!B359,'XBS '!C:C,' General Stock Summary View  '!C359)</f>
        <v>0</v>
      </c>
      <c r="H359" s="3">
        <f>SUMIFS('PowerApp_Physical count'!H:H,'PowerApp_Physical count'!B:B,' General Stock Summary View  '!$G$2,'PowerApp_Physical count'!C:C,' General Stock Summary View  '!C359,'PowerApp_Physical count'!A:A,' General Stock Summary View  '!B359)</f>
        <v>0</v>
      </c>
      <c r="I359" s="154">
        <f t="shared" si="68"/>
        <v>0</v>
      </c>
      <c r="J359" s="11">
        <f>SUMIFS('XBS '!T:T,'XBS '!H:H,' General Stock Summary View  '!$J$2,'XBS '!L:L,' General Stock Summary View  '!B359,'XBS '!C:C,' General Stock Summary View  '!C359)</f>
        <v>0</v>
      </c>
      <c r="K359" s="157">
        <f>SUMIFS('PowerApp_Physical count'!H:H,'PowerApp_Physical count'!B:B,' General Stock Summary View  '!$J$2,'PowerApp_Physical count'!C:C,' General Stock Summary View  '!C359,'PowerApp_Physical count'!A:A,' General Stock Summary View  '!B359)</f>
        <v>0</v>
      </c>
      <c r="L359" s="127">
        <f t="shared" si="57"/>
        <v>0</v>
      </c>
      <c r="M359" s="126">
        <f t="shared" si="58"/>
        <v>0</v>
      </c>
      <c r="N359" s="11">
        <f t="shared" si="59"/>
        <v>0</v>
      </c>
      <c r="O359" s="144">
        <f t="shared" si="60"/>
        <v>0</v>
      </c>
      <c r="P359" s="2">
        <f>SUMIFS('XBS '!T:T,'XBS '!H:H,' General Stock Summary View  '!$P$2,'XBS '!L:L,' General Stock Summary View  '!B359,'XBS '!C:C,' General Stock Summary View  '!C359)</f>
        <v>5.7</v>
      </c>
      <c r="Q359" s="3">
        <f>SUMIFS('PowerApp_Physical count'!H:H,'PowerApp_Physical count'!B:B,' General Stock Summary View  '!$P$2,'PowerApp_Physical count'!C:C,' General Stock Summary View  '!C359,'PowerApp_Physical count'!A:A,' General Stock Summary View  '!B359)</f>
        <v>0</v>
      </c>
      <c r="R359" s="4">
        <f t="shared" si="61"/>
        <v>-5.7</v>
      </c>
      <c r="S359" s="5">
        <f>SUMIFS('XBS '!T:T,'XBS '!L:L,' General Stock Summary View  '!B359,'XBS '!H:H,' General Stock Summary View  '!$S$2,'XBS '!C:C,' General Stock Summary View  '!C359)</f>
        <v>0</v>
      </c>
      <c r="T359" s="3">
        <f>SUMIFS('PowerApp_Physical count'!H:H,'PowerApp_Physical count'!B:B,' General Stock Summary View  '!$S$2,'PowerApp_Physical count'!C:C,' General Stock Summary View  '!C359,'PowerApp_Physical count'!A:A,' General Stock Summary View  '!B359)</f>
        <v>0</v>
      </c>
      <c r="U359" s="4">
        <f t="shared" si="62"/>
        <v>0</v>
      </c>
      <c r="V359" s="2">
        <f>SUMIFS('XBS '!T:T,'XBS '!H:H,' General Stock Summary View  '!$V$2,'XBS '!B:B,' General Stock Summary View  '!C359,'XBS '!L:L,' General Stock Summary View  '!B359)</f>
        <v>0</v>
      </c>
      <c r="W359" s="3">
        <f>SUMIFS('PowerApp_Physical count'!H:H,'PowerApp_Physical count'!B:B,' General Stock Summary View  '!$V$2,'PowerApp_Physical count'!C:C,' General Stock Summary View  '!C359,'PowerApp_Physical count'!A:A,' General Stock Summary View  '!B359)</f>
        <v>0</v>
      </c>
      <c r="X359" s="4">
        <f t="shared" si="63"/>
        <v>0</v>
      </c>
      <c r="Y359" s="5">
        <f>SUMIFS('XBS '!T:T,'XBS '!H:H,' General Stock Summary View  '!$Y$2,'XBS '!B:B,' General Stock Summary View  '!C359,'XBS '!L:L,' General Stock Summary View  '!B359)</f>
        <v>0</v>
      </c>
      <c r="Z359" s="3">
        <f>SUMIFS('PowerApp_Physical count'!H:H,'PowerApp_Physical count'!B:B,' General Stock Summary View  '!$Y$2,'PowerApp_Physical count'!C:C,' General Stock Summary View  '!C359,'PowerApp_Physical count'!A:A,' General Stock Summary View  '!B359)</f>
        <v>0</v>
      </c>
      <c r="AA359" s="4">
        <f t="shared" si="64"/>
        <v>0</v>
      </c>
      <c r="AB359" s="5">
        <f>SUMIFS('XBS '!T:T,'XBS '!H:H,' General Stock Summary View  '!$AB$2,'XBS '!B:B,' General Stock Summary View  '!C359,'XBS '!L:L,' General Stock Summary View  '!B359)</f>
        <v>0</v>
      </c>
      <c r="AC359" s="3">
        <f>SUMIFS('PowerApp_Physical count'!H:H,'PowerApp_Physical count'!B:B,' General Stock Summary View  '!$AB$2,'PowerApp_Physical count'!C:C,' General Stock Summary View  '!C359,'PowerApp_Physical count'!A:A,' General Stock Summary View  '!B359)</f>
        <v>0</v>
      </c>
      <c r="AD359" s="6">
        <f t="shared" si="65"/>
        <v>0</v>
      </c>
      <c r="AE359" s="7">
        <f t="shared" si="66"/>
        <v>0</v>
      </c>
      <c r="AF359" s="8">
        <f t="shared" si="67"/>
        <v>-5.7</v>
      </c>
      <c r="AG359" s="112"/>
    </row>
    <row r="360" spans="2:33" s="113" customFormat="1" ht="61.15">
      <c r="B360" s="117" t="s">
        <v>356</v>
      </c>
      <c r="C360" s="111" t="s">
        <v>347</v>
      </c>
      <c r="D360" s="11">
        <f>SUMIFS('XBS '!T:T,'XBS '!C:C,' General Stock Summary View  '!C360,'XBS '!L:L,' General Stock Summary View  '!B360)</f>
        <v>14.516666666666667</v>
      </c>
      <c r="E360" s="2">
        <f>SUMIFS('Blocked for Processing'!P:P,'Blocked for Processing'!I:I,' General Stock Summary View  '!B360,'Blocked for Processing'!C:C,' General Stock Summary View  '!C360)</f>
        <v>0</v>
      </c>
      <c r="F360" s="122">
        <f t="shared" si="56"/>
        <v>14.516666666666667</v>
      </c>
      <c r="G360" s="148">
        <f>SUMIFS('XBS '!T:T,'XBS '!H:H,' General Stock Summary View  '!$G$2,'XBS '!L:L,' General Stock Summary View  '!B360,'XBS '!C:C,' General Stock Summary View  '!C360)</f>
        <v>0</v>
      </c>
      <c r="H360" s="3">
        <f>SUMIFS('PowerApp_Physical count'!H:H,'PowerApp_Physical count'!B:B,' General Stock Summary View  '!$G$2,'PowerApp_Physical count'!C:C,' General Stock Summary View  '!C360,'PowerApp_Physical count'!A:A,' General Stock Summary View  '!B360)</f>
        <v>0</v>
      </c>
      <c r="I360" s="154">
        <f t="shared" si="68"/>
        <v>0</v>
      </c>
      <c r="J360" s="11">
        <f>SUMIFS('XBS '!T:T,'XBS '!H:H,' General Stock Summary View  '!$J$2,'XBS '!L:L,' General Stock Summary View  '!B360,'XBS '!C:C,' General Stock Summary View  '!C360)</f>
        <v>0</v>
      </c>
      <c r="K360" s="157">
        <f>SUMIFS('PowerApp_Physical count'!H:H,'PowerApp_Physical count'!B:B,' General Stock Summary View  '!$J$2,'PowerApp_Physical count'!C:C,' General Stock Summary View  '!C360,'PowerApp_Physical count'!A:A,' General Stock Summary View  '!B360)</f>
        <v>0</v>
      </c>
      <c r="L360" s="127">
        <f t="shared" si="57"/>
        <v>0</v>
      </c>
      <c r="M360" s="126">
        <f t="shared" si="58"/>
        <v>0</v>
      </c>
      <c r="N360" s="11">
        <f t="shared" si="59"/>
        <v>0</v>
      </c>
      <c r="O360" s="144">
        <f t="shared" si="60"/>
        <v>0</v>
      </c>
      <c r="P360" s="2">
        <f>SUMIFS('XBS '!T:T,'XBS '!H:H,' General Stock Summary View  '!$P$2,'XBS '!L:L,' General Stock Summary View  '!B360,'XBS '!C:C,' General Stock Summary View  '!C360)</f>
        <v>14.516666666666667</v>
      </c>
      <c r="Q360" s="3">
        <f>SUMIFS('PowerApp_Physical count'!H:H,'PowerApp_Physical count'!B:B,' General Stock Summary View  '!$P$2,'PowerApp_Physical count'!C:C,' General Stock Summary View  '!C360,'PowerApp_Physical count'!A:A,' General Stock Summary View  '!B360)</f>
        <v>0</v>
      </c>
      <c r="R360" s="4">
        <f t="shared" si="61"/>
        <v>-14.516666666666667</v>
      </c>
      <c r="S360" s="5">
        <f>SUMIFS('XBS '!T:T,'XBS '!L:L,' General Stock Summary View  '!B360,'XBS '!H:H,' General Stock Summary View  '!$S$2,'XBS '!C:C,' General Stock Summary View  '!C360)</f>
        <v>0</v>
      </c>
      <c r="T360" s="3">
        <f>SUMIFS('PowerApp_Physical count'!H:H,'PowerApp_Physical count'!B:B,' General Stock Summary View  '!$S$2,'PowerApp_Physical count'!C:C,' General Stock Summary View  '!C360,'PowerApp_Physical count'!A:A,' General Stock Summary View  '!B360)</f>
        <v>0</v>
      </c>
      <c r="U360" s="4">
        <f t="shared" si="62"/>
        <v>0</v>
      </c>
      <c r="V360" s="2">
        <f>SUMIFS('XBS '!T:T,'XBS '!H:H,' General Stock Summary View  '!$V$2,'XBS '!B:B,' General Stock Summary View  '!C360,'XBS '!L:L,' General Stock Summary View  '!B360)</f>
        <v>0</v>
      </c>
      <c r="W360" s="3">
        <f>SUMIFS('PowerApp_Physical count'!H:H,'PowerApp_Physical count'!B:B,' General Stock Summary View  '!$V$2,'PowerApp_Physical count'!C:C,' General Stock Summary View  '!C360,'PowerApp_Physical count'!A:A,' General Stock Summary View  '!B360)</f>
        <v>0</v>
      </c>
      <c r="X360" s="4">
        <f t="shared" si="63"/>
        <v>0</v>
      </c>
      <c r="Y360" s="5">
        <f>SUMIFS('XBS '!T:T,'XBS '!H:H,' General Stock Summary View  '!$Y$2,'XBS '!B:B,' General Stock Summary View  '!C360,'XBS '!L:L,' General Stock Summary View  '!B360)</f>
        <v>0</v>
      </c>
      <c r="Z360" s="3">
        <f>SUMIFS('PowerApp_Physical count'!H:H,'PowerApp_Physical count'!B:B,' General Stock Summary View  '!$Y$2,'PowerApp_Physical count'!C:C,' General Stock Summary View  '!C360,'PowerApp_Physical count'!A:A,' General Stock Summary View  '!B360)</f>
        <v>0</v>
      </c>
      <c r="AA360" s="4">
        <f t="shared" si="64"/>
        <v>0</v>
      </c>
      <c r="AB360" s="5">
        <f>SUMIFS('XBS '!T:T,'XBS '!H:H,' General Stock Summary View  '!$AB$2,'XBS '!B:B,' General Stock Summary View  '!C360,'XBS '!L:L,' General Stock Summary View  '!B360)</f>
        <v>0</v>
      </c>
      <c r="AC360" s="3">
        <f>SUMIFS('PowerApp_Physical count'!H:H,'PowerApp_Physical count'!B:B,' General Stock Summary View  '!$AB$2,'PowerApp_Physical count'!C:C,' General Stock Summary View  '!C360,'PowerApp_Physical count'!A:A,' General Stock Summary View  '!B360)</f>
        <v>0</v>
      </c>
      <c r="AD360" s="6">
        <f t="shared" si="65"/>
        <v>0</v>
      </c>
      <c r="AE360" s="7">
        <f t="shared" si="66"/>
        <v>0</v>
      </c>
      <c r="AF360" s="8">
        <f t="shared" si="67"/>
        <v>-14.516666666666667</v>
      </c>
      <c r="AG360" s="112"/>
    </row>
    <row r="361" spans="2:33" s="113" customFormat="1" ht="61.15">
      <c r="B361" s="117" t="s">
        <v>357</v>
      </c>
      <c r="C361" s="111" t="s">
        <v>347</v>
      </c>
      <c r="D361" s="11">
        <f>SUMIFS('XBS '!T:T,'XBS '!C:C,' General Stock Summary View  '!C361,'XBS '!L:L,' General Stock Summary View  '!B361)</f>
        <v>3.0333333333333332</v>
      </c>
      <c r="E361" s="2">
        <f>SUMIFS('Blocked for Processing'!P:P,'Blocked for Processing'!I:I,' General Stock Summary View  '!B361,'Blocked for Processing'!C:C,' General Stock Summary View  '!C361)</f>
        <v>0</v>
      </c>
      <c r="F361" s="122">
        <f t="shared" si="56"/>
        <v>3.0333333333333332</v>
      </c>
      <c r="G361" s="148">
        <f>SUMIFS('XBS '!T:T,'XBS '!H:H,' General Stock Summary View  '!$G$2,'XBS '!L:L,' General Stock Summary View  '!B361,'XBS '!C:C,' General Stock Summary View  '!C361)</f>
        <v>0</v>
      </c>
      <c r="H361" s="3">
        <f>SUMIFS('PowerApp_Physical count'!H:H,'PowerApp_Physical count'!B:B,' General Stock Summary View  '!$G$2,'PowerApp_Physical count'!C:C,' General Stock Summary View  '!C361,'PowerApp_Physical count'!A:A,' General Stock Summary View  '!B361)</f>
        <v>0</v>
      </c>
      <c r="I361" s="154">
        <f t="shared" si="68"/>
        <v>0</v>
      </c>
      <c r="J361" s="11">
        <f>SUMIFS('XBS '!T:T,'XBS '!H:H,' General Stock Summary View  '!$J$2,'XBS '!L:L,' General Stock Summary View  '!B361,'XBS '!C:C,' General Stock Summary View  '!C361)</f>
        <v>0</v>
      </c>
      <c r="K361" s="157">
        <f>SUMIFS('PowerApp_Physical count'!H:H,'PowerApp_Physical count'!B:B,' General Stock Summary View  '!$J$2,'PowerApp_Physical count'!C:C,' General Stock Summary View  '!C361,'PowerApp_Physical count'!A:A,' General Stock Summary View  '!B361)</f>
        <v>0</v>
      </c>
      <c r="L361" s="127">
        <f t="shared" si="57"/>
        <v>0</v>
      </c>
      <c r="M361" s="126">
        <f t="shared" si="58"/>
        <v>0</v>
      </c>
      <c r="N361" s="11">
        <f t="shared" si="59"/>
        <v>0</v>
      </c>
      <c r="O361" s="144">
        <f t="shared" si="60"/>
        <v>0</v>
      </c>
      <c r="P361" s="2">
        <f>SUMIFS('XBS '!T:T,'XBS '!H:H,' General Stock Summary View  '!$P$2,'XBS '!L:L,' General Stock Summary View  '!B361,'XBS '!C:C,' General Stock Summary View  '!C361)</f>
        <v>3.0333333333333332</v>
      </c>
      <c r="Q361" s="3">
        <f>SUMIFS('PowerApp_Physical count'!H:H,'PowerApp_Physical count'!B:B,' General Stock Summary View  '!$P$2,'PowerApp_Physical count'!C:C,' General Stock Summary View  '!C361,'PowerApp_Physical count'!A:A,' General Stock Summary View  '!B361)</f>
        <v>0</v>
      </c>
      <c r="R361" s="4">
        <f t="shared" si="61"/>
        <v>-3.0333333333333332</v>
      </c>
      <c r="S361" s="5">
        <f>SUMIFS('XBS '!T:T,'XBS '!L:L,' General Stock Summary View  '!B361,'XBS '!H:H,' General Stock Summary View  '!$S$2,'XBS '!C:C,' General Stock Summary View  '!C361)</f>
        <v>0</v>
      </c>
      <c r="T361" s="3">
        <f>SUMIFS('PowerApp_Physical count'!H:H,'PowerApp_Physical count'!B:B,' General Stock Summary View  '!$S$2,'PowerApp_Physical count'!C:C,' General Stock Summary View  '!C361,'PowerApp_Physical count'!A:A,' General Stock Summary View  '!B361)</f>
        <v>0</v>
      </c>
      <c r="U361" s="4">
        <f t="shared" si="62"/>
        <v>0</v>
      </c>
      <c r="V361" s="2">
        <f>SUMIFS('XBS '!T:T,'XBS '!H:H,' General Stock Summary View  '!$V$2,'XBS '!B:B,' General Stock Summary View  '!C361,'XBS '!L:L,' General Stock Summary View  '!B361)</f>
        <v>0</v>
      </c>
      <c r="W361" s="3">
        <f>SUMIFS('PowerApp_Physical count'!H:H,'PowerApp_Physical count'!B:B,' General Stock Summary View  '!$V$2,'PowerApp_Physical count'!C:C,' General Stock Summary View  '!C361,'PowerApp_Physical count'!A:A,' General Stock Summary View  '!B361)</f>
        <v>0</v>
      </c>
      <c r="X361" s="4">
        <f t="shared" si="63"/>
        <v>0</v>
      </c>
      <c r="Y361" s="5">
        <f>SUMIFS('XBS '!T:T,'XBS '!H:H,' General Stock Summary View  '!$Y$2,'XBS '!B:B,' General Stock Summary View  '!C361,'XBS '!L:L,' General Stock Summary View  '!B361)</f>
        <v>0</v>
      </c>
      <c r="Z361" s="3">
        <f>SUMIFS('PowerApp_Physical count'!H:H,'PowerApp_Physical count'!B:B,' General Stock Summary View  '!$Y$2,'PowerApp_Physical count'!C:C,' General Stock Summary View  '!C361,'PowerApp_Physical count'!A:A,' General Stock Summary View  '!B361)</f>
        <v>0</v>
      </c>
      <c r="AA361" s="4">
        <f t="shared" si="64"/>
        <v>0</v>
      </c>
      <c r="AB361" s="5">
        <f>SUMIFS('XBS '!T:T,'XBS '!H:H,' General Stock Summary View  '!$AB$2,'XBS '!B:B,' General Stock Summary View  '!C361,'XBS '!L:L,' General Stock Summary View  '!B361)</f>
        <v>0</v>
      </c>
      <c r="AC361" s="3">
        <f>SUMIFS('PowerApp_Physical count'!H:H,'PowerApp_Physical count'!B:B,' General Stock Summary View  '!$AB$2,'PowerApp_Physical count'!C:C,' General Stock Summary View  '!C361,'PowerApp_Physical count'!A:A,' General Stock Summary View  '!B361)</f>
        <v>0</v>
      </c>
      <c r="AD361" s="6">
        <f t="shared" si="65"/>
        <v>0</v>
      </c>
      <c r="AE361" s="7">
        <f t="shared" si="66"/>
        <v>0</v>
      </c>
      <c r="AF361" s="8">
        <f t="shared" si="67"/>
        <v>-3.0333333333333332</v>
      </c>
      <c r="AG361" s="112"/>
    </row>
    <row r="362" spans="2:33" s="113" customFormat="1" ht="61.15">
      <c r="B362" s="117" t="s">
        <v>358</v>
      </c>
      <c r="C362" s="111" t="s">
        <v>347</v>
      </c>
      <c r="D362" s="11">
        <f>SUMIFS('XBS '!T:T,'XBS '!C:C,' General Stock Summary View  '!C362,'XBS '!L:L,' General Stock Summary View  '!B362)</f>
        <v>2.15</v>
      </c>
      <c r="E362" s="2">
        <f>SUMIFS('Blocked for Processing'!P:P,'Blocked for Processing'!I:I,' General Stock Summary View  '!B362,'Blocked for Processing'!C:C,' General Stock Summary View  '!C362)</f>
        <v>0</v>
      </c>
      <c r="F362" s="122">
        <f t="shared" si="56"/>
        <v>2.15</v>
      </c>
      <c r="G362" s="148">
        <f>SUMIFS('XBS '!T:T,'XBS '!H:H,' General Stock Summary View  '!$G$2,'XBS '!L:L,' General Stock Summary View  '!B362,'XBS '!C:C,' General Stock Summary View  '!C362)</f>
        <v>0</v>
      </c>
      <c r="H362" s="3">
        <f>SUMIFS('PowerApp_Physical count'!H:H,'PowerApp_Physical count'!B:B,' General Stock Summary View  '!$G$2,'PowerApp_Physical count'!C:C,' General Stock Summary View  '!C362,'PowerApp_Physical count'!A:A,' General Stock Summary View  '!B362)</f>
        <v>0</v>
      </c>
      <c r="I362" s="154">
        <f t="shared" si="68"/>
        <v>0</v>
      </c>
      <c r="J362" s="11">
        <f>SUMIFS('XBS '!T:T,'XBS '!H:H,' General Stock Summary View  '!$J$2,'XBS '!L:L,' General Stock Summary View  '!B362,'XBS '!C:C,' General Stock Summary View  '!C362)</f>
        <v>0</v>
      </c>
      <c r="K362" s="157">
        <f>SUMIFS('PowerApp_Physical count'!H:H,'PowerApp_Physical count'!B:B,' General Stock Summary View  '!$J$2,'PowerApp_Physical count'!C:C,' General Stock Summary View  '!C362,'PowerApp_Physical count'!A:A,' General Stock Summary View  '!B362)</f>
        <v>0</v>
      </c>
      <c r="L362" s="127">
        <f t="shared" si="57"/>
        <v>0</v>
      </c>
      <c r="M362" s="126">
        <f t="shared" si="58"/>
        <v>0</v>
      </c>
      <c r="N362" s="11">
        <f t="shared" si="59"/>
        <v>0</v>
      </c>
      <c r="O362" s="144">
        <f t="shared" si="60"/>
        <v>0</v>
      </c>
      <c r="P362" s="2">
        <f>SUMIFS('XBS '!T:T,'XBS '!H:H,' General Stock Summary View  '!$P$2,'XBS '!L:L,' General Stock Summary View  '!B362,'XBS '!C:C,' General Stock Summary View  '!C362)</f>
        <v>2.15</v>
      </c>
      <c r="Q362" s="3">
        <f>SUMIFS('PowerApp_Physical count'!H:H,'PowerApp_Physical count'!B:B,' General Stock Summary View  '!$P$2,'PowerApp_Physical count'!C:C,' General Stock Summary View  '!C362,'PowerApp_Physical count'!A:A,' General Stock Summary View  '!B362)</f>
        <v>0</v>
      </c>
      <c r="R362" s="4">
        <f t="shared" si="61"/>
        <v>-2.15</v>
      </c>
      <c r="S362" s="5">
        <f>SUMIFS('XBS '!T:T,'XBS '!L:L,' General Stock Summary View  '!B362,'XBS '!H:H,' General Stock Summary View  '!$S$2,'XBS '!C:C,' General Stock Summary View  '!C362)</f>
        <v>0</v>
      </c>
      <c r="T362" s="3">
        <f>SUMIFS('PowerApp_Physical count'!H:H,'PowerApp_Physical count'!B:B,' General Stock Summary View  '!$S$2,'PowerApp_Physical count'!C:C,' General Stock Summary View  '!C362,'PowerApp_Physical count'!A:A,' General Stock Summary View  '!B362)</f>
        <v>0</v>
      </c>
      <c r="U362" s="4">
        <f t="shared" si="62"/>
        <v>0</v>
      </c>
      <c r="V362" s="2">
        <f>SUMIFS('XBS '!T:T,'XBS '!H:H,' General Stock Summary View  '!$V$2,'XBS '!B:B,' General Stock Summary View  '!C362,'XBS '!L:L,' General Stock Summary View  '!B362)</f>
        <v>0</v>
      </c>
      <c r="W362" s="3">
        <f>SUMIFS('PowerApp_Physical count'!H:H,'PowerApp_Physical count'!B:B,' General Stock Summary View  '!$V$2,'PowerApp_Physical count'!C:C,' General Stock Summary View  '!C362,'PowerApp_Physical count'!A:A,' General Stock Summary View  '!B362)</f>
        <v>0</v>
      </c>
      <c r="X362" s="4">
        <f t="shared" si="63"/>
        <v>0</v>
      </c>
      <c r="Y362" s="5">
        <f>SUMIFS('XBS '!T:T,'XBS '!H:H,' General Stock Summary View  '!$Y$2,'XBS '!B:B,' General Stock Summary View  '!C362,'XBS '!L:L,' General Stock Summary View  '!B362)</f>
        <v>0</v>
      </c>
      <c r="Z362" s="3">
        <f>SUMIFS('PowerApp_Physical count'!H:H,'PowerApp_Physical count'!B:B,' General Stock Summary View  '!$Y$2,'PowerApp_Physical count'!C:C,' General Stock Summary View  '!C362,'PowerApp_Physical count'!A:A,' General Stock Summary View  '!B362)</f>
        <v>0</v>
      </c>
      <c r="AA362" s="4">
        <f t="shared" si="64"/>
        <v>0</v>
      </c>
      <c r="AB362" s="5">
        <f>SUMIFS('XBS '!T:T,'XBS '!H:H,' General Stock Summary View  '!$AB$2,'XBS '!B:B,' General Stock Summary View  '!C362,'XBS '!L:L,' General Stock Summary View  '!B362)</f>
        <v>0</v>
      </c>
      <c r="AC362" s="3">
        <f>SUMIFS('PowerApp_Physical count'!H:H,'PowerApp_Physical count'!B:B,' General Stock Summary View  '!$AB$2,'PowerApp_Physical count'!C:C,' General Stock Summary View  '!C362,'PowerApp_Physical count'!A:A,' General Stock Summary View  '!B362)</f>
        <v>0</v>
      </c>
      <c r="AD362" s="6">
        <f t="shared" si="65"/>
        <v>0</v>
      </c>
      <c r="AE362" s="7">
        <f t="shared" si="66"/>
        <v>0</v>
      </c>
      <c r="AF362" s="8">
        <f t="shared" si="67"/>
        <v>-2.15</v>
      </c>
      <c r="AG362" s="112"/>
    </row>
    <row r="363" spans="2:33" s="113" customFormat="1" ht="61.15">
      <c r="B363" s="117" t="s">
        <v>359</v>
      </c>
      <c r="C363" s="111" t="s">
        <v>347</v>
      </c>
      <c r="D363" s="11">
        <f>SUMIFS('XBS '!T:T,'XBS '!C:C,' General Stock Summary View  '!C363,'XBS '!L:L,' General Stock Summary View  '!B363)</f>
        <v>9.5</v>
      </c>
      <c r="E363" s="2">
        <f>SUMIFS('Blocked for Processing'!P:P,'Blocked for Processing'!I:I,' General Stock Summary View  '!B363,'Blocked for Processing'!C:C,' General Stock Summary View  '!C363)</f>
        <v>0</v>
      </c>
      <c r="F363" s="122">
        <f t="shared" si="56"/>
        <v>9.5</v>
      </c>
      <c r="G363" s="148">
        <f>SUMIFS('XBS '!T:T,'XBS '!H:H,' General Stock Summary View  '!$G$2,'XBS '!L:L,' General Stock Summary View  '!B363,'XBS '!C:C,' General Stock Summary View  '!C363)</f>
        <v>0</v>
      </c>
      <c r="H363" s="3">
        <f>SUMIFS('PowerApp_Physical count'!H:H,'PowerApp_Physical count'!B:B,' General Stock Summary View  '!$G$2,'PowerApp_Physical count'!C:C,' General Stock Summary View  '!C363,'PowerApp_Physical count'!A:A,' General Stock Summary View  '!B363)</f>
        <v>0</v>
      </c>
      <c r="I363" s="154">
        <f t="shared" si="68"/>
        <v>0</v>
      </c>
      <c r="J363" s="11">
        <f>SUMIFS('XBS '!T:T,'XBS '!H:H,' General Stock Summary View  '!$J$2,'XBS '!L:L,' General Stock Summary View  '!B363,'XBS '!C:C,' General Stock Summary View  '!C363)</f>
        <v>0</v>
      </c>
      <c r="K363" s="157">
        <f>SUMIFS('PowerApp_Physical count'!H:H,'PowerApp_Physical count'!B:B,' General Stock Summary View  '!$J$2,'PowerApp_Physical count'!C:C,' General Stock Summary View  '!C363,'PowerApp_Physical count'!A:A,' General Stock Summary View  '!B363)</f>
        <v>0</v>
      </c>
      <c r="L363" s="127">
        <f t="shared" si="57"/>
        <v>0</v>
      </c>
      <c r="M363" s="126">
        <f t="shared" si="58"/>
        <v>0</v>
      </c>
      <c r="N363" s="11">
        <f t="shared" si="59"/>
        <v>0</v>
      </c>
      <c r="O363" s="144">
        <f t="shared" si="60"/>
        <v>0</v>
      </c>
      <c r="P363" s="2">
        <f>SUMIFS('XBS '!T:T,'XBS '!H:H,' General Stock Summary View  '!$P$2,'XBS '!L:L,' General Stock Summary View  '!B363,'XBS '!C:C,' General Stock Summary View  '!C363)</f>
        <v>9.5</v>
      </c>
      <c r="Q363" s="3">
        <f>SUMIFS('PowerApp_Physical count'!H:H,'PowerApp_Physical count'!B:B,' General Stock Summary View  '!$P$2,'PowerApp_Physical count'!C:C,' General Stock Summary View  '!C363,'PowerApp_Physical count'!A:A,' General Stock Summary View  '!B363)</f>
        <v>0</v>
      </c>
      <c r="R363" s="4">
        <f t="shared" si="61"/>
        <v>-9.5</v>
      </c>
      <c r="S363" s="5">
        <f>SUMIFS('XBS '!T:T,'XBS '!L:L,' General Stock Summary View  '!B363,'XBS '!H:H,' General Stock Summary View  '!$S$2,'XBS '!C:C,' General Stock Summary View  '!C363)</f>
        <v>0</v>
      </c>
      <c r="T363" s="3">
        <f>SUMIFS('PowerApp_Physical count'!H:H,'PowerApp_Physical count'!B:B,' General Stock Summary View  '!$S$2,'PowerApp_Physical count'!C:C,' General Stock Summary View  '!C363,'PowerApp_Physical count'!A:A,' General Stock Summary View  '!B363)</f>
        <v>0</v>
      </c>
      <c r="U363" s="4">
        <f t="shared" si="62"/>
        <v>0</v>
      </c>
      <c r="V363" s="2">
        <f>SUMIFS('XBS '!T:T,'XBS '!H:H,' General Stock Summary View  '!$V$2,'XBS '!B:B,' General Stock Summary View  '!C363,'XBS '!L:L,' General Stock Summary View  '!B363)</f>
        <v>0</v>
      </c>
      <c r="W363" s="3">
        <f>SUMIFS('PowerApp_Physical count'!H:H,'PowerApp_Physical count'!B:B,' General Stock Summary View  '!$V$2,'PowerApp_Physical count'!C:C,' General Stock Summary View  '!C363,'PowerApp_Physical count'!A:A,' General Stock Summary View  '!B363)</f>
        <v>0</v>
      </c>
      <c r="X363" s="4">
        <f t="shared" si="63"/>
        <v>0</v>
      </c>
      <c r="Y363" s="5">
        <f>SUMIFS('XBS '!T:T,'XBS '!H:H,' General Stock Summary View  '!$Y$2,'XBS '!B:B,' General Stock Summary View  '!C363,'XBS '!L:L,' General Stock Summary View  '!B363)</f>
        <v>0</v>
      </c>
      <c r="Z363" s="3">
        <f>SUMIFS('PowerApp_Physical count'!H:H,'PowerApp_Physical count'!B:B,' General Stock Summary View  '!$Y$2,'PowerApp_Physical count'!C:C,' General Stock Summary View  '!C363,'PowerApp_Physical count'!A:A,' General Stock Summary View  '!B363)</f>
        <v>0</v>
      </c>
      <c r="AA363" s="4">
        <f t="shared" si="64"/>
        <v>0</v>
      </c>
      <c r="AB363" s="5">
        <f>SUMIFS('XBS '!T:T,'XBS '!H:H,' General Stock Summary View  '!$AB$2,'XBS '!B:B,' General Stock Summary View  '!C363,'XBS '!L:L,' General Stock Summary View  '!B363)</f>
        <v>0</v>
      </c>
      <c r="AC363" s="3">
        <f>SUMIFS('PowerApp_Physical count'!H:H,'PowerApp_Physical count'!B:B,' General Stock Summary View  '!$AB$2,'PowerApp_Physical count'!C:C,' General Stock Summary View  '!C363,'PowerApp_Physical count'!A:A,' General Stock Summary View  '!B363)</f>
        <v>0</v>
      </c>
      <c r="AD363" s="6">
        <f t="shared" si="65"/>
        <v>0</v>
      </c>
      <c r="AE363" s="7">
        <f t="shared" si="66"/>
        <v>0</v>
      </c>
      <c r="AF363" s="8">
        <f t="shared" si="67"/>
        <v>-9.5</v>
      </c>
      <c r="AG363" s="112"/>
    </row>
    <row r="364" spans="2:33" s="113" customFormat="1" ht="61.15">
      <c r="B364" s="117" t="s">
        <v>212</v>
      </c>
      <c r="C364" s="111" t="s">
        <v>347</v>
      </c>
      <c r="D364" s="11">
        <f>SUMIFS('XBS '!T:T,'XBS '!C:C,' General Stock Summary View  '!C364,'XBS '!L:L,' General Stock Summary View  '!B364)</f>
        <v>42</v>
      </c>
      <c r="E364" s="2">
        <f>SUMIFS('Blocked for Processing'!P:P,'Blocked for Processing'!I:I,' General Stock Summary View  '!B364,'Blocked for Processing'!C:C,' General Stock Summary View  '!C364)</f>
        <v>0</v>
      </c>
      <c r="F364" s="122">
        <f t="shared" si="56"/>
        <v>42</v>
      </c>
      <c r="G364" s="148">
        <f>SUMIFS('XBS '!T:T,'XBS '!H:H,' General Stock Summary View  '!$G$2,'XBS '!L:L,' General Stock Summary View  '!B364,'XBS '!C:C,' General Stock Summary View  '!C364)</f>
        <v>0</v>
      </c>
      <c r="H364" s="3">
        <f>SUMIFS('PowerApp_Physical count'!H:H,'PowerApp_Physical count'!B:B,' General Stock Summary View  '!$G$2,'PowerApp_Physical count'!C:C,' General Stock Summary View  '!C364,'PowerApp_Physical count'!A:A,' General Stock Summary View  '!B364)</f>
        <v>0</v>
      </c>
      <c r="I364" s="154">
        <f t="shared" si="68"/>
        <v>0</v>
      </c>
      <c r="J364" s="11">
        <f>SUMIFS('XBS '!T:T,'XBS '!H:H,' General Stock Summary View  '!$J$2,'XBS '!L:L,' General Stock Summary View  '!B364,'XBS '!C:C,' General Stock Summary View  '!C364)</f>
        <v>0</v>
      </c>
      <c r="K364" s="157">
        <f>SUMIFS('PowerApp_Physical count'!H:H,'PowerApp_Physical count'!B:B,' General Stock Summary View  '!$J$2,'PowerApp_Physical count'!C:C,' General Stock Summary View  '!C364,'PowerApp_Physical count'!A:A,' General Stock Summary View  '!B364)</f>
        <v>0</v>
      </c>
      <c r="L364" s="127">
        <f t="shared" si="57"/>
        <v>0</v>
      </c>
      <c r="M364" s="126">
        <f t="shared" si="58"/>
        <v>0</v>
      </c>
      <c r="N364" s="11">
        <f t="shared" si="59"/>
        <v>0</v>
      </c>
      <c r="O364" s="144">
        <f t="shared" si="60"/>
        <v>0</v>
      </c>
      <c r="P364" s="2">
        <f>SUMIFS('XBS '!T:T,'XBS '!H:H,' General Stock Summary View  '!$P$2,'XBS '!L:L,' General Stock Summary View  '!B364,'XBS '!C:C,' General Stock Summary View  '!C364)</f>
        <v>42</v>
      </c>
      <c r="Q364" s="3">
        <f>SUMIFS('PowerApp_Physical count'!H:H,'PowerApp_Physical count'!B:B,' General Stock Summary View  '!$P$2,'PowerApp_Physical count'!C:C,' General Stock Summary View  '!C364,'PowerApp_Physical count'!A:A,' General Stock Summary View  '!B364)</f>
        <v>0</v>
      </c>
      <c r="R364" s="4">
        <f t="shared" si="61"/>
        <v>-42</v>
      </c>
      <c r="S364" s="5">
        <f>SUMIFS('XBS '!T:T,'XBS '!L:L,' General Stock Summary View  '!B364,'XBS '!H:H,' General Stock Summary View  '!$S$2,'XBS '!C:C,' General Stock Summary View  '!C364)</f>
        <v>0</v>
      </c>
      <c r="T364" s="3">
        <f>SUMIFS('PowerApp_Physical count'!H:H,'PowerApp_Physical count'!B:B,' General Stock Summary View  '!$S$2,'PowerApp_Physical count'!C:C,' General Stock Summary View  '!C364,'PowerApp_Physical count'!A:A,' General Stock Summary View  '!B364)</f>
        <v>0</v>
      </c>
      <c r="U364" s="4">
        <f t="shared" si="62"/>
        <v>0</v>
      </c>
      <c r="V364" s="2">
        <f>SUMIFS('XBS '!T:T,'XBS '!H:H,' General Stock Summary View  '!$V$2,'XBS '!B:B,' General Stock Summary View  '!C364,'XBS '!L:L,' General Stock Summary View  '!B364)</f>
        <v>0</v>
      </c>
      <c r="W364" s="3">
        <f>SUMIFS('PowerApp_Physical count'!H:H,'PowerApp_Physical count'!B:B,' General Stock Summary View  '!$V$2,'PowerApp_Physical count'!C:C,' General Stock Summary View  '!C364,'PowerApp_Physical count'!A:A,' General Stock Summary View  '!B364)</f>
        <v>0</v>
      </c>
      <c r="X364" s="4">
        <f t="shared" si="63"/>
        <v>0</v>
      </c>
      <c r="Y364" s="5">
        <f>SUMIFS('XBS '!T:T,'XBS '!H:H,' General Stock Summary View  '!$Y$2,'XBS '!B:B,' General Stock Summary View  '!C364,'XBS '!L:L,' General Stock Summary View  '!B364)</f>
        <v>0</v>
      </c>
      <c r="Z364" s="3">
        <f>SUMIFS('PowerApp_Physical count'!H:H,'PowerApp_Physical count'!B:B,' General Stock Summary View  '!$Y$2,'PowerApp_Physical count'!C:C,' General Stock Summary View  '!C364,'PowerApp_Physical count'!A:A,' General Stock Summary View  '!B364)</f>
        <v>0</v>
      </c>
      <c r="AA364" s="4">
        <f t="shared" si="64"/>
        <v>0</v>
      </c>
      <c r="AB364" s="5">
        <f>SUMIFS('XBS '!T:T,'XBS '!H:H,' General Stock Summary View  '!$AB$2,'XBS '!B:B,' General Stock Summary View  '!C364,'XBS '!L:L,' General Stock Summary View  '!B364)</f>
        <v>0</v>
      </c>
      <c r="AC364" s="3">
        <f>SUMIFS('PowerApp_Physical count'!H:H,'PowerApp_Physical count'!B:B,' General Stock Summary View  '!$AB$2,'PowerApp_Physical count'!C:C,' General Stock Summary View  '!C364,'PowerApp_Physical count'!A:A,' General Stock Summary View  '!B364)</f>
        <v>0</v>
      </c>
      <c r="AD364" s="6">
        <f t="shared" si="65"/>
        <v>0</v>
      </c>
      <c r="AE364" s="7">
        <f t="shared" si="66"/>
        <v>0</v>
      </c>
      <c r="AF364" s="8">
        <f t="shared" si="67"/>
        <v>-42</v>
      </c>
      <c r="AG364" s="112"/>
    </row>
    <row r="365" spans="2:33" s="113" customFormat="1" ht="61.15">
      <c r="B365" s="117" t="s">
        <v>92</v>
      </c>
      <c r="C365" s="111" t="s">
        <v>347</v>
      </c>
      <c r="D365" s="11">
        <f>SUMIFS('XBS '!T:T,'XBS '!C:C,' General Stock Summary View  '!C365,'XBS '!L:L,' General Stock Summary View  '!B365)</f>
        <v>12.555</v>
      </c>
      <c r="E365" s="2">
        <f>SUMIFS('Blocked for Processing'!P:P,'Blocked for Processing'!I:I,' General Stock Summary View  '!B365,'Blocked for Processing'!C:C,' General Stock Summary View  '!C365)</f>
        <v>0</v>
      </c>
      <c r="F365" s="122">
        <f t="shared" si="56"/>
        <v>12.555</v>
      </c>
      <c r="G365" s="148">
        <f>SUMIFS('XBS '!T:T,'XBS '!H:H,' General Stock Summary View  '!$G$2,'XBS '!L:L,' General Stock Summary View  '!B365,'XBS '!C:C,' General Stock Summary View  '!C365)</f>
        <v>12.555</v>
      </c>
      <c r="H365" s="3">
        <f>SUMIFS('PowerApp_Physical count'!H:H,'PowerApp_Physical count'!B:B,' General Stock Summary View  '!$G$2,'PowerApp_Physical count'!C:C,' General Stock Summary View  '!C365,'PowerApp_Physical count'!A:A,' General Stock Summary View  '!B365)</f>
        <v>12.716666666666667</v>
      </c>
      <c r="I365" s="154">
        <f t="shared" si="68"/>
        <v>0.16166666666666707</v>
      </c>
      <c r="J365" s="11">
        <f>SUMIFS('XBS '!T:T,'XBS '!H:H,' General Stock Summary View  '!$J$2,'XBS '!L:L,' General Stock Summary View  '!B365,'XBS '!C:C,' General Stock Summary View  '!C365)</f>
        <v>0</v>
      </c>
      <c r="K365" s="157">
        <f>SUMIFS('PowerApp_Physical count'!H:H,'PowerApp_Physical count'!B:B,' General Stock Summary View  '!$J$2,'PowerApp_Physical count'!C:C,' General Stock Summary View  '!C365,'PowerApp_Physical count'!A:A,' General Stock Summary View  '!B365)</f>
        <v>0</v>
      </c>
      <c r="L365" s="127">
        <f t="shared" si="57"/>
        <v>0</v>
      </c>
      <c r="M365" s="126">
        <f t="shared" si="58"/>
        <v>12.555</v>
      </c>
      <c r="N365" s="11">
        <f t="shared" si="59"/>
        <v>12.716666666666667</v>
      </c>
      <c r="O365" s="144">
        <f t="shared" si="60"/>
        <v>0.16166666666666707</v>
      </c>
      <c r="P365" s="2">
        <f>SUMIFS('XBS '!T:T,'XBS '!H:H,' General Stock Summary View  '!$P$2,'XBS '!L:L,' General Stock Summary View  '!B365,'XBS '!C:C,' General Stock Summary View  '!C365)</f>
        <v>0</v>
      </c>
      <c r="Q365" s="3">
        <f>SUMIFS('PowerApp_Physical count'!H:H,'PowerApp_Physical count'!B:B,' General Stock Summary View  '!$P$2,'PowerApp_Physical count'!C:C,' General Stock Summary View  '!C365,'PowerApp_Physical count'!A:A,' General Stock Summary View  '!B365)</f>
        <v>0</v>
      </c>
      <c r="R365" s="4">
        <f t="shared" si="61"/>
        <v>0</v>
      </c>
      <c r="S365" s="5">
        <f>SUMIFS('XBS '!T:T,'XBS '!L:L,' General Stock Summary View  '!B365,'XBS '!H:H,' General Stock Summary View  '!$S$2,'XBS '!C:C,' General Stock Summary View  '!C365)</f>
        <v>0</v>
      </c>
      <c r="T365" s="3">
        <f>SUMIFS('PowerApp_Physical count'!H:H,'PowerApp_Physical count'!B:B,' General Stock Summary View  '!$S$2,'PowerApp_Physical count'!C:C,' General Stock Summary View  '!C365,'PowerApp_Physical count'!A:A,' General Stock Summary View  '!B365)</f>
        <v>0</v>
      </c>
      <c r="U365" s="4">
        <f t="shared" si="62"/>
        <v>0</v>
      </c>
      <c r="V365" s="2">
        <f>SUMIFS('XBS '!T:T,'XBS '!H:H,' General Stock Summary View  '!$V$2,'XBS '!B:B,' General Stock Summary View  '!C365,'XBS '!L:L,' General Stock Summary View  '!B365)</f>
        <v>0</v>
      </c>
      <c r="W365" s="3">
        <f>SUMIFS('PowerApp_Physical count'!H:H,'PowerApp_Physical count'!B:B,' General Stock Summary View  '!$V$2,'PowerApp_Physical count'!C:C,' General Stock Summary View  '!C365,'PowerApp_Physical count'!A:A,' General Stock Summary View  '!B365)</f>
        <v>0</v>
      </c>
      <c r="X365" s="4">
        <f t="shared" si="63"/>
        <v>0</v>
      </c>
      <c r="Y365" s="5">
        <f>SUMIFS('XBS '!T:T,'XBS '!H:H,' General Stock Summary View  '!$Y$2,'XBS '!B:B,' General Stock Summary View  '!C365,'XBS '!L:L,' General Stock Summary View  '!B365)</f>
        <v>0</v>
      </c>
      <c r="Z365" s="3">
        <f>SUMIFS('PowerApp_Physical count'!H:H,'PowerApp_Physical count'!B:B,' General Stock Summary View  '!$Y$2,'PowerApp_Physical count'!C:C,' General Stock Summary View  '!C365,'PowerApp_Physical count'!A:A,' General Stock Summary View  '!B365)</f>
        <v>0</v>
      </c>
      <c r="AA365" s="4">
        <f t="shared" si="64"/>
        <v>0</v>
      </c>
      <c r="AB365" s="5">
        <f>SUMIFS('XBS '!T:T,'XBS '!H:H,' General Stock Summary View  '!$AB$2,'XBS '!B:B,' General Stock Summary View  '!C365,'XBS '!L:L,' General Stock Summary View  '!B365)</f>
        <v>0</v>
      </c>
      <c r="AC365" s="3">
        <f>SUMIFS('PowerApp_Physical count'!H:H,'PowerApp_Physical count'!B:B,' General Stock Summary View  '!$AB$2,'PowerApp_Physical count'!C:C,' General Stock Summary View  '!C365,'PowerApp_Physical count'!A:A,' General Stock Summary View  '!B365)</f>
        <v>0</v>
      </c>
      <c r="AD365" s="6">
        <f t="shared" si="65"/>
        <v>0</v>
      </c>
      <c r="AE365" s="7">
        <f t="shared" si="66"/>
        <v>12.716666666666667</v>
      </c>
      <c r="AF365" s="8">
        <f t="shared" si="67"/>
        <v>0.16166666666666707</v>
      </c>
      <c r="AG365" s="112"/>
    </row>
    <row r="366" spans="2:33" s="113" customFormat="1" ht="61.15">
      <c r="B366" s="117" t="s">
        <v>360</v>
      </c>
      <c r="C366" s="111" t="s">
        <v>347</v>
      </c>
      <c r="D366" s="11">
        <f>SUMIFS('XBS '!T:T,'XBS '!C:C,' General Stock Summary View  '!C366,'XBS '!L:L,' General Stock Summary View  '!B366)</f>
        <v>12.671666666666665</v>
      </c>
      <c r="E366" s="2">
        <f>SUMIFS('Blocked for Processing'!P:P,'Blocked for Processing'!I:I,' General Stock Summary View  '!B366,'Blocked for Processing'!C:C,' General Stock Summary View  '!C366)</f>
        <v>0</v>
      </c>
      <c r="F366" s="122">
        <f t="shared" si="56"/>
        <v>12.671666666666665</v>
      </c>
      <c r="G366" s="148">
        <f>SUMIFS('XBS '!T:T,'XBS '!H:H,' General Stock Summary View  '!$G$2,'XBS '!L:L,' General Stock Summary View  '!B366,'XBS '!C:C,' General Stock Summary View  '!C366)</f>
        <v>12.671666666666665</v>
      </c>
      <c r="H366" s="3">
        <f>SUMIFS('PowerApp_Physical count'!H:H,'PowerApp_Physical count'!B:B,' General Stock Summary View  '!$G$2,'PowerApp_Physical count'!C:C,' General Stock Summary View  '!C366,'PowerApp_Physical count'!A:A,' General Stock Summary View  '!B366)</f>
        <v>12.716666666666667</v>
      </c>
      <c r="I366" s="154">
        <f t="shared" si="68"/>
        <v>4.5000000000001705E-2</v>
      </c>
      <c r="J366" s="11">
        <f>SUMIFS('XBS '!T:T,'XBS '!H:H,' General Stock Summary View  '!$J$2,'XBS '!L:L,' General Stock Summary View  '!B366,'XBS '!C:C,' General Stock Summary View  '!C366)</f>
        <v>0</v>
      </c>
      <c r="K366" s="157">
        <f>SUMIFS('PowerApp_Physical count'!H:H,'PowerApp_Physical count'!B:B,' General Stock Summary View  '!$J$2,'PowerApp_Physical count'!C:C,' General Stock Summary View  '!C366,'PowerApp_Physical count'!A:A,' General Stock Summary View  '!B366)</f>
        <v>0</v>
      </c>
      <c r="L366" s="127">
        <f t="shared" si="57"/>
        <v>0</v>
      </c>
      <c r="M366" s="126">
        <f t="shared" si="58"/>
        <v>12.671666666666665</v>
      </c>
      <c r="N366" s="11">
        <f t="shared" si="59"/>
        <v>12.716666666666667</v>
      </c>
      <c r="O366" s="144">
        <f t="shared" si="60"/>
        <v>4.5000000000001705E-2</v>
      </c>
      <c r="P366" s="2">
        <f>SUMIFS('XBS '!T:T,'XBS '!H:H,' General Stock Summary View  '!$P$2,'XBS '!L:L,' General Stock Summary View  '!B366,'XBS '!C:C,' General Stock Summary View  '!C366)</f>
        <v>0</v>
      </c>
      <c r="Q366" s="3">
        <f>SUMIFS('PowerApp_Physical count'!H:H,'PowerApp_Physical count'!B:B,' General Stock Summary View  '!$P$2,'PowerApp_Physical count'!C:C,' General Stock Summary View  '!C366,'PowerApp_Physical count'!A:A,' General Stock Summary View  '!B366)</f>
        <v>0</v>
      </c>
      <c r="R366" s="4">
        <f t="shared" si="61"/>
        <v>0</v>
      </c>
      <c r="S366" s="5">
        <f>SUMIFS('XBS '!T:T,'XBS '!L:L,' General Stock Summary View  '!B366,'XBS '!H:H,' General Stock Summary View  '!$S$2,'XBS '!C:C,' General Stock Summary View  '!C366)</f>
        <v>0</v>
      </c>
      <c r="T366" s="3">
        <f>SUMIFS('PowerApp_Physical count'!H:H,'PowerApp_Physical count'!B:B,' General Stock Summary View  '!$S$2,'PowerApp_Physical count'!C:C,' General Stock Summary View  '!C366,'PowerApp_Physical count'!A:A,' General Stock Summary View  '!B366)</f>
        <v>0</v>
      </c>
      <c r="U366" s="4">
        <f t="shared" si="62"/>
        <v>0</v>
      </c>
      <c r="V366" s="2">
        <f>SUMIFS('XBS '!T:T,'XBS '!H:H,' General Stock Summary View  '!$V$2,'XBS '!B:B,' General Stock Summary View  '!C366,'XBS '!L:L,' General Stock Summary View  '!B366)</f>
        <v>0</v>
      </c>
      <c r="W366" s="3">
        <f>SUMIFS('PowerApp_Physical count'!H:H,'PowerApp_Physical count'!B:B,' General Stock Summary View  '!$V$2,'PowerApp_Physical count'!C:C,' General Stock Summary View  '!C366,'PowerApp_Physical count'!A:A,' General Stock Summary View  '!B366)</f>
        <v>0</v>
      </c>
      <c r="X366" s="4">
        <f t="shared" si="63"/>
        <v>0</v>
      </c>
      <c r="Y366" s="5">
        <f>SUMIFS('XBS '!T:T,'XBS '!H:H,' General Stock Summary View  '!$Y$2,'XBS '!B:B,' General Stock Summary View  '!C366,'XBS '!L:L,' General Stock Summary View  '!B366)</f>
        <v>0</v>
      </c>
      <c r="Z366" s="3">
        <f>SUMIFS('PowerApp_Physical count'!H:H,'PowerApp_Physical count'!B:B,' General Stock Summary View  '!$Y$2,'PowerApp_Physical count'!C:C,' General Stock Summary View  '!C366,'PowerApp_Physical count'!A:A,' General Stock Summary View  '!B366)</f>
        <v>0</v>
      </c>
      <c r="AA366" s="4">
        <f t="shared" si="64"/>
        <v>0</v>
      </c>
      <c r="AB366" s="5">
        <f>SUMIFS('XBS '!T:T,'XBS '!H:H,' General Stock Summary View  '!$AB$2,'XBS '!B:B,' General Stock Summary View  '!C366,'XBS '!L:L,' General Stock Summary View  '!B366)</f>
        <v>0</v>
      </c>
      <c r="AC366" s="3">
        <f>SUMIFS('PowerApp_Physical count'!H:H,'PowerApp_Physical count'!B:B,' General Stock Summary View  '!$AB$2,'PowerApp_Physical count'!C:C,' General Stock Summary View  '!C366,'PowerApp_Physical count'!A:A,' General Stock Summary View  '!B366)</f>
        <v>0</v>
      </c>
      <c r="AD366" s="6">
        <f t="shared" si="65"/>
        <v>0</v>
      </c>
      <c r="AE366" s="7">
        <f t="shared" si="66"/>
        <v>12.716666666666667</v>
      </c>
      <c r="AF366" s="8">
        <f t="shared" si="67"/>
        <v>4.5000000000001705E-2</v>
      </c>
      <c r="AG366" s="112"/>
    </row>
    <row r="367" spans="2:33" s="113" customFormat="1" ht="61.15">
      <c r="B367" s="117" t="s">
        <v>361</v>
      </c>
      <c r="C367" s="111" t="s">
        <v>347</v>
      </c>
      <c r="D367" s="11">
        <f>SUMIFS('XBS '!T:T,'XBS '!C:C,' General Stock Summary View  '!C367,'XBS '!L:L,' General Stock Summary View  '!B367)</f>
        <v>33.856666666666669</v>
      </c>
      <c r="E367" s="2">
        <f>SUMIFS('Blocked for Processing'!P:P,'Blocked for Processing'!I:I,' General Stock Summary View  '!B367,'Blocked for Processing'!C:C,' General Stock Summary View  '!C367)</f>
        <v>0</v>
      </c>
      <c r="F367" s="122">
        <f t="shared" si="56"/>
        <v>33.856666666666669</v>
      </c>
      <c r="G367" s="148">
        <f>SUMIFS('XBS '!T:T,'XBS '!H:H,' General Stock Summary View  '!$G$2,'XBS '!L:L,' General Stock Summary View  '!B367,'XBS '!C:C,' General Stock Summary View  '!C367)</f>
        <v>33.856666666666669</v>
      </c>
      <c r="H367" s="3">
        <f>SUMIFS('PowerApp_Physical count'!H:H,'PowerApp_Physical count'!B:B,' General Stock Summary View  '!$G$2,'PowerApp_Physical count'!C:C,' General Stock Summary View  '!C367,'PowerApp_Physical count'!A:A,' General Stock Summary View  '!B367)</f>
        <v>33.81666666666667</v>
      </c>
      <c r="I367" s="154">
        <f t="shared" si="68"/>
        <v>-3.9999999999999147E-2</v>
      </c>
      <c r="J367" s="11">
        <f>SUMIFS('XBS '!T:T,'XBS '!H:H,' General Stock Summary View  '!$J$2,'XBS '!L:L,' General Stock Summary View  '!B367,'XBS '!C:C,' General Stock Summary View  '!C367)</f>
        <v>0</v>
      </c>
      <c r="K367" s="157">
        <f>SUMIFS('PowerApp_Physical count'!H:H,'PowerApp_Physical count'!B:B,' General Stock Summary View  '!$J$2,'PowerApp_Physical count'!C:C,' General Stock Summary View  '!C367,'PowerApp_Physical count'!A:A,' General Stock Summary View  '!B367)</f>
        <v>0</v>
      </c>
      <c r="L367" s="127">
        <f t="shared" si="57"/>
        <v>0</v>
      </c>
      <c r="M367" s="126">
        <f t="shared" si="58"/>
        <v>33.856666666666669</v>
      </c>
      <c r="N367" s="11">
        <f t="shared" si="59"/>
        <v>33.81666666666667</v>
      </c>
      <c r="O367" s="144">
        <f t="shared" si="60"/>
        <v>-3.9999999999999147E-2</v>
      </c>
      <c r="P367" s="2">
        <f>SUMIFS('XBS '!T:T,'XBS '!H:H,' General Stock Summary View  '!$P$2,'XBS '!L:L,' General Stock Summary View  '!B367,'XBS '!C:C,' General Stock Summary View  '!C367)</f>
        <v>0</v>
      </c>
      <c r="Q367" s="3">
        <f>SUMIFS('PowerApp_Physical count'!H:H,'PowerApp_Physical count'!B:B,' General Stock Summary View  '!$P$2,'PowerApp_Physical count'!C:C,' General Stock Summary View  '!C367,'PowerApp_Physical count'!A:A,' General Stock Summary View  '!B367)</f>
        <v>0</v>
      </c>
      <c r="R367" s="4">
        <f t="shared" si="61"/>
        <v>0</v>
      </c>
      <c r="S367" s="5">
        <f>SUMIFS('XBS '!T:T,'XBS '!L:L,' General Stock Summary View  '!B367,'XBS '!H:H,' General Stock Summary View  '!$S$2,'XBS '!C:C,' General Stock Summary View  '!C367)</f>
        <v>0</v>
      </c>
      <c r="T367" s="3">
        <f>SUMIFS('PowerApp_Physical count'!H:H,'PowerApp_Physical count'!B:B,' General Stock Summary View  '!$S$2,'PowerApp_Physical count'!C:C,' General Stock Summary View  '!C367,'PowerApp_Physical count'!A:A,' General Stock Summary View  '!B367)</f>
        <v>0</v>
      </c>
      <c r="U367" s="4">
        <f t="shared" si="62"/>
        <v>0</v>
      </c>
      <c r="V367" s="2">
        <f>SUMIFS('XBS '!T:T,'XBS '!H:H,' General Stock Summary View  '!$V$2,'XBS '!B:B,' General Stock Summary View  '!C367,'XBS '!L:L,' General Stock Summary View  '!B367)</f>
        <v>0</v>
      </c>
      <c r="W367" s="3">
        <f>SUMIFS('PowerApp_Physical count'!H:H,'PowerApp_Physical count'!B:B,' General Stock Summary View  '!$V$2,'PowerApp_Physical count'!C:C,' General Stock Summary View  '!C367,'PowerApp_Physical count'!A:A,' General Stock Summary View  '!B367)</f>
        <v>0</v>
      </c>
      <c r="X367" s="4">
        <f t="shared" si="63"/>
        <v>0</v>
      </c>
      <c r="Y367" s="5">
        <f>SUMIFS('XBS '!T:T,'XBS '!H:H,' General Stock Summary View  '!$Y$2,'XBS '!B:B,' General Stock Summary View  '!C367,'XBS '!L:L,' General Stock Summary View  '!B367)</f>
        <v>0</v>
      </c>
      <c r="Z367" s="3">
        <f>SUMIFS('PowerApp_Physical count'!H:H,'PowerApp_Physical count'!B:B,' General Stock Summary View  '!$Y$2,'PowerApp_Physical count'!C:C,' General Stock Summary View  '!C367,'PowerApp_Physical count'!A:A,' General Stock Summary View  '!B367)</f>
        <v>0</v>
      </c>
      <c r="AA367" s="4">
        <f t="shared" si="64"/>
        <v>0</v>
      </c>
      <c r="AB367" s="5">
        <f>SUMIFS('XBS '!T:T,'XBS '!H:H,' General Stock Summary View  '!$AB$2,'XBS '!B:B,' General Stock Summary View  '!C367,'XBS '!L:L,' General Stock Summary View  '!B367)</f>
        <v>0</v>
      </c>
      <c r="AC367" s="3">
        <f>SUMIFS('PowerApp_Physical count'!H:H,'PowerApp_Physical count'!B:B,' General Stock Summary View  '!$AB$2,'PowerApp_Physical count'!C:C,' General Stock Summary View  '!C367,'PowerApp_Physical count'!A:A,' General Stock Summary View  '!B367)</f>
        <v>0</v>
      </c>
      <c r="AD367" s="6">
        <f t="shared" si="65"/>
        <v>0</v>
      </c>
      <c r="AE367" s="7">
        <f t="shared" si="66"/>
        <v>33.81666666666667</v>
      </c>
      <c r="AF367" s="8">
        <f t="shared" si="67"/>
        <v>-3.9999999999999147E-2</v>
      </c>
      <c r="AG367" s="112"/>
    </row>
    <row r="368" spans="2:33" s="113" customFormat="1" ht="61.15">
      <c r="B368" s="117" t="s">
        <v>217</v>
      </c>
      <c r="C368" s="111" t="s">
        <v>347</v>
      </c>
      <c r="D368" s="11">
        <f>SUMIFS('XBS '!T:T,'XBS '!C:C,' General Stock Summary View  '!C368,'XBS '!L:L,' General Stock Summary View  '!B368)</f>
        <v>2.3833333333333333</v>
      </c>
      <c r="E368" s="2">
        <f>SUMIFS('Blocked for Processing'!P:P,'Blocked for Processing'!I:I,' General Stock Summary View  '!B368,'Blocked for Processing'!C:C,' General Stock Summary View  '!C368)</f>
        <v>0</v>
      </c>
      <c r="F368" s="122">
        <f t="shared" si="56"/>
        <v>2.3833333333333333</v>
      </c>
      <c r="G368" s="148">
        <f>SUMIFS('XBS '!T:T,'XBS '!H:H,' General Stock Summary View  '!$G$2,'XBS '!L:L,' General Stock Summary View  '!B368,'XBS '!C:C,' General Stock Summary View  '!C368)</f>
        <v>0</v>
      </c>
      <c r="H368" s="3">
        <f>SUMIFS('PowerApp_Physical count'!H:H,'PowerApp_Physical count'!B:B,' General Stock Summary View  '!$G$2,'PowerApp_Physical count'!C:C,' General Stock Summary View  '!C368,'PowerApp_Physical count'!A:A,' General Stock Summary View  '!B368)</f>
        <v>0</v>
      </c>
      <c r="I368" s="154">
        <f t="shared" si="68"/>
        <v>0</v>
      </c>
      <c r="J368" s="11">
        <f>SUMIFS('XBS '!T:T,'XBS '!H:H,' General Stock Summary View  '!$J$2,'XBS '!L:L,' General Stock Summary View  '!B368,'XBS '!C:C,' General Stock Summary View  '!C368)</f>
        <v>0</v>
      </c>
      <c r="K368" s="157">
        <f>SUMIFS('PowerApp_Physical count'!H:H,'PowerApp_Physical count'!B:B,' General Stock Summary View  '!$J$2,'PowerApp_Physical count'!C:C,' General Stock Summary View  '!C368,'PowerApp_Physical count'!A:A,' General Stock Summary View  '!B368)</f>
        <v>0</v>
      </c>
      <c r="L368" s="127">
        <f t="shared" si="57"/>
        <v>0</v>
      </c>
      <c r="M368" s="126">
        <f t="shared" si="58"/>
        <v>0</v>
      </c>
      <c r="N368" s="11">
        <f t="shared" si="59"/>
        <v>0</v>
      </c>
      <c r="O368" s="144">
        <f t="shared" si="60"/>
        <v>0</v>
      </c>
      <c r="P368" s="2">
        <f>SUMIFS('XBS '!T:T,'XBS '!H:H,' General Stock Summary View  '!$P$2,'XBS '!L:L,' General Stock Summary View  '!B368,'XBS '!C:C,' General Stock Summary View  '!C368)</f>
        <v>0</v>
      </c>
      <c r="Q368" s="3">
        <f>SUMIFS('PowerApp_Physical count'!H:H,'PowerApp_Physical count'!B:B,' General Stock Summary View  '!$P$2,'PowerApp_Physical count'!C:C,' General Stock Summary View  '!C368,'PowerApp_Physical count'!A:A,' General Stock Summary View  '!B368)</f>
        <v>0</v>
      </c>
      <c r="R368" s="4">
        <f t="shared" si="61"/>
        <v>0</v>
      </c>
      <c r="S368" s="5">
        <f>SUMIFS('XBS '!T:T,'XBS '!L:L,' General Stock Summary View  '!B368,'XBS '!H:H,' General Stock Summary View  '!$S$2,'XBS '!C:C,' General Stock Summary View  '!C368)</f>
        <v>0</v>
      </c>
      <c r="T368" s="3">
        <f>SUMIFS('PowerApp_Physical count'!H:H,'PowerApp_Physical count'!B:B,' General Stock Summary View  '!$S$2,'PowerApp_Physical count'!C:C,' General Stock Summary View  '!C368,'PowerApp_Physical count'!A:A,' General Stock Summary View  '!B368)</f>
        <v>0</v>
      </c>
      <c r="U368" s="4">
        <f t="shared" si="62"/>
        <v>0</v>
      </c>
      <c r="V368" s="2">
        <f>SUMIFS('XBS '!T:T,'XBS '!H:H,' General Stock Summary View  '!$V$2,'XBS '!B:B,' General Stock Summary View  '!C368,'XBS '!L:L,' General Stock Summary View  '!B368)</f>
        <v>0</v>
      </c>
      <c r="W368" s="3">
        <f>SUMIFS('PowerApp_Physical count'!H:H,'PowerApp_Physical count'!B:B,' General Stock Summary View  '!$V$2,'PowerApp_Physical count'!C:C,' General Stock Summary View  '!C368,'PowerApp_Physical count'!A:A,' General Stock Summary View  '!B368)</f>
        <v>0</v>
      </c>
      <c r="X368" s="4">
        <f t="shared" si="63"/>
        <v>0</v>
      </c>
      <c r="Y368" s="5">
        <f>SUMIFS('XBS '!T:T,'XBS '!H:H,' General Stock Summary View  '!$Y$2,'XBS '!B:B,' General Stock Summary View  '!C368,'XBS '!L:L,' General Stock Summary View  '!B368)</f>
        <v>0</v>
      </c>
      <c r="Z368" s="3">
        <f>SUMIFS('PowerApp_Physical count'!H:H,'PowerApp_Physical count'!B:B,' General Stock Summary View  '!$Y$2,'PowerApp_Physical count'!C:C,' General Stock Summary View  '!C368,'PowerApp_Physical count'!A:A,' General Stock Summary View  '!B368)</f>
        <v>0</v>
      </c>
      <c r="AA368" s="4">
        <f t="shared" si="64"/>
        <v>0</v>
      </c>
      <c r="AB368" s="5">
        <f>SUMIFS('XBS '!T:T,'XBS '!H:H,' General Stock Summary View  '!$AB$2,'XBS '!B:B,' General Stock Summary View  '!C368,'XBS '!L:L,' General Stock Summary View  '!B368)</f>
        <v>2.3833333333333333</v>
      </c>
      <c r="AC368" s="3">
        <f>SUMIFS('PowerApp_Physical count'!H:H,'PowerApp_Physical count'!B:B,' General Stock Summary View  '!$AB$2,'PowerApp_Physical count'!C:C,' General Stock Summary View  '!C368,'PowerApp_Physical count'!A:A,' General Stock Summary View  '!B368)</f>
        <v>0</v>
      </c>
      <c r="AD368" s="6">
        <f t="shared" si="65"/>
        <v>-2.3833333333333333</v>
      </c>
      <c r="AE368" s="7">
        <f t="shared" si="66"/>
        <v>0</v>
      </c>
      <c r="AF368" s="8">
        <f t="shared" si="67"/>
        <v>-2.3833333333333333</v>
      </c>
      <c r="AG368" s="112"/>
    </row>
    <row r="369" spans="2:33" s="113" customFormat="1" ht="61.15">
      <c r="B369" s="117" t="s">
        <v>362</v>
      </c>
      <c r="C369" s="111" t="s">
        <v>347</v>
      </c>
      <c r="D369" s="11">
        <f>SUMIFS('XBS '!T:T,'XBS '!C:C,' General Stock Summary View  '!C369,'XBS '!L:L,' General Stock Summary View  '!B369)</f>
        <v>8.9333333333333336</v>
      </c>
      <c r="E369" s="2">
        <f>SUMIFS('Blocked for Processing'!P:P,'Blocked for Processing'!I:I,' General Stock Summary View  '!B369,'Blocked for Processing'!C:C,' General Stock Summary View  '!C369)</f>
        <v>0</v>
      </c>
      <c r="F369" s="122">
        <f t="shared" si="56"/>
        <v>8.9333333333333336</v>
      </c>
      <c r="G369" s="148">
        <f>SUMIFS('XBS '!T:T,'XBS '!H:H,' General Stock Summary View  '!$G$2,'XBS '!L:L,' General Stock Summary View  '!B369,'XBS '!C:C,' General Stock Summary View  '!C369)</f>
        <v>0</v>
      </c>
      <c r="H369" s="3">
        <f>SUMIFS('PowerApp_Physical count'!H:H,'PowerApp_Physical count'!B:B,' General Stock Summary View  '!$G$2,'PowerApp_Physical count'!C:C,' General Stock Summary View  '!C369,'PowerApp_Physical count'!A:A,' General Stock Summary View  '!B369)</f>
        <v>0</v>
      </c>
      <c r="I369" s="154">
        <f t="shared" si="68"/>
        <v>0</v>
      </c>
      <c r="J369" s="11">
        <f>SUMIFS('XBS '!T:T,'XBS '!H:H,' General Stock Summary View  '!$J$2,'XBS '!L:L,' General Stock Summary View  '!B369,'XBS '!C:C,' General Stock Summary View  '!C369)</f>
        <v>0</v>
      </c>
      <c r="K369" s="157">
        <f>SUMIFS('PowerApp_Physical count'!H:H,'PowerApp_Physical count'!B:B,' General Stock Summary View  '!$J$2,'PowerApp_Physical count'!C:C,' General Stock Summary View  '!C369,'PowerApp_Physical count'!A:A,' General Stock Summary View  '!B369)</f>
        <v>0</v>
      </c>
      <c r="L369" s="127">
        <f t="shared" si="57"/>
        <v>0</v>
      </c>
      <c r="M369" s="126">
        <f t="shared" si="58"/>
        <v>0</v>
      </c>
      <c r="N369" s="11">
        <f t="shared" si="59"/>
        <v>0</v>
      </c>
      <c r="O369" s="144">
        <f t="shared" si="60"/>
        <v>0</v>
      </c>
      <c r="P369" s="2">
        <f>SUMIFS('XBS '!T:T,'XBS '!H:H,' General Stock Summary View  '!$P$2,'XBS '!L:L,' General Stock Summary View  '!B369,'XBS '!C:C,' General Stock Summary View  '!C369)</f>
        <v>0</v>
      </c>
      <c r="Q369" s="3">
        <f>SUMIFS('PowerApp_Physical count'!H:H,'PowerApp_Physical count'!B:B,' General Stock Summary View  '!$P$2,'PowerApp_Physical count'!C:C,' General Stock Summary View  '!C369,'PowerApp_Physical count'!A:A,' General Stock Summary View  '!B369)</f>
        <v>0</v>
      </c>
      <c r="R369" s="4">
        <f t="shared" si="61"/>
        <v>0</v>
      </c>
      <c r="S369" s="5">
        <f>SUMIFS('XBS '!T:T,'XBS '!L:L,' General Stock Summary View  '!B369,'XBS '!H:H,' General Stock Summary View  '!$S$2,'XBS '!C:C,' General Stock Summary View  '!C369)</f>
        <v>0</v>
      </c>
      <c r="T369" s="3">
        <f>SUMIFS('PowerApp_Physical count'!H:H,'PowerApp_Physical count'!B:B,' General Stock Summary View  '!$S$2,'PowerApp_Physical count'!C:C,' General Stock Summary View  '!C369,'PowerApp_Physical count'!A:A,' General Stock Summary View  '!B369)</f>
        <v>0</v>
      </c>
      <c r="U369" s="4">
        <f t="shared" si="62"/>
        <v>0</v>
      </c>
      <c r="V369" s="2">
        <f>SUMIFS('XBS '!T:T,'XBS '!H:H,' General Stock Summary View  '!$V$2,'XBS '!B:B,' General Stock Summary View  '!C369,'XBS '!L:L,' General Stock Summary View  '!B369)</f>
        <v>0</v>
      </c>
      <c r="W369" s="3">
        <f>SUMIFS('PowerApp_Physical count'!H:H,'PowerApp_Physical count'!B:B,' General Stock Summary View  '!$V$2,'PowerApp_Physical count'!C:C,' General Stock Summary View  '!C369,'PowerApp_Physical count'!A:A,' General Stock Summary View  '!B369)</f>
        <v>0</v>
      </c>
      <c r="X369" s="4">
        <f t="shared" si="63"/>
        <v>0</v>
      </c>
      <c r="Y369" s="5">
        <f>SUMIFS('XBS '!T:T,'XBS '!H:H,' General Stock Summary View  '!$Y$2,'XBS '!B:B,' General Stock Summary View  '!C369,'XBS '!L:L,' General Stock Summary View  '!B369)</f>
        <v>0</v>
      </c>
      <c r="Z369" s="3">
        <f>SUMIFS('PowerApp_Physical count'!H:H,'PowerApp_Physical count'!B:B,' General Stock Summary View  '!$Y$2,'PowerApp_Physical count'!C:C,' General Stock Summary View  '!C369,'PowerApp_Physical count'!A:A,' General Stock Summary View  '!B369)</f>
        <v>0</v>
      </c>
      <c r="AA369" s="4">
        <f t="shared" si="64"/>
        <v>0</v>
      </c>
      <c r="AB369" s="5">
        <f>SUMIFS('XBS '!T:T,'XBS '!H:H,' General Stock Summary View  '!$AB$2,'XBS '!B:B,' General Stock Summary View  '!C369,'XBS '!L:L,' General Stock Summary View  '!B369)</f>
        <v>8.9333333333333336</v>
      </c>
      <c r="AC369" s="3">
        <f>SUMIFS('PowerApp_Physical count'!H:H,'PowerApp_Physical count'!B:B,' General Stock Summary View  '!$AB$2,'PowerApp_Physical count'!C:C,' General Stock Summary View  '!C369,'PowerApp_Physical count'!A:A,' General Stock Summary View  '!B369)</f>
        <v>0</v>
      </c>
      <c r="AD369" s="6">
        <f t="shared" si="65"/>
        <v>-8.9333333333333336</v>
      </c>
      <c r="AE369" s="7">
        <f t="shared" si="66"/>
        <v>0</v>
      </c>
      <c r="AF369" s="8">
        <f t="shared" si="67"/>
        <v>-8.9333333333333336</v>
      </c>
      <c r="AG369" s="112"/>
    </row>
    <row r="370" spans="2:33" s="113" customFormat="1" ht="61.15">
      <c r="B370" s="117" t="s">
        <v>363</v>
      </c>
      <c r="C370" s="111" t="s">
        <v>347</v>
      </c>
      <c r="D370" s="11">
        <f>SUMIFS('XBS '!T:T,'XBS '!C:C,' General Stock Summary View  '!C370,'XBS '!L:L,' General Stock Summary View  '!B370)</f>
        <v>2.1833333333333331</v>
      </c>
      <c r="E370" s="2">
        <f>SUMIFS('Blocked for Processing'!P:P,'Blocked for Processing'!I:I,' General Stock Summary View  '!B370,'Blocked for Processing'!C:C,' General Stock Summary View  '!C370)</f>
        <v>0</v>
      </c>
      <c r="F370" s="122">
        <f t="shared" si="56"/>
        <v>2.1833333333333331</v>
      </c>
      <c r="G370" s="148">
        <f>SUMIFS('XBS '!T:T,'XBS '!H:H,' General Stock Summary View  '!$G$2,'XBS '!L:L,' General Stock Summary View  '!B370,'XBS '!C:C,' General Stock Summary View  '!C370)</f>
        <v>0</v>
      </c>
      <c r="H370" s="3">
        <f>SUMIFS('PowerApp_Physical count'!H:H,'PowerApp_Physical count'!B:B,' General Stock Summary View  '!$G$2,'PowerApp_Physical count'!C:C,' General Stock Summary View  '!C370,'PowerApp_Physical count'!A:A,' General Stock Summary View  '!B370)</f>
        <v>0</v>
      </c>
      <c r="I370" s="154">
        <f t="shared" si="68"/>
        <v>0</v>
      </c>
      <c r="J370" s="11">
        <f>SUMIFS('XBS '!T:T,'XBS '!H:H,' General Stock Summary View  '!$J$2,'XBS '!L:L,' General Stock Summary View  '!B370,'XBS '!C:C,' General Stock Summary View  '!C370)</f>
        <v>0</v>
      </c>
      <c r="K370" s="157">
        <f>SUMIFS('PowerApp_Physical count'!H:H,'PowerApp_Physical count'!B:B,' General Stock Summary View  '!$J$2,'PowerApp_Physical count'!C:C,' General Stock Summary View  '!C370,'PowerApp_Physical count'!A:A,' General Stock Summary View  '!B370)</f>
        <v>0</v>
      </c>
      <c r="L370" s="127">
        <f t="shared" si="57"/>
        <v>0</v>
      </c>
      <c r="M370" s="126">
        <f t="shared" si="58"/>
        <v>0</v>
      </c>
      <c r="N370" s="11">
        <f t="shared" si="59"/>
        <v>0</v>
      </c>
      <c r="O370" s="144">
        <f t="shared" si="60"/>
        <v>0</v>
      </c>
      <c r="P370" s="2">
        <f>SUMIFS('XBS '!T:T,'XBS '!H:H,' General Stock Summary View  '!$P$2,'XBS '!L:L,' General Stock Summary View  '!B370,'XBS '!C:C,' General Stock Summary View  '!C370)</f>
        <v>0</v>
      </c>
      <c r="Q370" s="3">
        <f>SUMIFS('PowerApp_Physical count'!H:H,'PowerApp_Physical count'!B:B,' General Stock Summary View  '!$P$2,'PowerApp_Physical count'!C:C,' General Stock Summary View  '!C370,'PowerApp_Physical count'!A:A,' General Stock Summary View  '!B370)</f>
        <v>0</v>
      </c>
      <c r="R370" s="4">
        <f t="shared" si="61"/>
        <v>0</v>
      </c>
      <c r="S370" s="5">
        <f>SUMIFS('XBS '!T:T,'XBS '!L:L,' General Stock Summary View  '!B370,'XBS '!H:H,' General Stock Summary View  '!$S$2,'XBS '!C:C,' General Stock Summary View  '!C370)</f>
        <v>0</v>
      </c>
      <c r="T370" s="3">
        <f>SUMIFS('PowerApp_Physical count'!H:H,'PowerApp_Physical count'!B:B,' General Stock Summary View  '!$S$2,'PowerApp_Physical count'!C:C,' General Stock Summary View  '!C370,'PowerApp_Physical count'!A:A,' General Stock Summary View  '!B370)</f>
        <v>0</v>
      </c>
      <c r="U370" s="4">
        <f t="shared" si="62"/>
        <v>0</v>
      </c>
      <c r="V370" s="2">
        <f>SUMIFS('XBS '!T:T,'XBS '!H:H,' General Stock Summary View  '!$V$2,'XBS '!B:B,' General Stock Summary View  '!C370,'XBS '!L:L,' General Stock Summary View  '!B370)</f>
        <v>0</v>
      </c>
      <c r="W370" s="3">
        <f>SUMIFS('PowerApp_Physical count'!H:H,'PowerApp_Physical count'!B:B,' General Stock Summary View  '!$V$2,'PowerApp_Physical count'!C:C,' General Stock Summary View  '!C370,'PowerApp_Physical count'!A:A,' General Stock Summary View  '!B370)</f>
        <v>0</v>
      </c>
      <c r="X370" s="4">
        <f t="shared" si="63"/>
        <v>0</v>
      </c>
      <c r="Y370" s="5">
        <f>SUMIFS('XBS '!T:T,'XBS '!H:H,' General Stock Summary View  '!$Y$2,'XBS '!B:B,' General Stock Summary View  '!C370,'XBS '!L:L,' General Stock Summary View  '!B370)</f>
        <v>0</v>
      </c>
      <c r="Z370" s="3">
        <f>SUMIFS('PowerApp_Physical count'!H:H,'PowerApp_Physical count'!B:B,' General Stock Summary View  '!$Y$2,'PowerApp_Physical count'!C:C,' General Stock Summary View  '!C370,'PowerApp_Physical count'!A:A,' General Stock Summary View  '!B370)</f>
        <v>0</v>
      </c>
      <c r="AA370" s="4">
        <f t="shared" si="64"/>
        <v>0</v>
      </c>
      <c r="AB370" s="5">
        <f>SUMIFS('XBS '!T:T,'XBS '!H:H,' General Stock Summary View  '!$AB$2,'XBS '!B:B,' General Stock Summary View  '!C370,'XBS '!L:L,' General Stock Summary View  '!B370)</f>
        <v>2.1833333333333331</v>
      </c>
      <c r="AC370" s="3">
        <f>SUMIFS('PowerApp_Physical count'!H:H,'PowerApp_Physical count'!B:B,' General Stock Summary View  '!$AB$2,'PowerApp_Physical count'!C:C,' General Stock Summary View  '!C370,'PowerApp_Physical count'!A:A,' General Stock Summary View  '!B370)</f>
        <v>0</v>
      </c>
      <c r="AD370" s="6">
        <f t="shared" si="65"/>
        <v>-2.1833333333333331</v>
      </c>
      <c r="AE370" s="7">
        <f t="shared" si="66"/>
        <v>0</v>
      </c>
      <c r="AF370" s="8">
        <f t="shared" si="67"/>
        <v>-2.1833333333333331</v>
      </c>
      <c r="AG370" s="112"/>
    </row>
    <row r="371" spans="2:33" s="113" customFormat="1" ht="61.15">
      <c r="B371" s="117" t="s">
        <v>106</v>
      </c>
      <c r="C371" s="111" t="s">
        <v>347</v>
      </c>
      <c r="D371" s="11">
        <f>SUMIFS('XBS '!T:T,'XBS '!C:C,' General Stock Summary View  '!C371,'XBS '!L:L,' General Stock Summary View  '!B371)</f>
        <v>7.85</v>
      </c>
      <c r="E371" s="2">
        <f>SUMIFS('Blocked for Processing'!P:P,'Blocked for Processing'!I:I,' General Stock Summary View  '!B371,'Blocked for Processing'!C:C,' General Stock Summary View  '!C371)</f>
        <v>0</v>
      </c>
      <c r="F371" s="122">
        <f t="shared" si="56"/>
        <v>7.85</v>
      </c>
      <c r="G371" s="148">
        <f>SUMIFS('XBS '!T:T,'XBS '!H:H,' General Stock Summary View  '!$G$2,'XBS '!L:L,' General Stock Summary View  '!B371,'XBS '!C:C,' General Stock Summary View  '!C371)</f>
        <v>0</v>
      </c>
      <c r="H371" s="3">
        <f>SUMIFS('PowerApp_Physical count'!H:H,'PowerApp_Physical count'!B:B,' General Stock Summary View  '!$G$2,'PowerApp_Physical count'!C:C,' General Stock Summary View  '!C371,'PowerApp_Physical count'!A:A,' General Stock Summary View  '!B371)</f>
        <v>0</v>
      </c>
      <c r="I371" s="154">
        <f t="shared" si="68"/>
        <v>0</v>
      </c>
      <c r="J371" s="11">
        <f>SUMIFS('XBS '!T:T,'XBS '!H:H,' General Stock Summary View  '!$J$2,'XBS '!L:L,' General Stock Summary View  '!B371,'XBS '!C:C,' General Stock Summary View  '!C371)</f>
        <v>0</v>
      </c>
      <c r="K371" s="157">
        <f>SUMIFS('PowerApp_Physical count'!H:H,'PowerApp_Physical count'!B:B,' General Stock Summary View  '!$J$2,'PowerApp_Physical count'!C:C,' General Stock Summary View  '!C371,'PowerApp_Physical count'!A:A,' General Stock Summary View  '!B371)</f>
        <v>0</v>
      </c>
      <c r="L371" s="127">
        <f t="shared" si="57"/>
        <v>0</v>
      </c>
      <c r="M371" s="126">
        <f t="shared" si="58"/>
        <v>0</v>
      </c>
      <c r="N371" s="11">
        <f t="shared" si="59"/>
        <v>0</v>
      </c>
      <c r="O371" s="144">
        <f t="shared" si="60"/>
        <v>0</v>
      </c>
      <c r="P371" s="2">
        <f>SUMIFS('XBS '!T:T,'XBS '!H:H,' General Stock Summary View  '!$P$2,'XBS '!L:L,' General Stock Summary View  '!B371,'XBS '!C:C,' General Stock Summary View  '!C371)</f>
        <v>0</v>
      </c>
      <c r="Q371" s="3">
        <f>SUMIFS('PowerApp_Physical count'!H:H,'PowerApp_Physical count'!B:B,' General Stock Summary View  '!$P$2,'PowerApp_Physical count'!C:C,' General Stock Summary View  '!C371,'PowerApp_Physical count'!A:A,' General Stock Summary View  '!B371)</f>
        <v>0</v>
      </c>
      <c r="R371" s="4">
        <f t="shared" si="61"/>
        <v>0</v>
      </c>
      <c r="S371" s="5">
        <f>SUMIFS('XBS '!T:T,'XBS '!L:L,' General Stock Summary View  '!B371,'XBS '!H:H,' General Stock Summary View  '!$S$2,'XBS '!C:C,' General Stock Summary View  '!C371)</f>
        <v>0</v>
      </c>
      <c r="T371" s="3">
        <f>SUMIFS('PowerApp_Physical count'!H:H,'PowerApp_Physical count'!B:B,' General Stock Summary View  '!$S$2,'PowerApp_Physical count'!C:C,' General Stock Summary View  '!C371,'PowerApp_Physical count'!A:A,' General Stock Summary View  '!B371)</f>
        <v>0</v>
      </c>
      <c r="U371" s="4">
        <f t="shared" si="62"/>
        <v>0</v>
      </c>
      <c r="V371" s="2">
        <f>SUMIFS('XBS '!T:T,'XBS '!H:H,' General Stock Summary View  '!$V$2,'XBS '!B:B,' General Stock Summary View  '!C371,'XBS '!L:L,' General Stock Summary View  '!B371)</f>
        <v>7.85</v>
      </c>
      <c r="W371" s="3">
        <f>SUMIFS('PowerApp_Physical count'!H:H,'PowerApp_Physical count'!B:B,' General Stock Summary View  '!$V$2,'PowerApp_Physical count'!C:C,' General Stock Summary View  '!C371,'PowerApp_Physical count'!A:A,' General Stock Summary View  '!B371)</f>
        <v>0</v>
      </c>
      <c r="X371" s="4">
        <f t="shared" si="63"/>
        <v>-7.85</v>
      </c>
      <c r="Y371" s="5">
        <f>SUMIFS('XBS '!T:T,'XBS '!H:H,' General Stock Summary View  '!$Y$2,'XBS '!B:B,' General Stock Summary View  '!C371,'XBS '!L:L,' General Stock Summary View  '!B371)</f>
        <v>0</v>
      </c>
      <c r="Z371" s="3">
        <f>SUMIFS('PowerApp_Physical count'!H:H,'PowerApp_Physical count'!B:B,' General Stock Summary View  '!$Y$2,'PowerApp_Physical count'!C:C,' General Stock Summary View  '!C371,'PowerApp_Physical count'!A:A,' General Stock Summary View  '!B371)</f>
        <v>0</v>
      </c>
      <c r="AA371" s="4">
        <f t="shared" si="64"/>
        <v>0</v>
      </c>
      <c r="AB371" s="5">
        <f>SUMIFS('XBS '!T:T,'XBS '!H:H,' General Stock Summary View  '!$AB$2,'XBS '!B:B,' General Stock Summary View  '!C371,'XBS '!L:L,' General Stock Summary View  '!B371)</f>
        <v>0</v>
      </c>
      <c r="AC371" s="3">
        <f>SUMIFS('PowerApp_Physical count'!H:H,'PowerApp_Physical count'!B:B,' General Stock Summary View  '!$AB$2,'PowerApp_Physical count'!C:C,' General Stock Summary View  '!C371,'PowerApp_Physical count'!A:A,' General Stock Summary View  '!B371)</f>
        <v>0</v>
      </c>
      <c r="AD371" s="6">
        <f t="shared" si="65"/>
        <v>0</v>
      </c>
      <c r="AE371" s="7">
        <f t="shared" si="66"/>
        <v>0</v>
      </c>
      <c r="AF371" s="8">
        <f t="shared" si="67"/>
        <v>-7.85</v>
      </c>
      <c r="AG371" s="112"/>
    </row>
    <row r="372" spans="2:33" s="113" customFormat="1" ht="61.15">
      <c r="B372" s="117" t="s">
        <v>364</v>
      </c>
      <c r="C372" s="111" t="s">
        <v>347</v>
      </c>
      <c r="D372" s="11">
        <f>SUMIFS('XBS '!T:T,'XBS '!C:C,' General Stock Summary View  '!C372,'XBS '!L:L,' General Stock Summary View  '!B372)</f>
        <v>0.21666666666666667</v>
      </c>
      <c r="E372" s="2">
        <f>SUMIFS('Blocked for Processing'!P:P,'Blocked for Processing'!I:I,' General Stock Summary View  '!B372,'Blocked for Processing'!C:C,' General Stock Summary View  '!C372)</f>
        <v>0</v>
      </c>
      <c r="F372" s="122">
        <f t="shared" si="56"/>
        <v>0.21666666666666667</v>
      </c>
      <c r="G372" s="148">
        <f>SUMIFS('XBS '!T:T,'XBS '!H:H,' General Stock Summary View  '!$G$2,'XBS '!L:L,' General Stock Summary View  '!B372,'XBS '!C:C,' General Stock Summary View  '!C372)</f>
        <v>0</v>
      </c>
      <c r="H372" s="3">
        <f>SUMIFS('PowerApp_Physical count'!H:H,'PowerApp_Physical count'!B:B,' General Stock Summary View  '!$G$2,'PowerApp_Physical count'!C:C,' General Stock Summary View  '!C372,'PowerApp_Physical count'!A:A,' General Stock Summary View  '!B372)</f>
        <v>0</v>
      </c>
      <c r="I372" s="154">
        <f t="shared" si="68"/>
        <v>0</v>
      </c>
      <c r="J372" s="11">
        <f>SUMIFS('XBS '!T:T,'XBS '!H:H,' General Stock Summary View  '!$J$2,'XBS '!L:L,' General Stock Summary View  '!B372,'XBS '!C:C,' General Stock Summary View  '!C372)</f>
        <v>0</v>
      </c>
      <c r="K372" s="157">
        <f>SUMIFS('PowerApp_Physical count'!H:H,'PowerApp_Physical count'!B:B,' General Stock Summary View  '!$J$2,'PowerApp_Physical count'!C:C,' General Stock Summary View  '!C372,'PowerApp_Physical count'!A:A,' General Stock Summary View  '!B372)</f>
        <v>0</v>
      </c>
      <c r="L372" s="127">
        <f t="shared" si="57"/>
        <v>0</v>
      </c>
      <c r="M372" s="126">
        <f t="shared" si="58"/>
        <v>0</v>
      </c>
      <c r="N372" s="11">
        <f t="shared" si="59"/>
        <v>0</v>
      </c>
      <c r="O372" s="144">
        <f t="shared" si="60"/>
        <v>0</v>
      </c>
      <c r="P372" s="2">
        <f>SUMIFS('XBS '!T:T,'XBS '!H:H,' General Stock Summary View  '!$P$2,'XBS '!L:L,' General Stock Summary View  '!B372,'XBS '!C:C,' General Stock Summary View  '!C372)</f>
        <v>0</v>
      </c>
      <c r="Q372" s="3">
        <f>SUMIFS('PowerApp_Physical count'!H:H,'PowerApp_Physical count'!B:B,' General Stock Summary View  '!$P$2,'PowerApp_Physical count'!C:C,' General Stock Summary View  '!C372,'PowerApp_Physical count'!A:A,' General Stock Summary View  '!B372)</f>
        <v>0</v>
      </c>
      <c r="R372" s="4">
        <f t="shared" si="61"/>
        <v>0</v>
      </c>
      <c r="S372" s="5">
        <f>SUMIFS('XBS '!T:T,'XBS '!L:L,' General Stock Summary View  '!B372,'XBS '!H:H,' General Stock Summary View  '!$S$2,'XBS '!C:C,' General Stock Summary View  '!C372)</f>
        <v>0.21666666666666667</v>
      </c>
      <c r="T372" s="3">
        <f>SUMIFS('PowerApp_Physical count'!H:H,'PowerApp_Physical count'!B:B,' General Stock Summary View  '!$S$2,'PowerApp_Physical count'!C:C,' General Stock Summary View  '!C372,'PowerApp_Physical count'!A:A,' General Stock Summary View  '!B372)</f>
        <v>0</v>
      </c>
      <c r="U372" s="4">
        <f t="shared" si="62"/>
        <v>-0.21666666666666667</v>
      </c>
      <c r="V372" s="2">
        <f>SUMIFS('XBS '!T:T,'XBS '!H:H,' General Stock Summary View  '!$V$2,'XBS '!B:B,' General Stock Summary View  '!C372,'XBS '!L:L,' General Stock Summary View  '!B372)</f>
        <v>0</v>
      </c>
      <c r="W372" s="3">
        <f>SUMIFS('PowerApp_Physical count'!H:H,'PowerApp_Physical count'!B:B,' General Stock Summary View  '!$V$2,'PowerApp_Physical count'!C:C,' General Stock Summary View  '!C372,'PowerApp_Physical count'!A:A,' General Stock Summary View  '!B372)</f>
        <v>0</v>
      </c>
      <c r="X372" s="4">
        <f t="shared" si="63"/>
        <v>0</v>
      </c>
      <c r="Y372" s="5">
        <f>SUMIFS('XBS '!T:T,'XBS '!H:H,' General Stock Summary View  '!$Y$2,'XBS '!B:B,' General Stock Summary View  '!C372,'XBS '!L:L,' General Stock Summary View  '!B372)</f>
        <v>0</v>
      </c>
      <c r="Z372" s="3">
        <f>SUMIFS('PowerApp_Physical count'!H:H,'PowerApp_Physical count'!B:B,' General Stock Summary View  '!$Y$2,'PowerApp_Physical count'!C:C,' General Stock Summary View  '!C372,'PowerApp_Physical count'!A:A,' General Stock Summary View  '!B372)</f>
        <v>0</v>
      </c>
      <c r="AA372" s="4">
        <f t="shared" si="64"/>
        <v>0</v>
      </c>
      <c r="AB372" s="5">
        <f>SUMIFS('XBS '!T:T,'XBS '!H:H,' General Stock Summary View  '!$AB$2,'XBS '!B:B,' General Stock Summary View  '!C372,'XBS '!L:L,' General Stock Summary View  '!B372)</f>
        <v>0</v>
      </c>
      <c r="AC372" s="3">
        <f>SUMIFS('PowerApp_Physical count'!H:H,'PowerApp_Physical count'!B:B,' General Stock Summary View  '!$AB$2,'PowerApp_Physical count'!C:C,' General Stock Summary View  '!C372,'PowerApp_Physical count'!A:A,' General Stock Summary View  '!B372)</f>
        <v>0</v>
      </c>
      <c r="AD372" s="6">
        <f t="shared" si="65"/>
        <v>0</v>
      </c>
      <c r="AE372" s="7">
        <f t="shared" si="66"/>
        <v>0</v>
      </c>
      <c r="AF372" s="8">
        <f t="shared" si="67"/>
        <v>-0.21666666666666667</v>
      </c>
      <c r="AG372" s="112"/>
    </row>
    <row r="373" spans="2:33" s="113" customFormat="1" ht="61.15">
      <c r="B373" s="117" t="s">
        <v>365</v>
      </c>
      <c r="C373" s="111" t="s">
        <v>347</v>
      </c>
      <c r="D373" s="11">
        <f>SUMIFS('XBS '!T:T,'XBS '!C:C,' General Stock Summary View  '!C373,'XBS '!L:L,' General Stock Summary View  '!B373)</f>
        <v>0.68333333333333335</v>
      </c>
      <c r="E373" s="2">
        <f>SUMIFS('Blocked for Processing'!P:P,'Blocked for Processing'!I:I,' General Stock Summary View  '!B373,'Blocked for Processing'!C:C,' General Stock Summary View  '!C373)</f>
        <v>0</v>
      </c>
      <c r="F373" s="122">
        <f t="shared" si="56"/>
        <v>0.68333333333333335</v>
      </c>
      <c r="G373" s="148">
        <f>SUMIFS('XBS '!T:T,'XBS '!H:H,' General Stock Summary View  '!$G$2,'XBS '!L:L,' General Stock Summary View  '!B373,'XBS '!C:C,' General Stock Summary View  '!C373)</f>
        <v>0</v>
      </c>
      <c r="H373" s="3">
        <f>SUMIFS('PowerApp_Physical count'!H:H,'PowerApp_Physical count'!B:B,' General Stock Summary View  '!$G$2,'PowerApp_Physical count'!C:C,' General Stock Summary View  '!C373,'PowerApp_Physical count'!A:A,' General Stock Summary View  '!B373)</f>
        <v>0</v>
      </c>
      <c r="I373" s="154">
        <f t="shared" si="68"/>
        <v>0</v>
      </c>
      <c r="J373" s="11">
        <f>SUMIFS('XBS '!T:T,'XBS '!H:H,' General Stock Summary View  '!$J$2,'XBS '!L:L,' General Stock Summary View  '!B373,'XBS '!C:C,' General Stock Summary View  '!C373)</f>
        <v>0</v>
      </c>
      <c r="K373" s="157">
        <f>SUMIFS('PowerApp_Physical count'!H:H,'PowerApp_Physical count'!B:B,' General Stock Summary View  '!$J$2,'PowerApp_Physical count'!C:C,' General Stock Summary View  '!C373,'PowerApp_Physical count'!A:A,' General Stock Summary View  '!B373)</f>
        <v>0</v>
      </c>
      <c r="L373" s="127">
        <f t="shared" si="57"/>
        <v>0</v>
      </c>
      <c r="M373" s="126">
        <f t="shared" si="58"/>
        <v>0</v>
      </c>
      <c r="N373" s="11">
        <f t="shared" si="59"/>
        <v>0</v>
      </c>
      <c r="O373" s="144">
        <f t="shared" si="60"/>
        <v>0</v>
      </c>
      <c r="P373" s="2">
        <f>SUMIFS('XBS '!T:T,'XBS '!H:H,' General Stock Summary View  '!$P$2,'XBS '!L:L,' General Stock Summary View  '!B373,'XBS '!C:C,' General Stock Summary View  '!C373)</f>
        <v>0</v>
      </c>
      <c r="Q373" s="3">
        <f>SUMIFS('PowerApp_Physical count'!H:H,'PowerApp_Physical count'!B:B,' General Stock Summary View  '!$P$2,'PowerApp_Physical count'!C:C,' General Stock Summary View  '!C373,'PowerApp_Physical count'!A:A,' General Stock Summary View  '!B373)</f>
        <v>0</v>
      </c>
      <c r="R373" s="4">
        <f t="shared" si="61"/>
        <v>0</v>
      </c>
      <c r="S373" s="5">
        <f>SUMIFS('XBS '!T:T,'XBS '!L:L,' General Stock Summary View  '!B373,'XBS '!H:H,' General Stock Summary View  '!$S$2,'XBS '!C:C,' General Stock Summary View  '!C373)</f>
        <v>0.68333333333333335</v>
      </c>
      <c r="T373" s="3">
        <f>SUMIFS('PowerApp_Physical count'!H:H,'PowerApp_Physical count'!B:B,' General Stock Summary View  '!$S$2,'PowerApp_Physical count'!C:C,' General Stock Summary View  '!C373,'PowerApp_Physical count'!A:A,' General Stock Summary View  '!B373)</f>
        <v>0</v>
      </c>
      <c r="U373" s="4">
        <f t="shared" si="62"/>
        <v>-0.68333333333333335</v>
      </c>
      <c r="V373" s="2">
        <f>SUMIFS('XBS '!T:T,'XBS '!H:H,' General Stock Summary View  '!$V$2,'XBS '!B:B,' General Stock Summary View  '!C373,'XBS '!L:L,' General Stock Summary View  '!B373)</f>
        <v>0</v>
      </c>
      <c r="W373" s="3">
        <f>SUMIFS('PowerApp_Physical count'!H:H,'PowerApp_Physical count'!B:B,' General Stock Summary View  '!$V$2,'PowerApp_Physical count'!C:C,' General Stock Summary View  '!C373,'PowerApp_Physical count'!A:A,' General Stock Summary View  '!B373)</f>
        <v>0</v>
      </c>
      <c r="X373" s="4">
        <f t="shared" si="63"/>
        <v>0</v>
      </c>
      <c r="Y373" s="5">
        <f>SUMIFS('XBS '!T:T,'XBS '!H:H,' General Stock Summary View  '!$Y$2,'XBS '!B:B,' General Stock Summary View  '!C373,'XBS '!L:L,' General Stock Summary View  '!B373)</f>
        <v>0</v>
      </c>
      <c r="Z373" s="3">
        <f>SUMIFS('PowerApp_Physical count'!H:H,'PowerApp_Physical count'!B:B,' General Stock Summary View  '!$Y$2,'PowerApp_Physical count'!C:C,' General Stock Summary View  '!C373,'PowerApp_Physical count'!A:A,' General Stock Summary View  '!B373)</f>
        <v>0</v>
      </c>
      <c r="AA373" s="4">
        <f t="shared" si="64"/>
        <v>0</v>
      </c>
      <c r="AB373" s="5">
        <f>SUMIFS('XBS '!T:T,'XBS '!H:H,' General Stock Summary View  '!$AB$2,'XBS '!B:B,' General Stock Summary View  '!C373,'XBS '!L:L,' General Stock Summary View  '!B373)</f>
        <v>0</v>
      </c>
      <c r="AC373" s="3">
        <f>SUMIFS('PowerApp_Physical count'!H:H,'PowerApp_Physical count'!B:B,' General Stock Summary View  '!$AB$2,'PowerApp_Physical count'!C:C,' General Stock Summary View  '!C373,'PowerApp_Physical count'!A:A,' General Stock Summary View  '!B373)</f>
        <v>0</v>
      </c>
      <c r="AD373" s="6">
        <f t="shared" si="65"/>
        <v>0</v>
      </c>
      <c r="AE373" s="7">
        <f t="shared" si="66"/>
        <v>0</v>
      </c>
      <c r="AF373" s="8">
        <f t="shared" si="67"/>
        <v>-0.68333333333333335</v>
      </c>
      <c r="AG373" s="112"/>
    </row>
    <row r="374" spans="2:33" s="113" customFormat="1" ht="61.15">
      <c r="B374" s="117" t="s">
        <v>53</v>
      </c>
      <c r="C374" s="111" t="s">
        <v>347</v>
      </c>
      <c r="D374" s="11">
        <f>SUMIFS('XBS '!T:T,'XBS '!C:C,' General Stock Summary View  '!C374,'XBS '!L:L,' General Stock Summary View  '!B374)</f>
        <v>5.3666666666666663</v>
      </c>
      <c r="E374" s="2">
        <f>SUMIFS('Blocked for Processing'!P:P,'Blocked for Processing'!I:I,' General Stock Summary View  '!B374,'Blocked for Processing'!C:C,' General Stock Summary View  '!C374)</f>
        <v>0</v>
      </c>
      <c r="F374" s="122">
        <f t="shared" si="56"/>
        <v>5.3666666666666663</v>
      </c>
      <c r="G374" s="148">
        <f>SUMIFS('XBS '!T:T,'XBS '!H:H,' General Stock Summary View  '!$G$2,'XBS '!L:L,' General Stock Summary View  '!B374,'XBS '!C:C,' General Stock Summary View  '!C374)</f>
        <v>0</v>
      </c>
      <c r="H374" s="3">
        <f>SUMIFS('PowerApp_Physical count'!H:H,'PowerApp_Physical count'!B:B,' General Stock Summary View  '!$G$2,'PowerApp_Physical count'!C:C,' General Stock Summary View  '!C374,'PowerApp_Physical count'!A:A,' General Stock Summary View  '!B374)</f>
        <v>0</v>
      </c>
      <c r="I374" s="154">
        <f t="shared" si="68"/>
        <v>0</v>
      </c>
      <c r="J374" s="11">
        <f>SUMIFS('XBS '!T:T,'XBS '!H:H,' General Stock Summary View  '!$J$2,'XBS '!L:L,' General Stock Summary View  '!B374,'XBS '!C:C,' General Stock Summary View  '!C374)</f>
        <v>0</v>
      </c>
      <c r="K374" s="157">
        <f>SUMIFS('PowerApp_Physical count'!H:H,'PowerApp_Physical count'!B:B,' General Stock Summary View  '!$J$2,'PowerApp_Physical count'!C:C,' General Stock Summary View  '!C374,'PowerApp_Physical count'!A:A,' General Stock Summary View  '!B374)</f>
        <v>0</v>
      </c>
      <c r="L374" s="127">
        <f t="shared" si="57"/>
        <v>0</v>
      </c>
      <c r="M374" s="126">
        <f t="shared" si="58"/>
        <v>0</v>
      </c>
      <c r="N374" s="11">
        <f t="shared" si="59"/>
        <v>0</v>
      </c>
      <c r="O374" s="144">
        <f t="shared" si="60"/>
        <v>0</v>
      </c>
      <c r="P374" s="2">
        <f>SUMIFS('XBS '!T:T,'XBS '!H:H,' General Stock Summary View  '!$P$2,'XBS '!L:L,' General Stock Summary View  '!B374,'XBS '!C:C,' General Stock Summary View  '!C374)</f>
        <v>0</v>
      </c>
      <c r="Q374" s="3">
        <f>SUMIFS('PowerApp_Physical count'!H:H,'PowerApp_Physical count'!B:B,' General Stock Summary View  '!$P$2,'PowerApp_Physical count'!C:C,' General Stock Summary View  '!C374,'PowerApp_Physical count'!A:A,' General Stock Summary View  '!B374)</f>
        <v>0</v>
      </c>
      <c r="R374" s="4">
        <f t="shared" si="61"/>
        <v>0</v>
      </c>
      <c r="S374" s="5">
        <f>SUMIFS('XBS '!T:T,'XBS '!L:L,' General Stock Summary View  '!B374,'XBS '!H:H,' General Stock Summary View  '!$S$2,'XBS '!C:C,' General Stock Summary View  '!C374)</f>
        <v>5.3666666666666663</v>
      </c>
      <c r="T374" s="3">
        <f>SUMIFS('PowerApp_Physical count'!H:H,'PowerApp_Physical count'!B:B,' General Stock Summary View  '!$S$2,'PowerApp_Physical count'!C:C,' General Stock Summary View  '!C374,'PowerApp_Physical count'!A:A,' General Stock Summary View  '!B374)</f>
        <v>0</v>
      </c>
      <c r="U374" s="4">
        <f t="shared" si="62"/>
        <v>-5.3666666666666663</v>
      </c>
      <c r="V374" s="2">
        <f>SUMIFS('XBS '!T:T,'XBS '!H:H,' General Stock Summary View  '!$V$2,'XBS '!B:B,' General Stock Summary View  '!C374,'XBS '!L:L,' General Stock Summary View  '!B374)</f>
        <v>0</v>
      </c>
      <c r="W374" s="3">
        <f>SUMIFS('PowerApp_Physical count'!H:H,'PowerApp_Physical count'!B:B,' General Stock Summary View  '!$V$2,'PowerApp_Physical count'!C:C,' General Stock Summary View  '!C374,'PowerApp_Physical count'!A:A,' General Stock Summary View  '!B374)</f>
        <v>0</v>
      </c>
      <c r="X374" s="4">
        <f t="shared" si="63"/>
        <v>0</v>
      </c>
      <c r="Y374" s="5">
        <f>SUMIFS('XBS '!T:T,'XBS '!H:H,' General Stock Summary View  '!$Y$2,'XBS '!B:B,' General Stock Summary View  '!C374,'XBS '!L:L,' General Stock Summary View  '!B374)</f>
        <v>0</v>
      </c>
      <c r="Z374" s="3">
        <f>SUMIFS('PowerApp_Physical count'!H:H,'PowerApp_Physical count'!B:B,' General Stock Summary View  '!$Y$2,'PowerApp_Physical count'!C:C,' General Stock Summary View  '!C374,'PowerApp_Physical count'!A:A,' General Stock Summary View  '!B374)</f>
        <v>0</v>
      </c>
      <c r="AA374" s="4">
        <f t="shared" si="64"/>
        <v>0</v>
      </c>
      <c r="AB374" s="5">
        <f>SUMIFS('XBS '!T:T,'XBS '!H:H,' General Stock Summary View  '!$AB$2,'XBS '!B:B,' General Stock Summary View  '!C374,'XBS '!L:L,' General Stock Summary View  '!B374)</f>
        <v>0</v>
      </c>
      <c r="AC374" s="3">
        <f>SUMIFS('PowerApp_Physical count'!H:H,'PowerApp_Physical count'!B:B,' General Stock Summary View  '!$AB$2,'PowerApp_Physical count'!C:C,' General Stock Summary View  '!C374,'PowerApp_Physical count'!A:A,' General Stock Summary View  '!B374)</f>
        <v>0</v>
      </c>
      <c r="AD374" s="6">
        <f t="shared" si="65"/>
        <v>0</v>
      </c>
      <c r="AE374" s="7">
        <f t="shared" si="66"/>
        <v>0</v>
      </c>
      <c r="AF374" s="8">
        <f t="shared" si="67"/>
        <v>-5.3666666666666663</v>
      </c>
      <c r="AG374" s="112"/>
    </row>
    <row r="375" spans="2:33" s="113" customFormat="1" ht="61.15">
      <c r="B375" s="117" t="s">
        <v>366</v>
      </c>
      <c r="C375" s="111" t="s">
        <v>347</v>
      </c>
      <c r="D375" s="11">
        <f>SUMIFS('XBS '!T:T,'XBS '!C:C,' General Stock Summary View  '!C375,'XBS '!L:L,' General Stock Summary View  '!B375)</f>
        <v>8.6</v>
      </c>
      <c r="E375" s="2">
        <f>SUMIFS('Blocked for Processing'!P:P,'Blocked for Processing'!I:I,' General Stock Summary View  '!B375,'Blocked for Processing'!C:C,' General Stock Summary View  '!C375)</f>
        <v>0</v>
      </c>
      <c r="F375" s="122">
        <f t="shared" si="56"/>
        <v>8.6</v>
      </c>
      <c r="G375" s="148">
        <f>SUMIFS('XBS '!T:T,'XBS '!H:H,' General Stock Summary View  '!$G$2,'XBS '!L:L,' General Stock Summary View  '!B375,'XBS '!C:C,' General Stock Summary View  '!C375)</f>
        <v>0</v>
      </c>
      <c r="H375" s="3">
        <f>SUMIFS('PowerApp_Physical count'!H:H,'PowerApp_Physical count'!B:B,' General Stock Summary View  '!$G$2,'PowerApp_Physical count'!C:C,' General Stock Summary View  '!C375,'PowerApp_Physical count'!A:A,' General Stock Summary View  '!B375)</f>
        <v>0</v>
      </c>
      <c r="I375" s="154">
        <f t="shared" si="68"/>
        <v>0</v>
      </c>
      <c r="J375" s="11">
        <f>SUMIFS('XBS '!T:T,'XBS '!H:H,' General Stock Summary View  '!$J$2,'XBS '!L:L,' General Stock Summary View  '!B375,'XBS '!C:C,' General Stock Summary View  '!C375)</f>
        <v>0</v>
      </c>
      <c r="K375" s="157">
        <f>SUMIFS('PowerApp_Physical count'!H:H,'PowerApp_Physical count'!B:B,' General Stock Summary View  '!$J$2,'PowerApp_Physical count'!C:C,' General Stock Summary View  '!C375,'PowerApp_Physical count'!A:A,' General Stock Summary View  '!B375)</f>
        <v>0</v>
      </c>
      <c r="L375" s="127">
        <f t="shared" si="57"/>
        <v>0</v>
      </c>
      <c r="M375" s="126">
        <f t="shared" si="58"/>
        <v>0</v>
      </c>
      <c r="N375" s="11">
        <f t="shared" si="59"/>
        <v>0</v>
      </c>
      <c r="O375" s="144">
        <f t="shared" si="60"/>
        <v>0</v>
      </c>
      <c r="P375" s="2">
        <f>SUMIFS('XBS '!T:T,'XBS '!H:H,' General Stock Summary View  '!$P$2,'XBS '!L:L,' General Stock Summary View  '!B375,'XBS '!C:C,' General Stock Summary View  '!C375)</f>
        <v>8.6</v>
      </c>
      <c r="Q375" s="3">
        <f>SUMIFS('PowerApp_Physical count'!H:H,'PowerApp_Physical count'!B:B,' General Stock Summary View  '!$P$2,'PowerApp_Physical count'!C:C,' General Stock Summary View  '!C375,'PowerApp_Physical count'!A:A,' General Stock Summary View  '!B375)</f>
        <v>0</v>
      </c>
      <c r="R375" s="4">
        <f t="shared" si="61"/>
        <v>-8.6</v>
      </c>
      <c r="S375" s="5">
        <f>SUMIFS('XBS '!T:T,'XBS '!L:L,' General Stock Summary View  '!B375,'XBS '!H:H,' General Stock Summary View  '!$S$2,'XBS '!C:C,' General Stock Summary View  '!C375)</f>
        <v>0</v>
      </c>
      <c r="T375" s="3">
        <f>SUMIFS('PowerApp_Physical count'!H:H,'PowerApp_Physical count'!B:B,' General Stock Summary View  '!$S$2,'PowerApp_Physical count'!C:C,' General Stock Summary View  '!C375,'PowerApp_Physical count'!A:A,' General Stock Summary View  '!B375)</f>
        <v>0</v>
      </c>
      <c r="U375" s="4">
        <f t="shared" si="62"/>
        <v>0</v>
      </c>
      <c r="V375" s="2">
        <f>SUMIFS('XBS '!T:T,'XBS '!H:H,' General Stock Summary View  '!$V$2,'XBS '!B:B,' General Stock Summary View  '!C375,'XBS '!L:L,' General Stock Summary View  '!B375)</f>
        <v>0</v>
      </c>
      <c r="W375" s="3">
        <f>SUMIFS('PowerApp_Physical count'!H:H,'PowerApp_Physical count'!B:B,' General Stock Summary View  '!$V$2,'PowerApp_Physical count'!C:C,' General Stock Summary View  '!C375,'PowerApp_Physical count'!A:A,' General Stock Summary View  '!B375)</f>
        <v>0</v>
      </c>
      <c r="X375" s="4">
        <f t="shared" si="63"/>
        <v>0</v>
      </c>
      <c r="Y375" s="5">
        <f>SUMIFS('XBS '!T:T,'XBS '!H:H,' General Stock Summary View  '!$Y$2,'XBS '!B:B,' General Stock Summary View  '!C375,'XBS '!L:L,' General Stock Summary View  '!B375)</f>
        <v>0</v>
      </c>
      <c r="Z375" s="3">
        <f>SUMIFS('PowerApp_Physical count'!H:H,'PowerApp_Physical count'!B:B,' General Stock Summary View  '!$Y$2,'PowerApp_Physical count'!C:C,' General Stock Summary View  '!C375,'PowerApp_Physical count'!A:A,' General Stock Summary View  '!B375)</f>
        <v>0</v>
      </c>
      <c r="AA375" s="4">
        <f t="shared" si="64"/>
        <v>0</v>
      </c>
      <c r="AB375" s="5">
        <f>SUMIFS('XBS '!T:T,'XBS '!H:H,' General Stock Summary View  '!$AB$2,'XBS '!B:B,' General Stock Summary View  '!C375,'XBS '!L:L,' General Stock Summary View  '!B375)</f>
        <v>0</v>
      </c>
      <c r="AC375" s="3">
        <f>SUMIFS('PowerApp_Physical count'!H:H,'PowerApp_Physical count'!B:B,' General Stock Summary View  '!$AB$2,'PowerApp_Physical count'!C:C,' General Stock Summary View  '!C375,'PowerApp_Physical count'!A:A,' General Stock Summary View  '!B375)</f>
        <v>0</v>
      </c>
      <c r="AD375" s="6">
        <f t="shared" si="65"/>
        <v>0</v>
      </c>
      <c r="AE375" s="7">
        <f t="shared" si="66"/>
        <v>0</v>
      </c>
      <c r="AF375" s="8">
        <f t="shared" si="67"/>
        <v>-8.6</v>
      </c>
      <c r="AG375" s="112"/>
    </row>
    <row r="376" spans="2:33" s="113" customFormat="1" ht="61.15">
      <c r="B376" s="117" t="s">
        <v>367</v>
      </c>
      <c r="C376" s="111" t="s">
        <v>347</v>
      </c>
      <c r="D376" s="11">
        <f>SUMIFS('XBS '!T:T,'XBS '!C:C,' General Stock Summary View  '!C376,'XBS '!L:L,' General Stock Summary View  '!B376)</f>
        <v>5.95</v>
      </c>
      <c r="E376" s="2">
        <f>SUMIFS('Blocked for Processing'!P:P,'Blocked for Processing'!I:I,' General Stock Summary View  '!B376,'Blocked for Processing'!C:C,' General Stock Summary View  '!C376)</f>
        <v>0</v>
      </c>
      <c r="F376" s="122">
        <f t="shared" si="56"/>
        <v>5.95</v>
      </c>
      <c r="G376" s="148">
        <f>SUMIFS('XBS '!T:T,'XBS '!H:H,' General Stock Summary View  '!$G$2,'XBS '!L:L,' General Stock Summary View  '!B376,'XBS '!C:C,' General Stock Summary View  '!C376)</f>
        <v>0</v>
      </c>
      <c r="H376" s="3">
        <f>SUMIFS('PowerApp_Physical count'!H:H,'PowerApp_Physical count'!B:B,' General Stock Summary View  '!$G$2,'PowerApp_Physical count'!C:C,' General Stock Summary View  '!C376,'PowerApp_Physical count'!A:A,' General Stock Summary View  '!B376)</f>
        <v>0</v>
      </c>
      <c r="I376" s="154">
        <f t="shared" si="68"/>
        <v>0</v>
      </c>
      <c r="J376" s="11">
        <f>SUMIFS('XBS '!T:T,'XBS '!H:H,' General Stock Summary View  '!$J$2,'XBS '!L:L,' General Stock Summary View  '!B376,'XBS '!C:C,' General Stock Summary View  '!C376)</f>
        <v>0</v>
      </c>
      <c r="K376" s="157">
        <f>SUMIFS('PowerApp_Physical count'!H:H,'PowerApp_Physical count'!B:B,' General Stock Summary View  '!$J$2,'PowerApp_Physical count'!C:C,' General Stock Summary View  '!C376,'PowerApp_Physical count'!A:A,' General Stock Summary View  '!B376)</f>
        <v>0</v>
      </c>
      <c r="L376" s="127">
        <f t="shared" si="57"/>
        <v>0</v>
      </c>
      <c r="M376" s="126">
        <f t="shared" si="58"/>
        <v>0</v>
      </c>
      <c r="N376" s="11">
        <f t="shared" si="59"/>
        <v>0</v>
      </c>
      <c r="O376" s="144">
        <f t="shared" si="60"/>
        <v>0</v>
      </c>
      <c r="P376" s="2">
        <f>SUMIFS('XBS '!T:T,'XBS '!H:H,' General Stock Summary View  '!$P$2,'XBS '!L:L,' General Stock Summary View  '!B376,'XBS '!C:C,' General Stock Summary View  '!C376)</f>
        <v>5.95</v>
      </c>
      <c r="Q376" s="3">
        <f>SUMIFS('PowerApp_Physical count'!H:H,'PowerApp_Physical count'!B:B,' General Stock Summary View  '!$P$2,'PowerApp_Physical count'!C:C,' General Stock Summary View  '!C376,'PowerApp_Physical count'!A:A,' General Stock Summary View  '!B376)</f>
        <v>0</v>
      </c>
      <c r="R376" s="4">
        <f t="shared" si="61"/>
        <v>-5.95</v>
      </c>
      <c r="S376" s="5">
        <f>SUMIFS('XBS '!T:T,'XBS '!L:L,' General Stock Summary View  '!B376,'XBS '!H:H,' General Stock Summary View  '!$S$2,'XBS '!C:C,' General Stock Summary View  '!C376)</f>
        <v>0</v>
      </c>
      <c r="T376" s="3">
        <f>SUMIFS('PowerApp_Physical count'!H:H,'PowerApp_Physical count'!B:B,' General Stock Summary View  '!$S$2,'PowerApp_Physical count'!C:C,' General Stock Summary View  '!C376,'PowerApp_Physical count'!A:A,' General Stock Summary View  '!B376)</f>
        <v>0</v>
      </c>
      <c r="U376" s="4">
        <f t="shared" si="62"/>
        <v>0</v>
      </c>
      <c r="V376" s="2">
        <f>SUMIFS('XBS '!T:T,'XBS '!H:H,' General Stock Summary View  '!$V$2,'XBS '!B:B,' General Stock Summary View  '!C376,'XBS '!L:L,' General Stock Summary View  '!B376)</f>
        <v>0</v>
      </c>
      <c r="W376" s="3">
        <f>SUMIFS('PowerApp_Physical count'!H:H,'PowerApp_Physical count'!B:B,' General Stock Summary View  '!$V$2,'PowerApp_Physical count'!C:C,' General Stock Summary View  '!C376,'PowerApp_Physical count'!A:A,' General Stock Summary View  '!B376)</f>
        <v>0</v>
      </c>
      <c r="X376" s="4">
        <f t="shared" si="63"/>
        <v>0</v>
      </c>
      <c r="Y376" s="5">
        <f>SUMIFS('XBS '!T:T,'XBS '!H:H,' General Stock Summary View  '!$Y$2,'XBS '!B:B,' General Stock Summary View  '!C376,'XBS '!L:L,' General Stock Summary View  '!B376)</f>
        <v>0</v>
      </c>
      <c r="Z376" s="3">
        <f>SUMIFS('PowerApp_Physical count'!H:H,'PowerApp_Physical count'!B:B,' General Stock Summary View  '!$Y$2,'PowerApp_Physical count'!C:C,' General Stock Summary View  '!C376,'PowerApp_Physical count'!A:A,' General Stock Summary View  '!B376)</f>
        <v>0</v>
      </c>
      <c r="AA376" s="4">
        <f t="shared" si="64"/>
        <v>0</v>
      </c>
      <c r="AB376" s="5">
        <f>SUMIFS('XBS '!T:T,'XBS '!H:H,' General Stock Summary View  '!$AB$2,'XBS '!B:B,' General Stock Summary View  '!C376,'XBS '!L:L,' General Stock Summary View  '!B376)</f>
        <v>0</v>
      </c>
      <c r="AC376" s="3">
        <f>SUMIFS('PowerApp_Physical count'!H:H,'PowerApp_Physical count'!B:B,' General Stock Summary View  '!$AB$2,'PowerApp_Physical count'!C:C,' General Stock Summary View  '!C376,'PowerApp_Physical count'!A:A,' General Stock Summary View  '!B376)</f>
        <v>0</v>
      </c>
      <c r="AD376" s="6">
        <f t="shared" si="65"/>
        <v>0</v>
      </c>
      <c r="AE376" s="7">
        <f t="shared" si="66"/>
        <v>0</v>
      </c>
      <c r="AF376" s="8">
        <f t="shared" si="67"/>
        <v>-5.95</v>
      </c>
      <c r="AG376" s="112"/>
    </row>
    <row r="377" spans="2:33" s="113" customFormat="1" ht="61.15">
      <c r="B377" s="117" t="s">
        <v>368</v>
      </c>
      <c r="C377" s="111" t="s">
        <v>347</v>
      </c>
      <c r="D377" s="11">
        <f>SUMIFS('XBS '!T:T,'XBS '!C:C,' General Stock Summary View  '!C377,'XBS '!L:L,' General Stock Summary View  '!B377)</f>
        <v>11.7</v>
      </c>
      <c r="E377" s="2">
        <f>SUMIFS('Blocked for Processing'!P:P,'Blocked for Processing'!I:I,' General Stock Summary View  '!B377,'Blocked for Processing'!C:C,' General Stock Summary View  '!C377)</f>
        <v>0</v>
      </c>
      <c r="F377" s="122">
        <f t="shared" si="56"/>
        <v>11.7</v>
      </c>
      <c r="G377" s="148">
        <f>SUMIFS('XBS '!T:T,'XBS '!H:H,' General Stock Summary View  '!$G$2,'XBS '!L:L,' General Stock Summary View  '!B377,'XBS '!C:C,' General Stock Summary View  '!C377)</f>
        <v>0</v>
      </c>
      <c r="H377" s="3">
        <f>SUMIFS('PowerApp_Physical count'!H:H,'PowerApp_Physical count'!B:B,' General Stock Summary View  '!$G$2,'PowerApp_Physical count'!C:C,' General Stock Summary View  '!C377,'PowerApp_Physical count'!A:A,' General Stock Summary View  '!B377)</f>
        <v>0</v>
      </c>
      <c r="I377" s="154">
        <f t="shared" si="68"/>
        <v>0</v>
      </c>
      <c r="J377" s="11">
        <f>SUMIFS('XBS '!T:T,'XBS '!H:H,' General Stock Summary View  '!$J$2,'XBS '!L:L,' General Stock Summary View  '!B377,'XBS '!C:C,' General Stock Summary View  '!C377)</f>
        <v>0</v>
      </c>
      <c r="K377" s="157">
        <f>SUMIFS('PowerApp_Physical count'!H:H,'PowerApp_Physical count'!B:B,' General Stock Summary View  '!$J$2,'PowerApp_Physical count'!C:C,' General Stock Summary View  '!C377,'PowerApp_Physical count'!A:A,' General Stock Summary View  '!B377)</f>
        <v>0</v>
      </c>
      <c r="L377" s="127">
        <f t="shared" si="57"/>
        <v>0</v>
      </c>
      <c r="M377" s="126">
        <f t="shared" si="58"/>
        <v>0</v>
      </c>
      <c r="N377" s="11">
        <f t="shared" si="59"/>
        <v>0</v>
      </c>
      <c r="O377" s="144">
        <f t="shared" si="60"/>
        <v>0</v>
      </c>
      <c r="P377" s="2">
        <f>SUMIFS('XBS '!T:T,'XBS '!H:H,' General Stock Summary View  '!$P$2,'XBS '!L:L,' General Stock Summary View  '!B377,'XBS '!C:C,' General Stock Summary View  '!C377)</f>
        <v>11.7</v>
      </c>
      <c r="Q377" s="3">
        <f>SUMIFS('PowerApp_Physical count'!H:H,'PowerApp_Physical count'!B:B,' General Stock Summary View  '!$P$2,'PowerApp_Physical count'!C:C,' General Stock Summary View  '!C377,'PowerApp_Physical count'!A:A,' General Stock Summary View  '!B377)</f>
        <v>0</v>
      </c>
      <c r="R377" s="4">
        <f t="shared" si="61"/>
        <v>-11.7</v>
      </c>
      <c r="S377" s="5">
        <f>SUMIFS('XBS '!T:T,'XBS '!L:L,' General Stock Summary View  '!B377,'XBS '!H:H,' General Stock Summary View  '!$S$2,'XBS '!C:C,' General Stock Summary View  '!C377)</f>
        <v>0</v>
      </c>
      <c r="T377" s="3">
        <f>SUMIFS('PowerApp_Physical count'!H:H,'PowerApp_Physical count'!B:B,' General Stock Summary View  '!$S$2,'PowerApp_Physical count'!C:C,' General Stock Summary View  '!C377,'PowerApp_Physical count'!A:A,' General Stock Summary View  '!B377)</f>
        <v>0</v>
      </c>
      <c r="U377" s="4">
        <f t="shared" si="62"/>
        <v>0</v>
      </c>
      <c r="V377" s="2">
        <f>SUMIFS('XBS '!T:T,'XBS '!H:H,' General Stock Summary View  '!$V$2,'XBS '!B:B,' General Stock Summary View  '!C377,'XBS '!L:L,' General Stock Summary View  '!B377)</f>
        <v>0</v>
      </c>
      <c r="W377" s="3">
        <f>SUMIFS('PowerApp_Physical count'!H:H,'PowerApp_Physical count'!B:B,' General Stock Summary View  '!$V$2,'PowerApp_Physical count'!C:C,' General Stock Summary View  '!C377,'PowerApp_Physical count'!A:A,' General Stock Summary View  '!B377)</f>
        <v>0</v>
      </c>
      <c r="X377" s="4">
        <f t="shared" si="63"/>
        <v>0</v>
      </c>
      <c r="Y377" s="5">
        <f>SUMIFS('XBS '!T:T,'XBS '!H:H,' General Stock Summary View  '!$Y$2,'XBS '!B:B,' General Stock Summary View  '!C377,'XBS '!L:L,' General Stock Summary View  '!B377)</f>
        <v>0</v>
      </c>
      <c r="Z377" s="3">
        <f>SUMIFS('PowerApp_Physical count'!H:H,'PowerApp_Physical count'!B:B,' General Stock Summary View  '!$Y$2,'PowerApp_Physical count'!C:C,' General Stock Summary View  '!C377,'PowerApp_Physical count'!A:A,' General Stock Summary View  '!B377)</f>
        <v>0</v>
      </c>
      <c r="AA377" s="4">
        <f t="shared" si="64"/>
        <v>0</v>
      </c>
      <c r="AB377" s="5">
        <f>SUMIFS('XBS '!T:T,'XBS '!H:H,' General Stock Summary View  '!$AB$2,'XBS '!B:B,' General Stock Summary View  '!C377,'XBS '!L:L,' General Stock Summary View  '!B377)</f>
        <v>0</v>
      </c>
      <c r="AC377" s="3">
        <f>SUMIFS('PowerApp_Physical count'!H:H,'PowerApp_Physical count'!B:B,' General Stock Summary View  '!$AB$2,'PowerApp_Physical count'!C:C,' General Stock Summary View  '!C377,'PowerApp_Physical count'!A:A,' General Stock Summary View  '!B377)</f>
        <v>0</v>
      </c>
      <c r="AD377" s="6">
        <f t="shared" si="65"/>
        <v>0</v>
      </c>
      <c r="AE377" s="7">
        <f t="shared" si="66"/>
        <v>0</v>
      </c>
      <c r="AF377" s="8">
        <f t="shared" si="67"/>
        <v>-11.7</v>
      </c>
      <c r="AG377" s="112"/>
    </row>
    <row r="378" spans="2:33" s="113" customFormat="1" ht="61.15">
      <c r="B378" s="117" t="s">
        <v>369</v>
      </c>
      <c r="C378" s="111" t="s">
        <v>347</v>
      </c>
      <c r="D378" s="11">
        <f>SUMIFS('XBS '!T:T,'XBS '!C:C,' General Stock Summary View  '!C378,'XBS '!L:L,' General Stock Summary View  '!B378)</f>
        <v>7.0666666666666664</v>
      </c>
      <c r="E378" s="2">
        <f>SUMIFS('Blocked for Processing'!P:P,'Blocked for Processing'!I:I,' General Stock Summary View  '!B378,'Blocked for Processing'!C:C,' General Stock Summary View  '!C378)</f>
        <v>0</v>
      </c>
      <c r="F378" s="122">
        <f t="shared" si="56"/>
        <v>7.0666666666666664</v>
      </c>
      <c r="G378" s="148">
        <f>SUMIFS('XBS '!T:T,'XBS '!H:H,' General Stock Summary View  '!$G$2,'XBS '!L:L,' General Stock Summary View  '!B378,'XBS '!C:C,' General Stock Summary View  '!C378)</f>
        <v>0</v>
      </c>
      <c r="H378" s="3">
        <f>SUMIFS('PowerApp_Physical count'!H:H,'PowerApp_Physical count'!B:B,' General Stock Summary View  '!$G$2,'PowerApp_Physical count'!C:C,' General Stock Summary View  '!C378,'PowerApp_Physical count'!A:A,' General Stock Summary View  '!B378)</f>
        <v>0</v>
      </c>
      <c r="I378" s="154">
        <f t="shared" si="68"/>
        <v>0</v>
      </c>
      <c r="J378" s="11">
        <f>SUMIFS('XBS '!T:T,'XBS '!H:H,' General Stock Summary View  '!$J$2,'XBS '!L:L,' General Stock Summary View  '!B378,'XBS '!C:C,' General Stock Summary View  '!C378)</f>
        <v>0</v>
      </c>
      <c r="K378" s="157">
        <f>SUMIFS('PowerApp_Physical count'!H:H,'PowerApp_Physical count'!B:B,' General Stock Summary View  '!$J$2,'PowerApp_Physical count'!C:C,' General Stock Summary View  '!C378,'PowerApp_Physical count'!A:A,' General Stock Summary View  '!B378)</f>
        <v>0</v>
      </c>
      <c r="L378" s="127">
        <f t="shared" si="57"/>
        <v>0</v>
      </c>
      <c r="M378" s="126">
        <f t="shared" si="58"/>
        <v>0</v>
      </c>
      <c r="N378" s="11">
        <f t="shared" si="59"/>
        <v>0</v>
      </c>
      <c r="O378" s="144">
        <f t="shared" si="60"/>
        <v>0</v>
      </c>
      <c r="P378" s="2">
        <f>SUMIFS('XBS '!T:T,'XBS '!H:H,' General Stock Summary View  '!$P$2,'XBS '!L:L,' General Stock Summary View  '!B378,'XBS '!C:C,' General Stock Summary View  '!C378)</f>
        <v>7.0666666666666664</v>
      </c>
      <c r="Q378" s="3">
        <f>SUMIFS('PowerApp_Physical count'!H:H,'PowerApp_Physical count'!B:B,' General Stock Summary View  '!$P$2,'PowerApp_Physical count'!C:C,' General Stock Summary View  '!C378,'PowerApp_Physical count'!A:A,' General Stock Summary View  '!B378)</f>
        <v>0</v>
      </c>
      <c r="R378" s="4">
        <f t="shared" si="61"/>
        <v>-7.0666666666666664</v>
      </c>
      <c r="S378" s="5">
        <f>SUMIFS('XBS '!T:T,'XBS '!L:L,' General Stock Summary View  '!B378,'XBS '!H:H,' General Stock Summary View  '!$S$2,'XBS '!C:C,' General Stock Summary View  '!C378)</f>
        <v>0</v>
      </c>
      <c r="T378" s="3">
        <f>SUMIFS('PowerApp_Physical count'!H:H,'PowerApp_Physical count'!B:B,' General Stock Summary View  '!$S$2,'PowerApp_Physical count'!C:C,' General Stock Summary View  '!C378,'PowerApp_Physical count'!A:A,' General Stock Summary View  '!B378)</f>
        <v>0</v>
      </c>
      <c r="U378" s="4">
        <f t="shared" si="62"/>
        <v>0</v>
      </c>
      <c r="V378" s="2">
        <f>SUMIFS('XBS '!T:T,'XBS '!H:H,' General Stock Summary View  '!$V$2,'XBS '!B:B,' General Stock Summary View  '!C378,'XBS '!L:L,' General Stock Summary View  '!B378)</f>
        <v>0</v>
      </c>
      <c r="W378" s="3">
        <f>SUMIFS('PowerApp_Physical count'!H:H,'PowerApp_Physical count'!B:B,' General Stock Summary View  '!$V$2,'PowerApp_Physical count'!C:C,' General Stock Summary View  '!C378,'PowerApp_Physical count'!A:A,' General Stock Summary View  '!B378)</f>
        <v>0</v>
      </c>
      <c r="X378" s="4">
        <f t="shared" si="63"/>
        <v>0</v>
      </c>
      <c r="Y378" s="5">
        <f>SUMIFS('XBS '!T:T,'XBS '!H:H,' General Stock Summary View  '!$Y$2,'XBS '!B:B,' General Stock Summary View  '!C378,'XBS '!L:L,' General Stock Summary View  '!B378)</f>
        <v>0</v>
      </c>
      <c r="Z378" s="3">
        <f>SUMIFS('PowerApp_Physical count'!H:H,'PowerApp_Physical count'!B:B,' General Stock Summary View  '!$Y$2,'PowerApp_Physical count'!C:C,' General Stock Summary View  '!C378,'PowerApp_Physical count'!A:A,' General Stock Summary View  '!B378)</f>
        <v>0</v>
      </c>
      <c r="AA378" s="4">
        <f t="shared" si="64"/>
        <v>0</v>
      </c>
      <c r="AB378" s="5">
        <f>SUMIFS('XBS '!T:T,'XBS '!H:H,' General Stock Summary View  '!$AB$2,'XBS '!B:B,' General Stock Summary View  '!C378,'XBS '!L:L,' General Stock Summary View  '!B378)</f>
        <v>0</v>
      </c>
      <c r="AC378" s="3">
        <f>SUMIFS('PowerApp_Physical count'!H:H,'PowerApp_Physical count'!B:B,' General Stock Summary View  '!$AB$2,'PowerApp_Physical count'!C:C,' General Stock Summary View  '!C378,'PowerApp_Physical count'!A:A,' General Stock Summary View  '!B378)</f>
        <v>0</v>
      </c>
      <c r="AD378" s="6">
        <f t="shared" si="65"/>
        <v>0</v>
      </c>
      <c r="AE378" s="7">
        <f t="shared" si="66"/>
        <v>0</v>
      </c>
      <c r="AF378" s="8">
        <f t="shared" si="67"/>
        <v>-7.0666666666666664</v>
      </c>
      <c r="AG378" s="112"/>
    </row>
    <row r="379" spans="2:33" s="113" customFormat="1" ht="61.15">
      <c r="B379" s="117" t="s">
        <v>370</v>
      </c>
      <c r="C379" s="111" t="s">
        <v>347</v>
      </c>
      <c r="D379" s="11">
        <f>SUMIFS('XBS '!T:T,'XBS '!C:C,' General Stock Summary View  '!C379,'XBS '!L:L,' General Stock Summary View  '!B379)</f>
        <v>2.7666666666666666</v>
      </c>
      <c r="E379" s="2">
        <f>SUMIFS('Blocked for Processing'!P:P,'Blocked for Processing'!I:I,' General Stock Summary View  '!B379,'Blocked for Processing'!C:C,' General Stock Summary View  '!C379)</f>
        <v>0</v>
      </c>
      <c r="F379" s="122">
        <f t="shared" si="56"/>
        <v>2.7666666666666666</v>
      </c>
      <c r="G379" s="148">
        <f>SUMIFS('XBS '!T:T,'XBS '!H:H,' General Stock Summary View  '!$G$2,'XBS '!L:L,' General Stock Summary View  '!B379,'XBS '!C:C,' General Stock Summary View  '!C379)</f>
        <v>0</v>
      </c>
      <c r="H379" s="3">
        <f>SUMIFS('PowerApp_Physical count'!H:H,'PowerApp_Physical count'!B:B,' General Stock Summary View  '!$G$2,'PowerApp_Physical count'!C:C,' General Stock Summary View  '!C379,'PowerApp_Physical count'!A:A,' General Stock Summary View  '!B379)</f>
        <v>0</v>
      </c>
      <c r="I379" s="154">
        <f t="shared" si="68"/>
        <v>0</v>
      </c>
      <c r="J379" s="11">
        <f>SUMIFS('XBS '!T:T,'XBS '!H:H,' General Stock Summary View  '!$J$2,'XBS '!L:L,' General Stock Summary View  '!B379,'XBS '!C:C,' General Stock Summary View  '!C379)</f>
        <v>0</v>
      </c>
      <c r="K379" s="157">
        <f>SUMIFS('PowerApp_Physical count'!H:H,'PowerApp_Physical count'!B:B,' General Stock Summary View  '!$J$2,'PowerApp_Physical count'!C:C,' General Stock Summary View  '!C379,'PowerApp_Physical count'!A:A,' General Stock Summary View  '!B379)</f>
        <v>0</v>
      </c>
      <c r="L379" s="127">
        <f t="shared" si="57"/>
        <v>0</v>
      </c>
      <c r="M379" s="126">
        <f t="shared" si="58"/>
        <v>0</v>
      </c>
      <c r="N379" s="11">
        <f t="shared" si="59"/>
        <v>0</v>
      </c>
      <c r="O379" s="144">
        <f t="shared" si="60"/>
        <v>0</v>
      </c>
      <c r="P379" s="2">
        <f>SUMIFS('XBS '!T:T,'XBS '!H:H,' General Stock Summary View  '!$P$2,'XBS '!L:L,' General Stock Summary View  '!B379,'XBS '!C:C,' General Stock Summary View  '!C379)</f>
        <v>2.7666666666666666</v>
      </c>
      <c r="Q379" s="3">
        <f>SUMIFS('PowerApp_Physical count'!H:H,'PowerApp_Physical count'!B:B,' General Stock Summary View  '!$P$2,'PowerApp_Physical count'!C:C,' General Stock Summary View  '!C379,'PowerApp_Physical count'!A:A,' General Stock Summary View  '!B379)</f>
        <v>0</v>
      </c>
      <c r="R379" s="4">
        <f t="shared" si="61"/>
        <v>-2.7666666666666666</v>
      </c>
      <c r="S379" s="5">
        <f>SUMIFS('XBS '!T:T,'XBS '!L:L,' General Stock Summary View  '!B379,'XBS '!H:H,' General Stock Summary View  '!$S$2,'XBS '!C:C,' General Stock Summary View  '!C379)</f>
        <v>0</v>
      </c>
      <c r="T379" s="3">
        <f>SUMIFS('PowerApp_Physical count'!H:H,'PowerApp_Physical count'!B:B,' General Stock Summary View  '!$S$2,'PowerApp_Physical count'!C:C,' General Stock Summary View  '!C379,'PowerApp_Physical count'!A:A,' General Stock Summary View  '!B379)</f>
        <v>0</v>
      </c>
      <c r="U379" s="4">
        <f t="shared" si="62"/>
        <v>0</v>
      </c>
      <c r="V379" s="2">
        <f>SUMIFS('XBS '!T:T,'XBS '!H:H,' General Stock Summary View  '!$V$2,'XBS '!B:B,' General Stock Summary View  '!C379,'XBS '!L:L,' General Stock Summary View  '!B379)</f>
        <v>0</v>
      </c>
      <c r="W379" s="3">
        <f>SUMIFS('PowerApp_Physical count'!H:H,'PowerApp_Physical count'!B:B,' General Stock Summary View  '!$V$2,'PowerApp_Physical count'!C:C,' General Stock Summary View  '!C379,'PowerApp_Physical count'!A:A,' General Stock Summary View  '!B379)</f>
        <v>0</v>
      </c>
      <c r="X379" s="4">
        <f t="shared" si="63"/>
        <v>0</v>
      </c>
      <c r="Y379" s="5">
        <f>SUMIFS('XBS '!T:T,'XBS '!H:H,' General Stock Summary View  '!$Y$2,'XBS '!B:B,' General Stock Summary View  '!C379,'XBS '!L:L,' General Stock Summary View  '!B379)</f>
        <v>0</v>
      </c>
      <c r="Z379" s="3">
        <f>SUMIFS('PowerApp_Physical count'!H:H,'PowerApp_Physical count'!B:B,' General Stock Summary View  '!$Y$2,'PowerApp_Physical count'!C:C,' General Stock Summary View  '!C379,'PowerApp_Physical count'!A:A,' General Stock Summary View  '!B379)</f>
        <v>0</v>
      </c>
      <c r="AA379" s="4">
        <f t="shared" si="64"/>
        <v>0</v>
      </c>
      <c r="AB379" s="5">
        <f>SUMIFS('XBS '!T:T,'XBS '!H:H,' General Stock Summary View  '!$AB$2,'XBS '!B:B,' General Stock Summary View  '!C379,'XBS '!L:L,' General Stock Summary View  '!B379)</f>
        <v>0</v>
      </c>
      <c r="AC379" s="3">
        <f>SUMIFS('PowerApp_Physical count'!H:H,'PowerApp_Physical count'!B:B,' General Stock Summary View  '!$AB$2,'PowerApp_Physical count'!C:C,' General Stock Summary View  '!C379,'PowerApp_Physical count'!A:A,' General Stock Summary View  '!B379)</f>
        <v>0</v>
      </c>
      <c r="AD379" s="6">
        <f t="shared" si="65"/>
        <v>0</v>
      </c>
      <c r="AE379" s="7">
        <f t="shared" si="66"/>
        <v>0</v>
      </c>
      <c r="AF379" s="8">
        <f t="shared" si="67"/>
        <v>-2.7666666666666666</v>
      </c>
      <c r="AG379" s="112"/>
    </row>
    <row r="380" spans="2:33" s="113" customFormat="1" ht="61.15">
      <c r="B380" s="117" t="s">
        <v>371</v>
      </c>
      <c r="C380" s="111" t="s">
        <v>347</v>
      </c>
      <c r="D380" s="11">
        <f>SUMIFS('XBS '!T:T,'XBS '!C:C,' General Stock Summary View  '!C380,'XBS '!L:L,' General Stock Summary View  '!B380)</f>
        <v>5.6333333333333337</v>
      </c>
      <c r="E380" s="2">
        <f>SUMIFS('Blocked for Processing'!P:P,'Blocked for Processing'!I:I,' General Stock Summary View  '!B380,'Blocked for Processing'!C:C,' General Stock Summary View  '!C380)</f>
        <v>0</v>
      </c>
      <c r="F380" s="122">
        <f t="shared" si="56"/>
        <v>5.6333333333333337</v>
      </c>
      <c r="G380" s="148">
        <f>SUMIFS('XBS '!T:T,'XBS '!H:H,' General Stock Summary View  '!$G$2,'XBS '!L:L,' General Stock Summary View  '!B380,'XBS '!C:C,' General Stock Summary View  '!C380)</f>
        <v>0</v>
      </c>
      <c r="H380" s="3">
        <f>SUMIFS('PowerApp_Physical count'!H:H,'PowerApp_Physical count'!B:B,' General Stock Summary View  '!$G$2,'PowerApp_Physical count'!C:C,' General Stock Summary View  '!C380,'PowerApp_Physical count'!A:A,' General Stock Summary View  '!B380)</f>
        <v>0</v>
      </c>
      <c r="I380" s="154">
        <f t="shared" si="68"/>
        <v>0</v>
      </c>
      <c r="J380" s="11">
        <f>SUMIFS('XBS '!T:T,'XBS '!H:H,' General Stock Summary View  '!$J$2,'XBS '!L:L,' General Stock Summary View  '!B380,'XBS '!C:C,' General Stock Summary View  '!C380)</f>
        <v>0</v>
      </c>
      <c r="K380" s="157">
        <f>SUMIFS('PowerApp_Physical count'!H:H,'PowerApp_Physical count'!B:B,' General Stock Summary View  '!$J$2,'PowerApp_Physical count'!C:C,' General Stock Summary View  '!C380,'PowerApp_Physical count'!A:A,' General Stock Summary View  '!B380)</f>
        <v>0</v>
      </c>
      <c r="L380" s="127">
        <f t="shared" si="57"/>
        <v>0</v>
      </c>
      <c r="M380" s="126">
        <f t="shared" si="58"/>
        <v>0</v>
      </c>
      <c r="N380" s="11">
        <f t="shared" si="59"/>
        <v>0</v>
      </c>
      <c r="O380" s="144">
        <f t="shared" si="60"/>
        <v>0</v>
      </c>
      <c r="P380" s="2">
        <f>SUMIFS('XBS '!T:T,'XBS '!H:H,' General Stock Summary View  '!$P$2,'XBS '!L:L,' General Stock Summary View  '!B380,'XBS '!C:C,' General Stock Summary View  '!C380)</f>
        <v>0</v>
      </c>
      <c r="Q380" s="3">
        <f>SUMIFS('PowerApp_Physical count'!H:H,'PowerApp_Physical count'!B:B,' General Stock Summary View  '!$P$2,'PowerApp_Physical count'!C:C,' General Stock Summary View  '!C380,'PowerApp_Physical count'!A:A,' General Stock Summary View  '!B380)</f>
        <v>0</v>
      </c>
      <c r="R380" s="4">
        <f t="shared" si="61"/>
        <v>0</v>
      </c>
      <c r="S380" s="5">
        <f>SUMIFS('XBS '!T:T,'XBS '!L:L,' General Stock Summary View  '!B380,'XBS '!H:H,' General Stock Summary View  '!$S$2,'XBS '!C:C,' General Stock Summary View  '!C380)</f>
        <v>0</v>
      </c>
      <c r="T380" s="3">
        <f>SUMIFS('PowerApp_Physical count'!H:H,'PowerApp_Physical count'!B:B,' General Stock Summary View  '!$S$2,'PowerApp_Physical count'!C:C,' General Stock Summary View  '!C380,'PowerApp_Physical count'!A:A,' General Stock Summary View  '!B380)</f>
        <v>0</v>
      </c>
      <c r="U380" s="4">
        <f t="shared" si="62"/>
        <v>0</v>
      </c>
      <c r="V380" s="2">
        <f>SUMIFS('XBS '!T:T,'XBS '!H:H,' General Stock Summary View  '!$V$2,'XBS '!B:B,' General Stock Summary View  '!C380,'XBS '!L:L,' General Stock Summary View  '!B380)</f>
        <v>0</v>
      </c>
      <c r="W380" s="3">
        <f>SUMIFS('PowerApp_Physical count'!H:H,'PowerApp_Physical count'!B:B,' General Stock Summary View  '!$V$2,'PowerApp_Physical count'!C:C,' General Stock Summary View  '!C380,'PowerApp_Physical count'!A:A,' General Stock Summary View  '!B380)</f>
        <v>0</v>
      </c>
      <c r="X380" s="4">
        <f t="shared" si="63"/>
        <v>0</v>
      </c>
      <c r="Y380" s="5">
        <f>SUMIFS('XBS '!T:T,'XBS '!H:H,' General Stock Summary View  '!$Y$2,'XBS '!B:B,' General Stock Summary View  '!C380,'XBS '!L:L,' General Stock Summary View  '!B380)</f>
        <v>0</v>
      </c>
      <c r="Z380" s="3">
        <f>SUMIFS('PowerApp_Physical count'!H:H,'PowerApp_Physical count'!B:B,' General Stock Summary View  '!$Y$2,'PowerApp_Physical count'!C:C,' General Stock Summary View  '!C380,'PowerApp_Physical count'!A:A,' General Stock Summary View  '!B380)</f>
        <v>0</v>
      </c>
      <c r="AA380" s="4">
        <f t="shared" si="64"/>
        <v>0</v>
      </c>
      <c r="AB380" s="5">
        <f>SUMIFS('XBS '!T:T,'XBS '!H:H,' General Stock Summary View  '!$AB$2,'XBS '!B:B,' General Stock Summary View  '!C380,'XBS '!L:L,' General Stock Summary View  '!B380)</f>
        <v>5.6333333333333337</v>
      </c>
      <c r="AC380" s="3">
        <f>SUMIFS('PowerApp_Physical count'!H:H,'PowerApp_Physical count'!B:B,' General Stock Summary View  '!$AB$2,'PowerApp_Physical count'!C:C,' General Stock Summary View  '!C380,'PowerApp_Physical count'!A:A,' General Stock Summary View  '!B380)</f>
        <v>0</v>
      </c>
      <c r="AD380" s="6">
        <f t="shared" si="65"/>
        <v>-5.6333333333333337</v>
      </c>
      <c r="AE380" s="7">
        <f t="shared" si="66"/>
        <v>0</v>
      </c>
      <c r="AF380" s="8">
        <f t="shared" si="67"/>
        <v>-5.6333333333333337</v>
      </c>
      <c r="AG380" s="112"/>
    </row>
    <row r="381" spans="2:33" s="113" customFormat="1" ht="61.15">
      <c r="B381" s="117" t="s">
        <v>372</v>
      </c>
      <c r="C381" s="111" t="s">
        <v>347</v>
      </c>
      <c r="D381" s="11">
        <f>SUMIFS('XBS '!T:T,'XBS '!C:C,' General Stock Summary View  '!C381,'XBS '!L:L,' General Stock Summary View  '!B381)</f>
        <v>6.666666666666667</v>
      </c>
      <c r="E381" s="2">
        <f>SUMIFS('Blocked for Processing'!P:P,'Blocked for Processing'!I:I,' General Stock Summary View  '!B381,'Blocked for Processing'!C:C,' General Stock Summary View  '!C381)</f>
        <v>0</v>
      </c>
      <c r="F381" s="122">
        <f t="shared" si="56"/>
        <v>6.666666666666667</v>
      </c>
      <c r="G381" s="148">
        <f>SUMIFS('XBS '!T:T,'XBS '!H:H,' General Stock Summary View  '!$G$2,'XBS '!L:L,' General Stock Summary View  '!B381,'XBS '!C:C,' General Stock Summary View  '!C381)</f>
        <v>0</v>
      </c>
      <c r="H381" s="3">
        <f>SUMIFS('PowerApp_Physical count'!H:H,'PowerApp_Physical count'!B:B,' General Stock Summary View  '!$G$2,'PowerApp_Physical count'!C:C,' General Stock Summary View  '!C381,'PowerApp_Physical count'!A:A,' General Stock Summary View  '!B381)</f>
        <v>0</v>
      </c>
      <c r="I381" s="154">
        <f t="shared" si="68"/>
        <v>0</v>
      </c>
      <c r="J381" s="11">
        <f>SUMIFS('XBS '!T:T,'XBS '!H:H,' General Stock Summary View  '!$J$2,'XBS '!L:L,' General Stock Summary View  '!B381,'XBS '!C:C,' General Stock Summary View  '!C381)</f>
        <v>0</v>
      </c>
      <c r="K381" s="157">
        <f>SUMIFS('PowerApp_Physical count'!H:H,'PowerApp_Physical count'!B:B,' General Stock Summary View  '!$J$2,'PowerApp_Physical count'!C:C,' General Stock Summary View  '!C381,'PowerApp_Physical count'!A:A,' General Stock Summary View  '!B381)</f>
        <v>0</v>
      </c>
      <c r="L381" s="127">
        <f t="shared" si="57"/>
        <v>0</v>
      </c>
      <c r="M381" s="126">
        <f t="shared" si="58"/>
        <v>0</v>
      </c>
      <c r="N381" s="11">
        <f t="shared" si="59"/>
        <v>0</v>
      </c>
      <c r="O381" s="144">
        <f t="shared" si="60"/>
        <v>0</v>
      </c>
      <c r="P381" s="2">
        <f>SUMIFS('XBS '!T:T,'XBS '!H:H,' General Stock Summary View  '!$P$2,'XBS '!L:L,' General Stock Summary View  '!B381,'XBS '!C:C,' General Stock Summary View  '!C381)</f>
        <v>0</v>
      </c>
      <c r="Q381" s="3">
        <f>SUMIFS('PowerApp_Physical count'!H:H,'PowerApp_Physical count'!B:B,' General Stock Summary View  '!$P$2,'PowerApp_Physical count'!C:C,' General Stock Summary View  '!C381,'PowerApp_Physical count'!A:A,' General Stock Summary View  '!B381)</f>
        <v>0</v>
      </c>
      <c r="R381" s="4">
        <f t="shared" si="61"/>
        <v>0</v>
      </c>
      <c r="S381" s="5">
        <f>SUMIFS('XBS '!T:T,'XBS '!L:L,' General Stock Summary View  '!B381,'XBS '!H:H,' General Stock Summary View  '!$S$2,'XBS '!C:C,' General Stock Summary View  '!C381)</f>
        <v>0</v>
      </c>
      <c r="T381" s="3">
        <f>SUMIFS('PowerApp_Physical count'!H:H,'PowerApp_Physical count'!B:B,' General Stock Summary View  '!$S$2,'PowerApp_Physical count'!C:C,' General Stock Summary View  '!C381,'PowerApp_Physical count'!A:A,' General Stock Summary View  '!B381)</f>
        <v>0</v>
      </c>
      <c r="U381" s="4">
        <f t="shared" si="62"/>
        <v>0</v>
      </c>
      <c r="V381" s="2">
        <f>SUMIFS('XBS '!T:T,'XBS '!H:H,' General Stock Summary View  '!$V$2,'XBS '!B:B,' General Stock Summary View  '!C381,'XBS '!L:L,' General Stock Summary View  '!B381)</f>
        <v>0</v>
      </c>
      <c r="W381" s="3">
        <f>SUMIFS('PowerApp_Physical count'!H:H,'PowerApp_Physical count'!B:B,' General Stock Summary View  '!$V$2,'PowerApp_Physical count'!C:C,' General Stock Summary View  '!C381,'PowerApp_Physical count'!A:A,' General Stock Summary View  '!B381)</f>
        <v>0</v>
      </c>
      <c r="X381" s="4">
        <f t="shared" si="63"/>
        <v>0</v>
      </c>
      <c r="Y381" s="5">
        <f>SUMIFS('XBS '!T:T,'XBS '!H:H,' General Stock Summary View  '!$Y$2,'XBS '!B:B,' General Stock Summary View  '!C381,'XBS '!L:L,' General Stock Summary View  '!B381)</f>
        <v>0</v>
      </c>
      <c r="Z381" s="3">
        <f>SUMIFS('PowerApp_Physical count'!H:H,'PowerApp_Physical count'!B:B,' General Stock Summary View  '!$Y$2,'PowerApp_Physical count'!C:C,' General Stock Summary View  '!C381,'PowerApp_Physical count'!A:A,' General Stock Summary View  '!B381)</f>
        <v>0</v>
      </c>
      <c r="AA381" s="4">
        <f t="shared" si="64"/>
        <v>0</v>
      </c>
      <c r="AB381" s="5">
        <f>SUMIFS('XBS '!T:T,'XBS '!H:H,' General Stock Summary View  '!$AB$2,'XBS '!B:B,' General Stock Summary View  '!C381,'XBS '!L:L,' General Stock Summary View  '!B381)</f>
        <v>6.666666666666667</v>
      </c>
      <c r="AC381" s="3">
        <f>SUMIFS('PowerApp_Physical count'!H:H,'PowerApp_Physical count'!B:B,' General Stock Summary View  '!$AB$2,'PowerApp_Physical count'!C:C,' General Stock Summary View  '!C381,'PowerApp_Physical count'!A:A,' General Stock Summary View  '!B381)</f>
        <v>0</v>
      </c>
      <c r="AD381" s="6">
        <f t="shared" si="65"/>
        <v>-6.666666666666667</v>
      </c>
      <c r="AE381" s="7">
        <f t="shared" si="66"/>
        <v>0</v>
      </c>
      <c r="AF381" s="8">
        <f t="shared" si="67"/>
        <v>-6.666666666666667</v>
      </c>
      <c r="AG381" s="112"/>
    </row>
    <row r="382" spans="2:33" s="113" customFormat="1" ht="61.15">
      <c r="B382" s="117" t="s">
        <v>254</v>
      </c>
      <c r="C382" s="111" t="s">
        <v>373</v>
      </c>
      <c r="D382" s="11">
        <f>SUMIFS('XBS '!T:T,'XBS '!C:C,' General Stock Summary View  '!C382,'XBS '!L:L,' General Stock Summary View  '!B382)</f>
        <v>37.06666666666667</v>
      </c>
      <c r="E382" s="2">
        <f>SUMIFS('Blocked for Processing'!P:P,'Blocked for Processing'!I:I,' General Stock Summary View  '!B382,'Blocked for Processing'!C:C,' General Stock Summary View  '!C382)</f>
        <v>0</v>
      </c>
      <c r="F382" s="122">
        <f t="shared" si="56"/>
        <v>37.06666666666667</v>
      </c>
      <c r="G382" s="148">
        <f>SUMIFS('XBS '!T:T,'XBS '!H:H,' General Stock Summary View  '!$G$2,'XBS '!L:L,' General Stock Summary View  '!B382,'XBS '!C:C,' General Stock Summary View  '!C382)</f>
        <v>37.06666666666667</v>
      </c>
      <c r="H382" s="3">
        <f>SUMIFS('PowerApp_Physical count'!H:H,'PowerApp_Physical count'!B:B,' General Stock Summary View  '!$G$2,'PowerApp_Physical count'!C:C,' General Stock Summary View  '!C382,'PowerApp_Physical count'!A:A,' General Stock Summary View  '!B382)</f>
        <v>37.06666666666667</v>
      </c>
      <c r="I382" s="154">
        <f t="shared" si="68"/>
        <v>0</v>
      </c>
      <c r="J382" s="11">
        <f>SUMIFS('XBS '!T:T,'XBS '!H:H,' General Stock Summary View  '!$J$2,'XBS '!L:L,' General Stock Summary View  '!B382,'XBS '!C:C,' General Stock Summary View  '!C382)</f>
        <v>0</v>
      </c>
      <c r="K382" s="157">
        <f>SUMIFS('PowerApp_Physical count'!H:H,'PowerApp_Physical count'!B:B,' General Stock Summary View  '!$J$2,'PowerApp_Physical count'!C:C,' General Stock Summary View  '!C382,'PowerApp_Physical count'!A:A,' General Stock Summary View  '!B382)</f>
        <v>0</v>
      </c>
      <c r="L382" s="127">
        <f t="shared" si="57"/>
        <v>0</v>
      </c>
      <c r="M382" s="126">
        <f t="shared" si="58"/>
        <v>37.06666666666667</v>
      </c>
      <c r="N382" s="11">
        <f t="shared" si="59"/>
        <v>37.06666666666667</v>
      </c>
      <c r="O382" s="144">
        <f t="shared" si="60"/>
        <v>0</v>
      </c>
      <c r="P382" s="2">
        <f>SUMIFS('XBS '!T:T,'XBS '!H:H,' General Stock Summary View  '!$P$2,'XBS '!L:L,' General Stock Summary View  '!B382,'XBS '!C:C,' General Stock Summary View  '!C382)</f>
        <v>0</v>
      </c>
      <c r="Q382" s="3">
        <f>SUMIFS('PowerApp_Physical count'!H:H,'PowerApp_Physical count'!B:B,' General Stock Summary View  '!$P$2,'PowerApp_Physical count'!C:C,' General Stock Summary View  '!C382,'PowerApp_Physical count'!A:A,' General Stock Summary View  '!B382)</f>
        <v>0</v>
      </c>
      <c r="R382" s="4">
        <f t="shared" si="61"/>
        <v>0</v>
      </c>
      <c r="S382" s="5">
        <f>SUMIFS('XBS '!T:T,'XBS '!L:L,' General Stock Summary View  '!B382,'XBS '!H:H,' General Stock Summary View  '!$S$2,'XBS '!C:C,' General Stock Summary View  '!C382)</f>
        <v>0</v>
      </c>
      <c r="T382" s="3">
        <f>SUMIFS('PowerApp_Physical count'!H:H,'PowerApp_Physical count'!B:B,' General Stock Summary View  '!$S$2,'PowerApp_Physical count'!C:C,' General Stock Summary View  '!C382,'PowerApp_Physical count'!A:A,' General Stock Summary View  '!B382)</f>
        <v>0</v>
      </c>
      <c r="U382" s="4">
        <f t="shared" si="62"/>
        <v>0</v>
      </c>
      <c r="V382" s="2">
        <f>SUMIFS('XBS '!T:T,'XBS '!H:H,' General Stock Summary View  '!$V$2,'XBS '!B:B,' General Stock Summary View  '!C382,'XBS '!L:L,' General Stock Summary View  '!B382)</f>
        <v>0</v>
      </c>
      <c r="W382" s="3">
        <f>SUMIFS('PowerApp_Physical count'!H:H,'PowerApp_Physical count'!B:B,' General Stock Summary View  '!$V$2,'PowerApp_Physical count'!C:C,' General Stock Summary View  '!C382,'PowerApp_Physical count'!A:A,' General Stock Summary View  '!B382)</f>
        <v>0</v>
      </c>
      <c r="X382" s="4">
        <f t="shared" si="63"/>
        <v>0</v>
      </c>
      <c r="Y382" s="5">
        <f>SUMIFS('XBS '!T:T,'XBS '!H:H,' General Stock Summary View  '!$Y$2,'XBS '!B:B,' General Stock Summary View  '!C382,'XBS '!L:L,' General Stock Summary View  '!B382)</f>
        <v>0</v>
      </c>
      <c r="Z382" s="3">
        <f>SUMIFS('PowerApp_Physical count'!H:H,'PowerApp_Physical count'!B:B,' General Stock Summary View  '!$Y$2,'PowerApp_Physical count'!C:C,' General Stock Summary View  '!C382,'PowerApp_Physical count'!A:A,' General Stock Summary View  '!B382)</f>
        <v>0</v>
      </c>
      <c r="AA382" s="4">
        <f t="shared" si="64"/>
        <v>0</v>
      </c>
      <c r="AB382" s="5">
        <f>SUMIFS('XBS '!T:T,'XBS '!H:H,' General Stock Summary View  '!$AB$2,'XBS '!B:B,' General Stock Summary View  '!C382,'XBS '!L:L,' General Stock Summary View  '!B382)</f>
        <v>0</v>
      </c>
      <c r="AC382" s="3">
        <f>SUMIFS('PowerApp_Physical count'!H:H,'PowerApp_Physical count'!B:B,' General Stock Summary View  '!$AB$2,'PowerApp_Physical count'!C:C,' General Stock Summary View  '!C382,'PowerApp_Physical count'!A:A,' General Stock Summary View  '!B382)</f>
        <v>0</v>
      </c>
      <c r="AD382" s="6">
        <f t="shared" si="65"/>
        <v>0</v>
      </c>
      <c r="AE382" s="7">
        <f t="shared" si="66"/>
        <v>37.06666666666667</v>
      </c>
      <c r="AF382" s="8">
        <f t="shared" si="67"/>
        <v>0</v>
      </c>
      <c r="AG382" s="112"/>
    </row>
    <row r="383" spans="2:33" s="113" customFormat="1" ht="61.15">
      <c r="B383" s="117" t="s">
        <v>374</v>
      </c>
      <c r="C383" s="111" t="s">
        <v>373</v>
      </c>
      <c r="D383" s="11">
        <f>SUMIFS('XBS '!T:T,'XBS '!C:C,' General Stock Summary View  '!C383,'XBS '!L:L,' General Stock Summary View  '!B383)</f>
        <v>21.333333333333332</v>
      </c>
      <c r="E383" s="2">
        <f>SUMIFS('Blocked for Processing'!P:P,'Blocked for Processing'!I:I,' General Stock Summary View  '!B383,'Blocked for Processing'!C:C,' General Stock Summary View  '!C383)</f>
        <v>0</v>
      </c>
      <c r="F383" s="122">
        <f t="shared" si="56"/>
        <v>21.333333333333332</v>
      </c>
      <c r="G383" s="148">
        <f>SUMIFS('XBS '!T:T,'XBS '!H:H,' General Stock Summary View  '!$G$2,'XBS '!L:L,' General Stock Summary View  '!B383,'XBS '!C:C,' General Stock Summary View  '!C383)</f>
        <v>21.333333333333332</v>
      </c>
      <c r="H383" s="3">
        <f>SUMIFS('PowerApp_Physical count'!H:H,'PowerApp_Physical count'!B:B,' General Stock Summary View  '!$G$2,'PowerApp_Physical count'!C:C,' General Stock Summary View  '!C383,'PowerApp_Physical count'!A:A,' General Stock Summary View  '!B383)</f>
        <v>21.333333333333332</v>
      </c>
      <c r="I383" s="154">
        <f t="shared" si="68"/>
        <v>0</v>
      </c>
      <c r="J383" s="11">
        <f>SUMIFS('XBS '!T:T,'XBS '!H:H,' General Stock Summary View  '!$J$2,'XBS '!L:L,' General Stock Summary View  '!B383,'XBS '!C:C,' General Stock Summary View  '!C383)</f>
        <v>0</v>
      </c>
      <c r="K383" s="157">
        <f>SUMIFS('PowerApp_Physical count'!H:H,'PowerApp_Physical count'!B:B,' General Stock Summary View  '!$J$2,'PowerApp_Physical count'!C:C,' General Stock Summary View  '!C383,'PowerApp_Physical count'!A:A,' General Stock Summary View  '!B383)</f>
        <v>0</v>
      </c>
      <c r="L383" s="127">
        <f t="shared" si="57"/>
        <v>0</v>
      </c>
      <c r="M383" s="126">
        <f t="shared" si="58"/>
        <v>21.333333333333332</v>
      </c>
      <c r="N383" s="11">
        <f t="shared" si="59"/>
        <v>21.333333333333332</v>
      </c>
      <c r="O383" s="144">
        <f t="shared" si="60"/>
        <v>0</v>
      </c>
      <c r="P383" s="2">
        <f>SUMIFS('XBS '!T:T,'XBS '!H:H,' General Stock Summary View  '!$P$2,'XBS '!L:L,' General Stock Summary View  '!B383,'XBS '!C:C,' General Stock Summary View  '!C383)</f>
        <v>0</v>
      </c>
      <c r="Q383" s="3">
        <f>SUMIFS('PowerApp_Physical count'!H:H,'PowerApp_Physical count'!B:B,' General Stock Summary View  '!$P$2,'PowerApp_Physical count'!C:C,' General Stock Summary View  '!C383,'PowerApp_Physical count'!A:A,' General Stock Summary View  '!B383)</f>
        <v>0</v>
      </c>
      <c r="R383" s="4">
        <f t="shared" si="61"/>
        <v>0</v>
      </c>
      <c r="S383" s="5">
        <f>SUMIFS('XBS '!T:T,'XBS '!L:L,' General Stock Summary View  '!B383,'XBS '!H:H,' General Stock Summary View  '!$S$2,'XBS '!C:C,' General Stock Summary View  '!C383)</f>
        <v>0</v>
      </c>
      <c r="T383" s="3">
        <f>SUMIFS('PowerApp_Physical count'!H:H,'PowerApp_Physical count'!B:B,' General Stock Summary View  '!$S$2,'PowerApp_Physical count'!C:C,' General Stock Summary View  '!C383,'PowerApp_Physical count'!A:A,' General Stock Summary View  '!B383)</f>
        <v>0</v>
      </c>
      <c r="U383" s="4">
        <f t="shared" si="62"/>
        <v>0</v>
      </c>
      <c r="V383" s="2">
        <f>SUMIFS('XBS '!T:T,'XBS '!H:H,' General Stock Summary View  '!$V$2,'XBS '!B:B,' General Stock Summary View  '!C383,'XBS '!L:L,' General Stock Summary View  '!B383)</f>
        <v>0</v>
      </c>
      <c r="W383" s="3">
        <f>SUMIFS('PowerApp_Physical count'!H:H,'PowerApp_Physical count'!B:B,' General Stock Summary View  '!$V$2,'PowerApp_Physical count'!C:C,' General Stock Summary View  '!C383,'PowerApp_Physical count'!A:A,' General Stock Summary View  '!B383)</f>
        <v>0</v>
      </c>
      <c r="X383" s="4">
        <f t="shared" si="63"/>
        <v>0</v>
      </c>
      <c r="Y383" s="5">
        <f>SUMIFS('XBS '!T:T,'XBS '!H:H,' General Stock Summary View  '!$Y$2,'XBS '!B:B,' General Stock Summary View  '!C383,'XBS '!L:L,' General Stock Summary View  '!B383)</f>
        <v>0</v>
      </c>
      <c r="Z383" s="3">
        <f>SUMIFS('PowerApp_Physical count'!H:H,'PowerApp_Physical count'!B:B,' General Stock Summary View  '!$Y$2,'PowerApp_Physical count'!C:C,' General Stock Summary View  '!C383,'PowerApp_Physical count'!A:A,' General Stock Summary View  '!B383)</f>
        <v>0</v>
      </c>
      <c r="AA383" s="4">
        <f t="shared" si="64"/>
        <v>0</v>
      </c>
      <c r="AB383" s="5">
        <f>SUMIFS('XBS '!T:T,'XBS '!H:H,' General Stock Summary View  '!$AB$2,'XBS '!B:B,' General Stock Summary View  '!C383,'XBS '!L:L,' General Stock Summary View  '!B383)</f>
        <v>0</v>
      </c>
      <c r="AC383" s="3">
        <f>SUMIFS('PowerApp_Physical count'!H:H,'PowerApp_Physical count'!B:B,' General Stock Summary View  '!$AB$2,'PowerApp_Physical count'!C:C,' General Stock Summary View  '!C383,'PowerApp_Physical count'!A:A,' General Stock Summary View  '!B383)</f>
        <v>0</v>
      </c>
      <c r="AD383" s="6">
        <f t="shared" si="65"/>
        <v>0</v>
      </c>
      <c r="AE383" s="7">
        <f t="shared" si="66"/>
        <v>21.333333333333332</v>
      </c>
      <c r="AF383" s="8">
        <f t="shared" si="67"/>
        <v>0</v>
      </c>
      <c r="AG383" s="112"/>
    </row>
    <row r="384" spans="2:33" s="113" customFormat="1" ht="61.15">
      <c r="B384" s="117" t="s">
        <v>252</v>
      </c>
      <c r="C384" s="111" t="s">
        <v>373</v>
      </c>
      <c r="D384" s="11">
        <f>SUMIFS('XBS '!T:T,'XBS '!C:C,' General Stock Summary View  '!C384,'XBS '!L:L,' General Stock Summary View  '!B384)</f>
        <v>1.7666666666666666</v>
      </c>
      <c r="E384" s="2">
        <f>SUMIFS('Blocked for Processing'!P:P,'Blocked for Processing'!I:I,' General Stock Summary View  '!B384,'Blocked for Processing'!C:C,' General Stock Summary View  '!C384)</f>
        <v>0</v>
      </c>
      <c r="F384" s="122">
        <f t="shared" si="56"/>
        <v>1.7666666666666666</v>
      </c>
      <c r="G384" s="148">
        <f>SUMIFS('XBS '!T:T,'XBS '!H:H,' General Stock Summary View  '!$G$2,'XBS '!L:L,' General Stock Summary View  '!B384,'XBS '!C:C,' General Stock Summary View  '!C384)</f>
        <v>1.7666666666666666</v>
      </c>
      <c r="H384" s="3">
        <f>SUMIFS('PowerApp_Physical count'!H:H,'PowerApp_Physical count'!B:B,' General Stock Summary View  '!$G$2,'PowerApp_Physical count'!C:C,' General Stock Summary View  '!C384,'PowerApp_Physical count'!A:A,' General Stock Summary View  '!B384)</f>
        <v>1.7666666666666666</v>
      </c>
      <c r="I384" s="154">
        <f t="shared" si="68"/>
        <v>0</v>
      </c>
      <c r="J384" s="11">
        <f>SUMIFS('XBS '!T:T,'XBS '!H:H,' General Stock Summary View  '!$J$2,'XBS '!L:L,' General Stock Summary View  '!B384,'XBS '!C:C,' General Stock Summary View  '!C384)</f>
        <v>0</v>
      </c>
      <c r="K384" s="157">
        <f>SUMIFS('PowerApp_Physical count'!H:H,'PowerApp_Physical count'!B:B,' General Stock Summary View  '!$J$2,'PowerApp_Physical count'!C:C,' General Stock Summary View  '!C384,'PowerApp_Physical count'!A:A,' General Stock Summary View  '!B384)</f>
        <v>0</v>
      </c>
      <c r="L384" s="127">
        <f t="shared" si="57"/>
        <v>0</v>
      </c>
      <c r="M384" s="126">
        <f t="shared" si="58"/>
        <v>1.7666666666666666</v>
      </c>
      <c r="N384" s="11">
        <f t="shared" si="59"/>
        <v>1.7666666666666666</v>
      </c>
      <c r="O384" s="144">
        <f t="shared" si="60"/>
        <v>0</v>
      </c>
      <c r="P384" s="2">
        <f>SUMIFS('XBS '!T:T,'XBS '!H:H,' General Stock Summary View  '!$P$2,'XBS '!L:L,' General Stock Summary View  '!B384,'XBS '!C:C,' General Stock Summary View  '!C384)</f>
        <v>0</v>
      </c>
      <c r="Q384" s="3">
        <f>SUMIFS('PowerApp_Physical count'!H:H,'PowerApp_Physical count'!B:B,' General Stock Summary View  '!$P$2,'PowerApp_Physical count'!C:C,' General Stock Summary View  '!C384,'PowerApp_Physical count'!A:A,' General Stock Summary View  '!B384)</f>
        <v>0</v>
      </c>
      <c r="R384" s="4">
        <f t="shared" si="61"/>
        <v>0</v>
      </c>
      <c r="S384" s="5">
        <f>SUMIFS('XBS '!T:T,'XBS '!L:L,' General Stock Summary View  '!B384,'XBS '!H:H,' General Stock Summary View  '!$S$2,'XBS '!C:C,' General Stock Summary View  '!C384)</f>
        <v>0</v>
      </c>
      <c r="T384" s="3">
        <f>SUMIFS('PowerApp_Physical count'!H:H,'PowerApp_Physical count'!B:B,' General Stock Summary View  '!$S$2,'PowerApp_Physical count'!C:C,' General Stock Summary View  '!C384,'PowerApp_Physical count'!A:A,' General Stock Summary View  '!B384)</f>
        <v>0</v>
      </c>
      <c r="U384" s="4">
        <f t="shared" si="62"/>
        <v>0</v>
      </c>
      <c r="V384" s="2">
        <f>SUMIFS('XBS '!T:T,'XBS '!H:H,' General Stock Summary View  '!$V$2,'XBS '!B:B,' General Stock Summary View  '!C384,'XBS '!L:L,' General Stock Summary View  '!B384)</f>
        <v>0</v>
      </c>
      <c r="W384" s="3">
        <f>SUMIFS('PowerApp_Physical count'!H:H,'PowerApp_Physical count'!B:B,' General Stock Summary View  '!$V$2,'PowerApp_Physical count'!C:C,' General Stock Summary View  '!C384,'PowerApp_Physical count'!A:A,' General Stock Summary View  '!B384)</f>
        <v>0</v>
      </c>
      <c r="X384" s="4">
        <f t="shared" si="63"/>
        <v>0</v>
      </c>
      <c r="Y384" s="5">
        <f>SUMIFS('XBS '!T:T,'XBS '!H:H,' General Stock Summary View  '!$Y$2,'XBS '!B:B,' General Stock Summary View  '!C384,'XBS '!L:L,' General Stock Summary View  '!B384)</f>
        <v>0</v>
      </c>
      <c r="Z384" s="3">
        <f>SUMIFS('PowerApp_Physical count'!H:H,'PowerApp_Physical count'!B:B,' General Stock Summary View  '!$Y$2,'PowerApp_Physical count'!C:C,' General Stock Summary View  '!C384,'PowerApp_Physical count'!A:A,' General Stock Summary View  '!B384)</f>
        <v>0</v>
      </c>
      <c r="AA384" s="4">
        <f t="shared" si="64"/>
        <v>0</v>
      </c>
      <c r="AB384" s="5">
        <f>SUMIFS('XBS '!T:T,'XBS '!H:H,' General Stock Summary View  '!$AB$2,'XBS '!B:B,' General Stock Summary View  '!C384,'XBS '!L:L,' General Stock Summary View  '!B384)</f>
        <v>0</v>
      </c>
      <c r="AC384" s="3">
        <f>SUMIFS('PowerApp_Physical count'!H:H,'PowerApp_Physical count'!B:B,' General Stock Summary View  '!$AB$2,'PowerApp_Physical count'!C:C,' General Stock Summary View  '!C384,'PowerApp_Physical count'!A:A,' General Stock Summary View  '!B384)</f>
        <v>0</v>
      </c>
      <c r="AD384" s="6">
        <f t="shared" si="65"/>
        <v>0</v>
      </c>
      <c r="AE384" s="7">
        <f t="shared" si="66"/>
        <v>1.7666666666666666</v>
      </c>
      <c r="AF384" s="8">
        <f t="shared" si="67"/>
        <v>0</v>
      </c>
      <c r="AG384" s="112"/>
    </row>
    <row r="385" spans="2:33" s="113" customFormat="1" ht="61.15">
      <c r="B385" s="117" t="s">
        <v>263</v>
      </c>
      <c r="C385" s="111" t="s">
        <v>373</v>
      </c>
      <c r="D385" s="11">
        <f>SUMIFS('XBS '!T:T,'XBS '!C:C,' General Stock Summary View  '!C385,'XBS '!L:L,' General Stock Summary View  '!B385)</f>
        <v>3.3833333333333333</v>
      </c>
      <c r="E385" s="2">
        <f>SUMIFS('Blocked for Processing'!P:P,'Blocked for Processing'!I:I,' General Stock Summary View  '!B385,'Blocked for Processing'!C:C,' General Stock Summary View  '!C385)</f>
        <v>0</v>
      </c>
      <c r="F385" s="122">
        <f t="shared" si="56"/>
        <v>3.3833333333333333</v>
      </c>
      <c r="G385" s="148">
        <f>SUMIFS('XBS '!T:T,'XBS '!H:H,' General Stock Summary View  '!$G$2,'XBS '!L:L,' General Stock Summary View  '!B385,'XBS '!C:C,' General Stock Summary View  '!C385)</f>
        <v>3.3833333333333333</v>
      </c>
      <c r="H385" s="3">
        <f>SUMIFS('PowerApp_Physical count'!H:H,'PowerApp_Physical count'!B:B,' General Stock Summary View  '!$G$2,'PowerApp_Physical count'!C:C,' General Stock Summary View  '!C385,'PowerApp_Physical count'!A:A,' General Stock Summary View  '!B385)</f>
        <v>3.3833333333333333</v>
      </c>
      <c r="I385" s="154">
        <f t="shared" si="68"/>
        <v>0</v>
      </c>
      <c r="J385" s="11">
        <f>SUMIFS('XBS '!T:T,'XBS '!H:H,' General Stock Summary View  '!$J$2,'XBS '!L:L,' General Stock Summary View  '!B385,'XBS '!C:C,' General Stock Summary View  '!C385)</f>
        <v>0</v>
      </c>
      <c r="K385" s="157">
        <f>SUMIFS('PowerApp_Physical count'!H:H,'PowerApp_Physical count'!B:B,' General Stock Summary View  '!$J$2,'PowerApp_Physical count'!C:C,' General Stock Summary View  '!C385,'PowerApp_Physical count'!A:A,' General Stock Summary View  '!B385)</f>
        <v>0</v>
      </c>
      <c r="L385" s="127">
        <f t="shared" si="57"/>
        <v>0</v>
      </c>
      <c r="M385" s="126">
        <f t="shared" si="58"/>
        <v>3.3833333333333333</v>
      </c>
      <c r="N385" s="11">
        <f t="shared" si="59"/>
        <v>3.3833333333333333</v>
      </c>
      <c r="O385" s="144">
        <f t="shared" si="60"/>
        <v>0</v>
      </c>
      <c r="P385" s="2">
        <f>SUMIFS('XBS '!T:T,'XBS '!H:H,' General Stock Summary View  '!$P$2,'XBS '!L:L,' General Stock Summary View  '!B385,'XBS '!C:C,' General Stock Summary View  '!C385)</f>
        <v>0</v>
      </c>
      <c r="Q385" s="3">
        <f>SUMIFS('PowerApp_Physical count'!H:H,'PowerApp_Physical count'!B:B,' General Stock Summary View  '!$P$2,'PowerApp_Physical count'!C:C,' General Stock Summary View  '!C385,'PowerApp_Physical count'!A:A,' General Stock Summary View  '!B385)</f>
        <v>0</v>
      </c>
      <c r="R385" s="4">
        <f t="shared" si="61"/>
        <v>0</v>
      </c>
      <c r="S385" s="5">
        <f>SUMIFS('XBS '!T:T,'XBS '!L:L,' General Stock Summary View  '!B385,'XBS '!H:H,' General Stock Summary View  '!$S$2,'XBS '!C:C,' General Stock Summary View  '!C385)</f>
        <v>0</v>
      </c>
      <c r="T385" s="3">
        <f>SUMIFS('PowerApp_Physical count'!H:H,'PowerApp_Physical count'!B:B,' General Stock Summary View  '!$S$2,'PowerApp_Physical count'!C:C,' General Stock Summary View  '!C385,'PowerApp_Physical count'!A:A,' General Stock Summary View  '!B385)</f>
        <v>0</v>
      </c>
      <c r="U385" s="4">
        <f t="shared" si="62"/>
        <v>0</v>
      </c>
      <c r="V385" s="2">
        <f>SUMIFS('XBS '!T:T,'XBS '!H:H,' General Stock Summary View  '!$V$2,'XBS '!B:B,' General Stock Summary View  '!C385,'XBS '!L:L,' General Stock Summary View  '!B385)</f>
        <v>0</v>
      </c>
      <c r="W385" s="3">
        <f>SUMIFS('PowerApp_Physical count'!H:H,'PowerApp_Physical count'!B:B,' General Stock Summary View  '!$V$2,'PowerApp_Physical count'!C:C,' General Stock Summary View  '!C385,'PowerApp_Physical count'!A:A,' General Stock Summary View  '!B385)</f>
        <v>0</v>
      </c>
      <c r="X385" s="4">
        <f t="shared" si="63"/>
        <v>0</v>
      </c>
      <c r="Y385" s="5">
        <f>SUMIFS('XBS '!T:T,'XBS '!H:H,' General Stock Summary View  '!$Y$2,'XBS '!B:B,' General Stock Summary View  '!C385,'XBS '!L:L,' General Stock Summary View  '!B385)</f>
        <v>0</v>
      </c>
      <c r="Z385" s="3">
        <f>SUMIFS('PowerApp_Physical count'!H:H,'PowerApp_Physical count'!B:B,' General Stock Summary View  '!$Y$2,'PowerApp_Physical count'!C:C,' General Stock Summary View  '!C385,'PowerApp_Physical count'!A:A,' General Stock Summary View  '!B385)</f>
        <v>0</v>
      </c>
      <c r="AA385" s="4">
        <f t="shared" si="64"/>
        <v>0</v>
      </c>
      <c r="AB385" s="5">
        <f>SUMIFS('XBS '!T:T,'XBS '!H:H,' General Stock Summary View  '!$AB$2,'XBS '!B:B,' General Stock Summary View  '!C385,'XBS '!L:L,' General Stock Summary View  '!B385)</f>
        <v>0</v>
      </c>
      <c r="AC385" s="3">
        <f>SUMIFS('PowerApp_Physical count'!H:H,'PowerApp_Physical count'!B:B,' General Stock Summary View  '!$AB$2,'PowerApp_Physical count'!C:C,' General Stock Summary View  '!C385,'PowerApp_Physical count'!A:A,' General Stock Summary View  '!B385)</f>
        <v>0</v>
      </c>
      <c r="AD385" s="6">
        <f t="shared" si="65"/>
        <v>0</v>
      </c>
      <c r="AE385" s="7">
        <f t="shared" si="66"/>
        <v>3.3833333333333333</v>
      </c>
      <c r="AF385" s="8">
        <f t="shared" si="67"/>
        <v>0</v>
      </c>
      <c r="AG385" s="112"/>
    </row>
    <row r="386" spans="2:33" s="113" customFormat="1" ht="61.15">
      <c r="B386" s="117" t="s">
        <v>375</v>
      </c>
      <c r="C386" s="111" t="s">
        <v>373</v>
      </c>
      <c r="D386" s="11">
        <f>SUMIFS('XBS '!T:T,'XBS '!C:C,' General Stock Summary View  '!C386,'XBS '!L:L,' General Stock Summary View  '!B386)</f>
        <v>3.3166666666666669</v>
      </c>
      <c r="E386" s="2">
        <f>SUMIFS('Blocked for Processing'!P:P,'Blocked for Processing'!I:I,' General Stock Summary View  '!B386,'Blocked for Processing'!C:C,' General Stock Summary View  '!C386)</f>
        <v>0</v>
      </c>
      <c r="F386" s="122">
        <f t="shared" si="56"/>
        <v>3.3166666666666669</v>
      </c>
      <c r="G386" s="148">
        <f>SUMIFS('XBS '!T:T,'XBS '!H:H,' General Stock Summary View  '!$G$2,'XBS '!L:L,' General Stock Summary View  '!B386,'XBS '!C:C,' General Stock Summary View  '!C386)</f>
        <v>3.3166666666666669</v>
      </c>
      <c r="H386" s="3">
        <f>SUMIFS('PowerApp_Physical count'!H:H,'PowerApp_Physical count'!B:B,' General Stock Summary View  '!$G$2,'PowerApp_Physical count'!C:C,' General Stock Summary View  '!C386,'PowerApp_Physical count'!A:A,' General Stock Summary View  '!B386)</f>
        <v>3.3166666666666669</v>
      </c>
      <c r="I386" s="154">
        <f t="shared" si="68"/>
        <v>0</v>
      </c>
      <c r="J386" s="11">
        <f>SUMIFS('XBS '!T:T,'XBS '!H:H,' General Stock Summary View  '!$J$2,'XBS '!L:L,' General Stock Summary View  '!B386,'XBS '!C:C,' General Stock Summary View  '!C386)</f>
        <v>0</v>
      </c>
      <c r="K386" s="157">
        <f>SUMIFS('PowerApp_Physical count'!H:H,'PowerApp_Physical count'!B:B,' General Stock Summary View  '!$J$2,'PowerApp_Physical count'!C:C,' General Stock Summary View  '!C386,'PowerApp_Physical count'!A:A,' General Stock Summary View  '!B386)</f>
        <v>0</v>
      </c>
      <c r="L386" s="127">
        <f t="shared" si="57"/>
        <v>0</v>
      </c>
      <c r="M386" s="126">
        <f t="shared" si="58"/>
        <v>3.3166666666666669</v>
      </c>
      <c r="N386" s="11">
        <f t="shared" si="59"/>
        <v>3.3166666666666669</v>
      </c>
      <c r="O386" s="144">
        <f t="shared" si="60"/>
        <v>0</v>
      </c>
      <c r="P386" s="2">
        <f>SUMIFS('XBS '!T:T,'XBS '!H:H,' General Stock Summary View  '!$P$2,'XBS '!L:L,' General Stock Summary View  '!B386,'XBS '!C:C,' General Stock Summary View  '!C386)</f>
        <v>0</v>
      </c>
      <c r="Q386" s="3">
        <f>SUMIFS('PowerApp_Physical count'!H:H,'PowerApp_Physical count'!B:B,' General Stock Summary View  '!$P$2,'PowerApp_Physical count'!C:C,' General Stock Summary View  '!C386,'PowerApp_Physical count'!A:A,' General Stock Summary View  '!B386)</f>
        <v>0</v>
      </c>
      <c r="R386" s="4">
        <f t="shared" si="61"/>
        <v>0</v>
      </c>
      <c r="S386" s="5">
        <f>SUMIFS('XBS '!T:T,'XBS '!L:L,' General Stock Summary View  '!B386,'XBS '!H:H,' General Stock Summary View  '!$S$2,'XBS '!C:C,' General Stock Summary View  '!C386)</f>
        <v>0</v>
      </c>
      <c r="T386" s="3">
        <f>SUMIFS('PowerApp_Physical count'!H:H,'PowerApp_Physical count'!B:B,' General Stock Summary View  '!$S$2,'PowerApp_Physical count'!C:C,' General Stock Summary View  '!C386,'PowerApp_Physical count'!A:A,' General Stock Summary View  '!B386)</f>
        <v>0</v>
      </c>
      <c r="U386" s="4">
        <f t="shared" si="62"/>
        <v>0</v>
      </c>
      <c r="V386" s="2">
        <f>SUMIFS('XBS '!T:T,'XBS '!H:H,' General Stock Summary View  '!$V$2,'XBS '!B:B,' General Stock Summary View  '!C386,'XBS '!L:L,' General Stock Summary View  '!B386)</f>
        <v>0</v>
      </c>
      <c r="W386" s="3">
        <f>SUMIFS('PowerApp_Physical count'!H:H,'PowerApp_Physical count'!B:B,' General Stock Summary View  '!$V$2,'PowerApp_Physical count'!C:C,' General Stock Summary View  '!C386,'PowerApp_Physical count'!A:A,' General Stock Summary View  '!B386)</f>
        <v>0</v>
      </c>
      <c r="X386" s="4">
        <f t="shared" si="63"/>
        <v>0</v>
      </c>
      <c r="Y386" s="5">
        <f>SUMIFS('XBS '!T:T,'XBS '!H:H,' General Stock Summary View  '!$Y$2,'XBS '!B:B,' General Stock Summary View  '!C386,'XBS '!L:L,' General Stock Summary View  '!B386)</f>
        <v>0</v>
      </c>
      <c r="Z386" s="3">
        <f>SUMIFS('PowerApp_Physical count'!H:H,'PowerApp_Physical count'!B:B,' General Stock Summary View  '!$Y$2,'PowerApp_Physical count'!C:C,' General Stock Summary View  '!C386,'PowerApp_Physical count'!A:A,' General Stock Summary View  '!B386)</f>
        <v>0</v>
      </c>
      <c r="AA386" s="4">
        <f t="shared" si="64"/>
        <v>0</v>
      </c>
      <c r="AB386" s="5">
        <f>SUMIFS('XBS '!T:T,'XBS '!H:H,' General Stock Summary View  '!$AB$2,'XBS '!B:B,' General Stock Summary View  '!C386,'XBS '!L:L,' General Stock Summary View  '!B386)</f>
        <v>0</v>
      </c>
      <c r="AC386" s="3">
        <f>SUMIFS('PowerApp_Physical count'!H:H,'PowerApp_Physical count'!B:B,' General Stock Summary View  '!$AB$2,'PowerApp_Physical count'!C:C,' General Stock Summary View  '!C386,'PowerApp_Physical count'!A:A,' General Stock Summary View  '!B386)</f>
        <v>0</v>
      </c>
      <c r="AD386" s="6">
        <f t="shared" si="65"/>
        <v>0</v>
      </c>
      <c r="AE386" s="7">
        <f t="shared" si="66"/>
        <v>3.3166666666666669</v>
      </c>
      <c r="AF386" s="8">
        <f t="shared" si="67"/>
        <v>0</v>
      </c>
      <c r="AG386" s="112"/>
    </row>
    <row r="387" spans="2:33" s="113" customFormat="1" ht="61.15">
      <c r="B387" s="117" t="s">
        <v>270</v>
      </c>
      <c r="C387" s="111" t="s">
        <v>373</v>
      </c>
      <c r="D387" s="11">
        <f>SUMIFS('XBS '!T:T,'XBS '!C:C,' General Stock Summary View  '!C387,'XBS '!L:L,' General Stock Summary View  '!B387)</f>
        <v>4.416666666666667</v>
      </c>
      <c r="E387" s="2">
        <f>SUMIFS('Blocked for Processing'!P:P,'Blocked for Processing'!I:I,' General Stock Summary View  '!B387,'Blocked for Processing'!C:C,' General Stock Summary View  '!C387)</f>
        <v>0</v>
      </c>
      <c r="F387" s="122">
        <f t="shared" si="56"/>
        <v>4.416666666666667</v>
      </c>
      <c r="G387" s="148">
        <f>SUMIFS('XBS '!T:T,'XBS '!H:H,' General Stock Summary View  '!$G$2,'XBS '!L:L,' General Stock Summary View  '!B387,'XBS '!C:C,' General Stock Summary View  '!C387)</f>
        <v>4.416666666666667</v>
      </c>
      <c r="H387" s="3">
        <f>SUMIFS('PowerApp_Physical count'!H:H,'PowerApp_Physical count'!B:B,' General Stock Summary View  '!$G$2,'PowerApp_Physical count'!C:C,' General Stock Summary View  '!C387,'PowerApp_Physical count'!A:A,' General Stock Summary View  '!B387)</f>
        <v>4.416666666666667</v>
      </c>
      <c r="I387" s="154">
        <f t="shared" si="68"/>
        <v>0</v>
      </c>
      <c r="J387" s="11">
        <f>SUMIFS('XBS '!T:T,'XBS '!H:H,' General Stock Summary View  '!$J$2,'XBS '!L:L,' General Stock Summary View  '!B387,'XBS '!C:C,' General Stock Summary View  '!C387)</f>
        <v>0</v>
      </c>
      <c r="K387" s="157">
        <f>SUMIFS('PowerApp_Physical count'!H:H,'PowerApp_Physical count'!B:B,' General Stock Summary View  '!$J$2,'PowerApp_Physical count'!C:C,' General Stock Summary View  '!C387,'PowerApp_Physical count'!A:A,' General Stock Summary View  '!B387)</f>
        <v>0</v>
      </c>
      <c r="L387" s="127">
        <f t="shared" si="57"/>
        <v>0</v>
      </c>
      <c r="M387" s="126">
        <f t="shared" si="58"/>
        <v>4.416666666666667</v>
      </c>
      <c r="N387" s="11">
        <f t="shared" si="59"/>
        <v>4.416666666666667</v>
      </c>
      <c r="O387" s="144">
        <f t="shared" si="60"/>
        <v>0</v>
      </c>
      <c r="P387" s="2">
        <f>SUMIFS('XBS '!T:T,'XBS '!H:H,' General Stock Summary View  '!$P$2,'XBS '!L:L,' General Stock Summary View  '!B387,'XBS '!C:C,' General Stock Summary View  '!C387)</f>
        <v>0</v>
      </c>
      <c r="Q387" s="3">
        <f>SUMIFS('PowerApp_Physical count'!H:H,'PowerApp_Physical count'!B:B,' General Stock Summary View  '!$P$2,'PowerApp_Physical count'!C:C,' General Stock Summary View  '!C387,'PowerApp_Physical count'!A:A,' General Stock Summary View  '!B387)</f>
        <v>0</v>
      </c>
      <c r="R387" s="4">
        <f t="shared" si="61"/>
        <v>0</v>
      </c>
      <c r="S387" s="5">
        <f>SUMIFS('XBS '!T:T,'XBS '!L:L,' General Stock Summary View  '!B387,'XBS '!H:H,' General Stock Summary View  '!$S$2,'XBS '!C:C,' General Stock Summary View  '!C387)</f>
        <v>0</v>
      </c>
      <c r="T387" s="3">
        <f>SUMIFS('PowerApp_Physical count'!H:H,'PowerApp_Physical count'!B:B,' General Stock Summary View  '!$S$2,'PowerApp_Physical count'!C:C,' General Stock Summary View  '!C387,'PowerApp_Physical count'!A:A,' General Stock Summary View  '!B387)</f>
        <v>0</v>
      </c>
      <c r="U387" s="4">
        <f t="shared" si="62"/>
        <v>0</v>
      </c>
      <c r="V387" s="2">
        <f>SUMIFS('XBS '!T:T,'XBS '!H:H,' General Stock Summary View  '!$V$2,'XBS '!B:B,' General Stock Summary View  '!C387,'XBS '!L:L,' General Stock Summary View  '!B387)</f>
        <v>0</v>
      </c>
      <c r="W387" s="3">
        <f>SUMIFS('PowerApp_Physical count'!H:H,'PowerApp_Physical count'!B:B,' General Stock Summary View  '!$V$2,'PowerApp_Physical count'!C:C,' General Stock Summary View  '!C387,'PowerApp_Physical count'!A:A,' General Stock Summary View  '!B387)</f>
        <v>0</v>
      </c>
      <c r="X387" s="4">
        <f t="shared" si="63"/>
        <v>0</v>
      </c>
      <c r="Y387" s="5">
        <f>SUMIFS('XBS '!T:T,'XBS '!H:H,' General Stock Summary View  '!$Y$2,'XBS '!B:B,' General Stock Summary View  '!C387,'XBS '!L:L,' General Stock Summary View  '!B387)</f>
        <v>0</v>
      </c>
      <c r="Z387" s="3">
        <f>SUMIFS('PowerApp_Physical count'!H:H,'PowerApp_Physical count'!B:B,' General Stock Summary View  '!$Y$2,'PowerApp_Physical count'!C:C,' General Stock Summary View  '!C387,'PowerApp_Physical count'!A:A,' General Stock Summary View  '!B387)</f>
        <v>0</v>
      </c>
      <c r="AA387" s="4">
        <f t="shared" si="64"/>
        <v>0</v>
      </c>
      <c r="AB387" s="5">
        <f>SUMIFS('XBS '!T:T,'XBS '!H:H,' General Stock Summary View  '!$AB$2,'XBS '!B:B,' General Stock Summary View  '!C387,'XBS '!L:L,' General Stock Summary View  '!B387)</f>
        <v>0</v>
      </c>
      <c r="AC387" s="3">
        <f>SUMIFS('PowerApp_Physical count'!H:H,'PowerApp_Physical count'!B:B,' General Stock Summary View  '!$AB$2,'PowerApp_Physical count'!C:C,' General Stock Summary View  '!C387,'PowerApp_Physical count'!A:A,' General Stock Summary View  '!B387)</f>
        <v>0</v>
      </c>
      <c r="AD387" s="6">
        <f t="shared" si="65"/>
        <v>0</v>
      </c>
      <c r="AE387" s="7">
        <f t="shared" si="66"/>
        <v>4.416666666666667</v>
      </c>
      <c r="AF387" s="8">
        <f t="shared" si="67"/>
        <v>0</v>
      </c>
      <c r="AG387" s="112"/>
    </row>
    <row r="388" spans="2:33" s="113" customFormat="1" ht="61.15">
      <c r="B388" s="117" t="s">
        <v>256</v>
      </c>
      <c r="C388" s="111" t="s">
        <v>373</v>
      </c>
      <c r="D388" s="11">
        <f>SUMIFS('XBS '!T:T,'XBS '!C:C,' General Stock Summary View  '!C388,'XBS '!L:L,' General Stock Summary View  '!B388)</f>
        <v>2.6666666666666665</v>
      </c>
      <c r="E388" s="2">
        <f>SUMIFS('Blocked for Processing'!P:P,'Blocked for Processing'!I:I,' General Stock Summary View  '!B388,'Blocked for Processing'!C:C,' General Stock Summary View  '!C388)</f>
        <v>0</v>
      </c>
      <c r="F388" s="122">
        <f t="shared" si="56"/>
        <v>2.6666666666666665</v>
      </c>
      <c r="G388" s="148">
        <f>SUMIFS('XBS '!T:T,'XBS '!H:H,' General Stock Summary View  '!$G$2,'XBS '!L:L,' General Stock Summary View  '!B388,'XBS '!C:C,' General Stock Summary View  '!C388)</f>
        <v>2.6666666666666665</v>
      </c>
      <c r="H388" s="3">
        <f>SUMIFS('PowerApp_Physical count'!H:H,'PowerApp_Physical count'!B:B,' General Stock Summary View  '!$G$2,'PowerApp_Physical count'!C:C,' General Stock Summary View  '!C388,'PowerApp_Physical count'!A:A,' General Stock Summary View  '!B388)</f>
        <v>2.6666666666666665</v>
      </c>
      <c r="I388" s="154">
        <f t="shared" si="68"/>
        <v>0</v>
      </c>
      <c r="J388" s="11">
        <f>SUMIFS('XBS '!T:T,'XBS '!H:H,' General Stock Summary View  '!$J$2,'XBS '!L:L,' General Stock Summary View  '!B388,'XBS '!C:C,' General Stock Summary View  '!C388)</f>
        <v>0</v>
      </c>
      <c r="K388" s="157">
        <f>SUMIFS('PowerApp_Physical count'!H:H,'PowerApp_Physical count'!B:B,' General Stock Summary View  '!$J$2,'PowerApp_Physical count'!C:C,' General Stock Summary View  '!C388,'PowerApp_Physical count'!A:A,' General Stock Summary View  '!B388)</f>
        <v>0</v>
      </c>
      <c r="L388" s="127">
        <f t="shared" si="57"/>
        <v>0</v>
      </c>
      <c r="M388" s="126">
        <f t="shared" si="58"/>
        <v>2.6666666666666665</v>
      </c>
      <c r="N388" s="11">
        <f t="shared" si="59"/>
        <v>2.6666666666666665</v>
      </c>
      <c r="O388" s="144">
        <f t="shared" si="60"/>
        <v>0</v>
      </c>
      <c r="P388" s="2">
        <f>SUMIFS('XBS '!T:T,'XBS '!H:H,' General Stock Summary View  '!$P$2,'XBS '!L:L,' General Stock Summary View  '!B388,'XBS '!C:C,' General Stock Summary View  '!C388)</f>
        <v>0</v>
      </c>
      <c r="Q388" s="3">
        <f>SUMIFS('PowerApp_Physical count'!H:H,'PowerApp_Physical count'!B:B,' General Stock Summary View  '!$P$2,'PowerApp_Physical count'!C:C,' General Stock Summary View  '!C388,'PowerApp_Physical count'!A:A,' General Stock Summary View  '!B388)</f>
        <v>0</v>
      </c>
      <c r="R388" s="4">
        <f t="shared" si="61"/>
        <v>0</v>
      </c>
      <c r="S388" s="5">
        <f>SUMIFS('XBS '!T:T,'XBS '!L:L,' General Stock Summary View  '!B388,'XBS '!H:H,' General Stock Summary View  '!$S$2,'XBS '!C:C,' General Stock Summary View  '!C388)</f>
        <v>0</v>
      </c>
      <c r="T388" s="3">
        <f>SUMIFS('PowerApp_Physical count'!H:H,'PowerApp_Physical count'!B:B,' General Stock Summary View  '!$S$2,'PowerApp_Physical count'!C:C,' General Stock Summary View  '!C388,'PowerApp_Physical count'!A:A,' General Stock Summary View  '!B388)</f>
        <v>0</v>
      </c>
      <c r="U388" s="4">
        <f t="shared" si="62"/>
        <v>0</v>
      </c>
      <c r="V388" s="2">
        <f>SUMIFS('XBS '!T:T,'XBS '!H:H,' General Stock Summary View  '!$V$2,'XBS '!B:B,' General Stock Summary View  '!C388,'XBS '!L:L,' General Stock Summary View  '!B388)</f>
        <v>0</v>
      </c>
      <c r="W388" s="3">
        <f>SUMIFS('PowerApp_Physical count'!H:H,'PowerApp_Physical count'!B:B,' General Stock Summary View  '!$V$2,'PowerApp_Physical count'!C:C,' General Stock Summary View  '!C388,'PowerApp_Physical count'!A:A,' General Stock Summary View  '!B388)</f>
        <v>0</v>
      </c>
      <c r="X388" s="4">
        <f t="shared" si="63"/>
        <v>0</v>
      </c>
      <c r="Y388" s="5">
        <f>SUMIFS('XBS '!T:T,'XBS '!H:H,' General Stock Summary View  '!$Y$2,'XBS '!B:B,' General Stock Summary View  '!C388,'XBS '!L:L,' General Stock Summary View  '!B388)</f>
        <v>0</v>
      </c>
      <c r="Z388" s="3">
        <f>SUMIFS('PowerApp_Physical count'!H:H,'PowerApp_Physical count'!B:B,' General Stock Summary View  '!$Y$2,'PowerApp_Physical count'!C:C,' General Stock Summary View  '!C388,'PowerApp_Physical count'!A:A,' General Stock Summary View  '!B388)</f>
        <v>0</v>
      </c>
      <c r="AA388" s="4">
        <f t="shared" si="64"/>
        <v>0</v>
      </c>
      <c r="AB388" s="5">
        <f>SUMIFS('XBS '!T:T,'XBS '!H:H,' General Stock Summary View  '!$AB$2,'XBS '!B:B,' General Stock Summary View  '!C388,'XBS '!L:L,' General Stock Summary View  '!B388)</f>
        <v>0</v>
      </c>
      <c r="AC388" s="3">
        <f>SUMIFS('PowerApp_Physical count'!H:H,'PowerApp_Physical count'!B:B,' General Stock Summary View  '!$AB$2,'PowerApp_Physical count'!C:C,' General Stock Summary View  '!C388,'PowerApp_Physical count'!A:A,' General Stock Summary View  '!B388)</f>
        <v>0</v>
      </c>
      <c r="AD388" s="6">
        <f t="shared" si="65"/>
        <v>0</v>
      </c>
      <c r="AE388" s="7">
        <f t="shared" si="66"/>
        <v>2.6666666666666665</v>
      </c>
      <c r="AF388" s="8">
        <f t="shared" si="67"/>
        <v>0</v>
      </c>
      <c r="AG388" s="112"/>
    </row>
    <row r="389" spans="2:33" s="113" customFormat="1" ht="61.15">
      <c r="B389" s="117" t="s">
        <v>285</v>
      </c>
      <c r="C389" s="111" t="s">
        <v>373</v>
      </c>
      <c r="D389" s="11">
        <f>SUMIFS('XBS '!T:T,'XBS '!C:C,' General Stock Summary View  '!C389,'XBS '!L:L,' General Stock Summary View  '!B389)</f>
        <v>3.6833333333333331</v>
      </c>
      <c r="E389" s="2">
        <f>SUMIFS('Blocked for Processing'!P:P,'Blocked for Processing'!I:I,' General Stock Summary View  '!B389,'Blocked for Processing'!C:C,' General Stock Summary View  '!C389)</f>
        <v>0</v>
      </c>
      <c r="F389" s="122">
        <f t="shared" si="56"/>
        <v>3.6833333333333331</v>
      </c>
      <c r="G389" s="148">
        <f>SUMIFS('XBS '!T:T,'XBS '!H:H,' General Stock Summary View  '!$G$2,'XBS '!L:L,' General Stock Summary View  '!B389,'XBS '!C:C,' General Stock Summary View  '!C389)</f>
        <v>3.6833333333333331</v>
      </c>
      <c r="H389" s="3">
        <f>SUMIFS('PowerApp_Physical count'!H:H,'PowerApp_Physical count'!B:B,' General Stock Summary View  '!$G$2,'PowerApp_Physical count'!C:C,' General Stock Summary View  '!C389,'PowerApp_Physical count'!A:A,' General Stock Summary View  '!B389)</f>
        <v>3.6833333333333331</v>
      </c>
      <c r="I389" s="154">
        <f t="shared" si="68"/>
        <v>0</v>
      </c>
      <c r="J389" s="11">
        <f>SUMIFS('XBS '!T:T,'XBS '!H:H,' General Stock Summary View  '!$J$2,'XBS '!L:L,' General Stock Summary View  '!B389,'XBS '!C:C,' General Stock Summary View  '!C389)</f>
        <v>0</v>
      </c>
      <c r="K389" s="157">
        <f>SUMIFS('PowerApp_Physical count'!H:H,'PowerApp_Physical count'!B:B,' General Stock Summary View  '!$J$2,'PowerApp_Physical count'!C:C,' General Stock Summary View  '!C389,'PowerApp_Physical count'!A:A,' General Stock Summary View  '!B389)</f>
        <v>0</v>
      </c>
      <c r="L389" s="127">
        <f t="shared" si="57"/>
        <v>0</v>
      </c>
      <c r="M389" s="126">
        <f t="shared" si="58"/>
        <v>3.6833333333333331</v>
      </c>
      <c r="N389" s="11">
        <f t="shared" si="59"/>
        <v>3.6833333333333331</v>
      </c>
      <c r="O389" s="144">
        <f t="shared" si="60"/>
        <v>0</v>
      </c>
      <c r="P389" s="2">
        <f>SUMIFS('XBS '!T:T,'XBS '!H:H,' General Stock Summary View  '!$P$2,'XBS '!L:L,' General Stock Summary View  '!B389,'XBS '!C:C,' General Stock Summary View  '!C389)</f>
        <v>0</v>
      </c>
      <c r="Q389" s="3">
        <f>SUMIFS('PowerApp_Physical count'!H:H,'PowerApp_Physical count'!B:B,' General Stock Summary View  '!$P$2,'PowerApp_Physical count'!C:C,' General Stock Summary View  '!C389,'PowerApp_Physical count'!A:A,' General Stock Summary View  '!B389)</f>
        <v>0</v>
      </c>
      <c r="R389" s="4">
        <f t="shared" si="61"/>
        <v>0</v>
      </c>
      <c r="S389" s="5">
        <f>SUMIFS('XBS '!T:T,'XBS '!L:L,' General Stock Summary View  '!B389,'XBS '!H:H,' General Stock Summary View  '!$S$2,'XBS '!C:C,' General Stock Summary View  '!C389)</f>
        <v>0</v>
      </c>
      <c r="T389" s="3">
        <f>SUMIFS('PowerApp_Physical count'!H:H,'PowerApp_Physical count'!B:B,' General Stock Summary View  '!$S$2,'PowerApp_Physical count'!C:C,' General Stock Summary View  '!C389,'PowerApp_Physical count'!A:A,' General Stock Summary View  '!B389)</f>
        <v>0</v>
      </c>
      <c r="U389" s="4">
        <f t="shared" si="62"/>
        <v>0</v>
      </c>
      <c r="V389" s="2">
        <f>SUMIFS('XBS '!T:T,'XBS '!H:H,' General Stock Summary View  '!$V$2,'XBS '!B:B,' General Stock Summary View  '!C389,'XBS '!L:L,' General Stock Summary View  '!B389)</f>
        <v>0</v>
      </c>
      <c r="W389" s="3">
        <f>SUMIFS('PowerApp_Physical count'!H:H,'PowerApp_Physical count'!B:B,' General Stock Summary View  '!$V$2,'PowerApp_Physical count'!C:C,' General Stock Summary View  '!C389,'PowerApp_Physical count'!A:A,' General Stock Summary View  '!B389)</f>
        <v>0</v>
      </c>
      <c r="X389" s="4">
        <f t="shared" si="63"/>
        <v>0</v>
      </c>
      <c r="Y389" s="5">
        <f>SUMIFS('XBS '!T:T,'XBS '!H:H,' General Stock Summary View  '!$Y$2,'XBS '!B:B,' General Stock Summary View  '!C389,'XBS '!L:L,' General Stock Summary View  '!B389)</f>
        <v>0</v>
      </c>
      <c r="Z389" s="3">
        <f>SUMIFS('PowerApp_Physical count'!H:H,'PowerApp_Physical count'!B:B,' General Stock Summary View  '!$Y$2,'PowerApp_Physical count'!C:C,' General Stock Summary View  '!C389,'PowerApp_Physical count'!A:A,' General Stock Summary View  '!B389)</f>
        <v>0</v>
      </c>
      <c r="AA389" s="4">
        <f t="shared" si="64"/>
        <v>0</v>
      </c>
      <c r="AB389" s="5">
        <f>SUMIFS('XBS '!T:T,'XBS '!H:H,' General Stock Summary View  '!$AB$2,'XBS '!B:B,' General Stock Summary View  '!C389,'XBS '!L:L,' General Stock Summary View  '!B389)</f>
        <v>0</v>
      </c>
      <c r="AC389" s="3">
        <f>SUMIFS('PowerApp_Physical count'!H:H,'PowerApp_Physical count'!B:B,' General Stock Summary View  '!$AB$2,'PowerApp_Physical count'!C:C,' General Stock Summary View  '!C389,'PowerApp_Physical count'!A:A,' General Stock Summary View  '!B389)</f>
        <v>0</v>
      </c>
      <c r="AD389" s="6">
        <f t="shared" si="65"/>
        <v>0</v>
      </c>
      <c r="AE389" s="7">
        <f t="shared" si="66"/>
        <v>3.6833333333333331</v>
      </c>
      <c r="AF389" s="8">
        <f t="shared" si="67"/>
        <v>0</v>
      </c>
      <c r="AG389" s="112"/>
    </row>
    <row r="390" spans="2:33" s="113" customFormat="1" ht="61.15">
      <c r="B390" s="117" t="s">
        <v>278</v>
      </c>
      <c r="C390" s="111" t="s">
        <v>373</v>
      </c>
      <c r="D390" s="11">
        <f>SUMIFS('XBS '!T:T,'XBS '!C:C,' General Stock Summary View  '!C390,'XBS '!L:L,' General Stock Summary View  '!B390)</f>
        <v>0.55000000000000004</v>
      </c>
      <c r="E390" s="2">
        <f>SUMIFS('Blocked for Processing'!P:P,'Blocked for Processing'!I:I,' General Stock Summary View  '!B390,'Blocked for Processing'!C:C,' General Stock Summary View  '!C390)</f>
        <v>0</v>
      </c>
      <c r="F390" s="122">
        <f t="shared" si="56"/>
        <v>0.55000000000000004</v>
      </c>
      <c r="G390" s="148">
        <f>SUMIFS('XBS '!T:T,'XBS '!H:H,' General Stock Summary View  '!$G$2,'XBS '!L:L,' General Stock Summary View  '!B390,'XBS '!C:C,' General Stock Summary View  '!C390)</f>
        <v>0.55000000000000004</v>
      </c>
      <c r="H390" s="3">
        <f>SUMIFS('PowerApp_Physical count'!H:H,'PowerApp_Physical count'!B:B,' General Stock Summary View  '!$G$2,'PowerApp_Physical count'!C:C,' General Stock Summary View  '!C390,'PowerApp_Physical count'!A:A,' General Stock Summary View  '!B390)</f>
        <v>0.55000000000000004</v>
      </c>
      <c r="I390" s="154">
        <f t="shared" si="68"/>
        <v>0</v>
      </c>
      <c r="J390" s="11">
        <f>SUMIFS('XBS '!T:T,'XBS '!H:H,' General Stock Summary View  '!$J$2,'XBS '!L:L,' General Stock Summary View  '!B390,'XBS '!C:C,' General Stock Summary View  '!C390)</f>
        <v>0</v>
      </c>
      <c r="K390" s="157">
        <f>SUMIFS('PowerApp_Physical count'!H:H,'PowerApp_Physical count'!B:B,' General Stock Summary View  '!$J$2,'PowerApp_Physical count'!C:C,' General Stock Summary View  '!C390,'PowerApp_Physical count'!A:A,' General Stock Summary View  '!B390)</f>
        <v>0</v>
      </c>
      <c r="L390" s="127">
        <f t="shared" si="57"/>
        <v>0</v>
      </c>
      <c r="M390" s="126">
        <f t="shared" si="58"/>
        <v>0.55000000000000004</v>
      </c>
      <c r="N390" s="11">
        <f t="shared" si="59"/>
        <v>0.55000000000000004</v>
      </c>
      <c r="O390" s="144">
        <f t="shared" si="60"/>
        <v>0</v>
      </c>
      <c r="P390" s="2">
        <f>SUMIFS('XBS '!T:T,'XBS '!H:H,' General Stock Summary View  '!$P$2,'XBS '!L:L,' General Stock Summary View  '!B390,'XBS '!C:C,' General Stock Summary View  '!C390)</f>
        <v>0</v>
      </c>
      <c r="Q390" s="3">
        <f>SUMIFS('PowerApp_Physical count'!H:H,'PowerApp_Physical count'!B:B,' General Stock Summary View  '!$P$2,'PowerApp_Physical count'!C:C,' General Stock Summary View  '!C390,'PowerApp_Physical count'!A:A,' General Stock Summary View  '!B390)</f>
        <v>0</v>
      </c>
      <c r="R390" s="4">
        <f t="shared" si="61"/>
        <v>0</v>
      </c>
      <c r="S390" s="5">
        <f>SUMIFS('XBS '!T:T,'XBS '!L:L,' General Stock Summary View  '!B390,'XBS '!H:H,' General Stock Summary View  '!$S$2,'XBS '!C:C,' General Stock Summary View  '!C390)</f>
        <v>0</v>
      </c>
      <c r="T390" s="3">
        <f>SUMIFS('PowerApp_Physical count'!H:H,'PowerApp_Physical count'!B:B,' General Stock Summary View  '!$S$2,'PowerApp_Physical count'!C:C,' General Stock Summary View  '!C390,'PowerApp_Physical count'!A:A,' General Stock Summary View  '!B390)</f>
        <v>0</v>
      </c>
      <c r="U390" s="4">
        <f t="shared" si="62"/>
        <v>0</v>
      </c>
      <c r="V390" s="2">
        <f>SUMIFS('XBS '!T:T,'XBS '!H:H,' General Stock Summary View  '!$V$2,'XBS '!B:B,' General Stock Summary View  '!C390,'XBS '!L:L,' General Stock Summary View  '!B390)</f>
        <v>0</v>
      </c>
      <c r="W390" s="3">
        <f>SUMIFS('PowerApp_Physical count'!H:H,'PowerApp_Physical count'!B:B,' General Stock Summary View  '!$V$2,'PowerApp_Physical count'!C:C,' General Stock Summary View  '!C390,'PowerApp_Physical count'!A:A,' General Stock Summary View  '!B390)</f>
        <v>0</v>
      </c>
      <c r="X390" s="4">
        <f t="shared" si="63"/>
        <v>0</v>
      </c>
      <c r="Y390" s="5">
        <f>SUMIFS('XBS '!T:T,'XBS '!H:H,' General Stock Summary View  '!$Y$2,'XBS '!B:B,' General Stock Summary View  '!C390,'XBS '!L:L,' General Stock Summary View  '!B390)</f>
        <v>0</v>
      </c>
      <c r="Z390" s="3">
        <f>SUMIFS('PowerApp_Physical count'!H:H,'PowerApp_Physical count'!B:B,' General Stock Summary View  '!$Y$2,'PowerApp_Physical count'!C:C,' General Stock Summary View  '!C390,'PowerApp_Physical count'!A:A,' General Stock Summary View  '!B390)</f>
        <v>0</v>
      </c>
      <c r="AA390" s="4">
        <f t="shared" si="64"/>
        <v>0</v>
      </c>
      <c r="AB390" s="5">
        <f>SUMIFS('XBS '!T:T,'XBS '!H:H,' General Stock Summary View  '!$AB$2,'XBS '!B:B,' General Stock Summary View  '!C390,'XBS '!L:L,' General Stock Summary View  '!B390)</f>
        <v>0</v>
      </c>
      <c r="AC390" s="3">
        <f>SUMIFS('PowerApp_Physical count'!H:H,'PowerApp_Physical count'!B:B,' General Stock Summary View  '!$AB$2,'PowerApp_Physical count'!C:C,' General Stock Summary View  '!C390,'PowerApp_Physical count'!A:A,' General Stock Summary View  '!B390)</f>
        <v>0</v>
      </c>
      <c r="AD390" s="6">
        <f t="shared" si="65"/>
        <v>0</v>
      </c>
      <c r="AE390" s="7">
        <f t="shared" si="66"/>
        <v>0.55000000000000004</v>
      </c>
      <c r="AF390" s="8">
        <f t="shared" si="67"/>
        <v>0</v>
      </c>
      <c r="AG390" s="112"/>
    </row>
    <row r="391" spans="2:33" s="113" customFormat="1" ht="61.15">
      <c r="B391" s="117" t="s">
        <v>245</v>
      </c>
      <c r="C391" s="111" t="s">
        <v>373</v>
      </c>
      <c r="D391" s="11">
        <f>SUMIFS('XBS '!T:T,'XBS '!C:C,' General Stock Summary View  '!C391,'XBS '!L:L,' General Stock Summary View  '!B391)</f>
        <v>2.5833333333333335</v>
      </c>
      <c r="E391" s="2">
        <f>SUMIFS('Blocked for Processing'!P:P,'Blocked for Processing'!I:I,' General Stock Summary View  '!B391,'Blocked for Processing'!C:C,' General Stock Summary View  '!C391)</f>
        <v>0</v>
      </c>
      <c r="F391" s="122">
        <f t="shared" si="56"/>
        <v>2.5833333333333335</v>
      </c>
      <c r="G391" s="148">
        <f>SUMIFS('XBS '!T:T,'XBS '!H:H,' General Stock Summary View  '!$G$2,'XBS '!L:L,' General Stock Summary View  '!B391,'XBS '!C:C,' General Stock Summary View  '!C391)</f>
        <v>2.5833333333333335</v>
      </c>
      <c r="H391" s="3">
        <f>SUMIFS('PowerApp_Physical count'!H:H,'PowerApp_Physical count'!B:B,' General Stock Summary View  '!$G$2,'PowerApp_Physical count'!C:C,' General Stock Summary View  '!C391,'PowerApp_Physical count'!A:A,' General Stock Summary View  '!B391)</f>
        <v>2.5833333333333335</v>
      </c>
      <c r="I391" s="154">
        <f t="shared" si="68"/>
        <v>0</v>
      </c>
      <c r="J391" s="11">
        <f>SUMIFS('XBS '!T:T,'XBS '!H:H,' General Stock Summary View  '!$J$2,'XBS '!L:L,' General Stock Summary View  '!B391,'XBS '!C:C,' General Stock Summary View  '!C391)</f>
        <v>0</v>
      </c>
      <c r="K391" s="157">
        <f>SUMIFS('PowerApp_Physical count'!H:H,'PowerApp_Physical count'!B:B,' General Stock Summary View  '!$J$2,'PowerApp_Physical count'!C:C,' General Stock Summary View  '!C391,'PowerApp_Physical count'!A:A,' General Stock Summary View  '!B391)</f>
        <v>0</v>
      </c>
      <c r="L391" s="127">
        <f t="shared" si="57"/>
        <v>0</v>
      </c>
      <c r="M391" s="126">
        <f t="shared" si="58"/>
        <v>2.5833333333333335</v>
      </c>
      <c r="N391" s="11">
        <f t="shared" si="59"/>
        <v>2.5833333333333335</v>
      </c>
      <c r="O391" s="144">
        <f t="shared" si="60"/>
        <v>0</v>
      </c>
      <c r="P391" s="2">
        <f>SUMIFS('XBS '!T:T,'XBS '!H:H,' General Stock Summary View  '!$P$2,'XBS '!L:L,' General Stock Summary View  '!B391,'XBS '!C:C,' General Stock Summary View  '!C391)</f>
        <v>0</v>
      </c>
      <c r="Q391" s="3">
        <f>SUMIFS('PowerApp_Physical count'!H:H,'PowerApp_Physical count'!B:B,' General Stock Summary View  '!$P$2,'PowerApp_Physical count'!C:C,' General Stock Summary View  '!C391,'PowerApp_Physical count'!A:A,' General Stock Summary View  '!B391)</f>
        <v>0</v>
      </c>
      <c r="R391" s="4">
        <f t="shared" si="61"/>
        <v>0</v>
      </c>
      <c r="S391" s="5">
        <f>SUMIFS('XBS '!T:T,'XBS '!L:L,' General Stock Summary View  '!B391,'XBS '!H:H,' General Stock Summary View  '!$S$2,'XBS '!C:C,' General Stock Summary View  '!C391)</f>
        <v>0</v>
      </c>
      <c r="T391" s="3">
        <f>SUMIFS('PowerApp_Physical count'!H:H,'PowerApp_Physical count'!B:B,' General Stock Summary View  '!$S$2,'PowerApp_Physical count'!C:C,' General Stock Summary View  '!C391,'PowerApp_Physical count'!A:A,' General Stock Summary View  '!B391)</f>
        <v>0</v>
      </c>
      <c r="U391" s="4">
        <f t="shared" si="62"/>
        <v>0</v>
      </c>
      <c r="V391" s="2">
        <f>SUMIFS('XBS '!T:T,'XBS '!H:H,' General Stock Summary View  '!$V$2,'XBS '!B:B,' General Stock Summary View  '!C391,'XBS '!L:L,' General Stock Summary View  '!B391)</f>
        <v>0</v>
      </c>
      <c r="W391" s="3">
        <f>SUMIFS('PowerApp_Physical count'!H:H,'PowerApp_Physical count'!B:B,' General Stock Summary View  '!$V$2,'PowerApp_Physical count'!C:C,' General Stock Summary View  '!C391,'PowerApp_Physical count'!A:A,' General Stock Summary View  '!B391)</f>
        <v>0</v>
      </c>
      <c r="X391" s="4">
        <f t="shared" si="63"/>
        <v>0</v>
      </c>
      <c r="Y391" s="5">
        <f>SUMIFS('XBS '!T:T,'XBS '!H:H,' General Stock Summary View  '!$Y$2,'XBS '!B:B,' General Stock Summary View  '!C391,'XBS '!L:L,' General Stock Summary View  '!B391)</f>
        <v>0</v>
      </c>
      <c r="Z391" s="3">
        <f>SUMIFS('PowerApp_Physical count'!H:H,'PowerApp_Physical count'!B:B,' General Stock Summary View  '!$Y$2,'PowerApp_Physical count'!C:C,' General Stock Summary View  '!C391,'PowerApp_Physical count'!A:A,' General Stock Summary View  '!B391)</f>
        <v>0</v>
      </c>
      <c r="AA391" s="4">
        <f t="shared" si="64"/>
        <v>0</v>
      </c>
      <c r="AB391" s="5">
        <f>SUMIFS('XBS '!T:T,'XBS '!H:H,' General Stock Summary View  '!$AB$2,'XBS '!B:B,' General Stock Summary View  '!C391,'XBS '!L:L,' General Stock Summary View  '!B391)</f>
        <v>0</v>
      </c>
      <c r="AC391" s="3">
        <f>SUMIFS('PowerApp_Physical count'!H:H,'PowerApp_Physical count'!B:B,' General Stock Summary View  '!$AB$2,'PowerApp_Physical count'!C:C,' General Stock Summary View  '!C391,'PowerApp_Physical count'!A:A,' General Stock Summary View  '!B391)</f>
        <v>0</v>
      </c>
      <c r="AD391" s="6">
        <f t="shared" si="65"/>
        <v>0</v>
      </c>
      <c r="AE391" s="7">
        <f t="shared" si="66"/>
        <v>2.5833333333333335</v>
      </c>
      <c r="AF391" s="8">
        <f t="shared" si="67"/>
        <v>0</v>
      </c>
      <c r="AG391" s="112"/>
    </row>
    <row r="392" spans="2:33" s="113" customFormat="1" ht="61.15">
      <c r="B392" s="117" t="s">
        <v>376</v>
      </c>
      <c r="C392" s="111" t="s">
        <v>373</v>
      </c>
      <c r="D392" s="11">
        <f>SUMIFS('XBS '!T:T,'XBS '!C:C,' General Stock Summary View  '!C392,'XBS '!L:L,' General Stock Summary View  '!B392)</f>
        <v>7.333333333333333</v>
      </c>
      <c r="E392" s="2">
        <f>SUMIFS('Blocked for Processing'!P:P,'Blocked for Processing'!I:I,' General Stock Summary View  '!B392,'Blocked for Processing'!C:C,' General Stock Summary View  '!C392)</f>
        <v>0</v>
      </c>
      <c r="F392" s="122">
        <f t="shared" si="56"/>
        <v>7.333333333333333</v>
      </c>
      <c r="G392" s="148">
        <f>SUMIFS('XBS '!T:T,'XBS '!H:H,' General Stock Summary View  '!$G$2,'XBS '!L:L,' General Stock Summary View  '!B392,'XBS '!C:C,' General Stock Summary View  '!C392)</f>
        <v>7.333333333333333</v>
      </c>
      <c r="H392" s="3">
        <f>SUMIFS('PowerApp_Physical count'!H:H,'PowerApp_Physical count'!B:B,' General Stock Summary View  '!$G$2,'PowerApp_Physical count'!C:C,' General Stock Summary View  '!C392,'PowerApp_Physical count'!A:A,' General Stock Summary View  '!B392)</f>
        <v>7.333333333333333</v>
      </c>
      <c r="I392" s="154">
        <f t="shared" si="68"/>
        <v>0</v>
      </c>
      <c r="J392" s="11">
        <f>SUMIFS('XBS '!T:T,'XBS '!H:H,' General Stock Summary View  '!$J$2,'XBS '!L:L,' General Stock Summary View  '!B392,'XBS '!C:C,' General Stock Summary View  '!C392)</f>
        <v>0</v>
      </c>
      <c r="K392" s="157">
        <f>SUMIFS('PowerApp_Physical count'!H:H,'PowerApp_Physical count'!B:B,' General Stock Summary View  '!$J$2,'PowerApp_Physical count'!C:C,' General Stock Summary View  '!C392,'PowerApp_Physical count'!A:A,' General Stock Summary View  '!B392)</f>
        <v>0</v>
      </c>
      <c r="L392" s="127">
        <f t="shared" si="57"/>
        <v>0</v>
      </c>
      <c r="M392" s="126">
        <f t="shared" si="58"/>
        <v>7.333333333333333</v>
      </c>
      <c r="N392" s="11">
        <f t="shared" si="59"/>
        <v>7.333333333333333</v>
      </c>
      <c r="O392" s="144">
        <f t="shared" si="60"/>
        <v>0</v>
      </c>
      <c r="P392" s="2">
        <f>SUMIFS('XBS '!T:T,'XBS '!H:H,' General Stock Summary View  '!$P$2,'XBS '!L:L,' General Stock Summary View  '!B392,'XBS '!C:C,' General Stock Summary View  '!C392)</f>
        <v>0</v>
      </c>
      <c r="Q392" s="3">
        <f>SUMIFS('PowerApp_Physical count'!H:H,'PowerApp_Physical count'!B:B,' General Stock Summary View  '!$P$2,'PowerApp_Physical count'!C:C,' General Stock Summary View  '!C392,'PowerApp_Physical count'!A:A,' General Stock Summary View  '!B392)</f>
        <v>0</v>
      </c>
      <c r="R392" s="4">
        <f t="shared" si="61"/>
        <v>0</v>
      </c>
      <c r="S392" s="5">
        <f>SUMIFS('XBS '!T:T,'XBS '!L:L,' General Stock Summary View  '!B392,'XBS '!H:H,' General Stock Summary View  '!$S$2,'XBS '!C:C,' General Stock Summary View  '!C392)</f>
        <v>0</v>
      </c>
      <c r="T392" s="3">
        <f>SUMIFS('PowerApp_Physical count'!H:H,'PowerApp_Physical count'!B:B,' General Stock Summary View  '!$S$2,'PowerApp_Physical count'!C:C,' General Stock Summary View  '!C392,'PowerApp_Physical count'!A:A,' General Stock Summary View  '!B392)</f>
        <v>0</v>
      </c>
      <c r="U392" s="4">
        <f t="shared" si="62"/>
        <v>0</v>
      </c>
      <c r="V392" s="2">
        <f>SUMIFS('XBS '!T:T,'XBS '!H:H,' General Stock Summary View  '!$V$2,'XBS '!B:B,' General Stock Summary View  '!C392,'XBS '!L:L,' General Stock Summary View  '!B392)</f>
        <v>0</v>
      </c>
      <c r="W392" s="3">
        <f>SUMIFS('PowerApp_Physical count'!H:H,'PowerApp_Physical count'!B:B,' General Stock Summary View  '!$V$2,'PowerApp_Physical count'!C:C,' General Stock Summary View  '!C392,'PowerApp_Physical count'!A:A,' General Stock Summary View  '!B392)</f>
        <v>0</v>
      </c>
      <c r="X392" s="4">
        <f t="shared" si="63"/>
        <v>0</v>
      </c>
      <c r="Y392" s="5">
        <f>SUMIFS('XBS '!T:T,'XBS '!H:H,' General Stock Summary View  '!$Y$2,'XBS '!B:B,' General Stock Summary View  '!C392,'XBS '!L:L,' General Stock Summary View  '!B392)</f>
        <v>0</v>
      </c>
      <c r="Z392" s="3">
        <f>SUMIFS('PowerApp_Physical count'!H:H,'PowerApp_Physical count'!B:B,' General Stock Summary View  '!$Y$2,'PowerApp_Physical count'!C:C,' General Stock Summary View  '!C392,'PowerApp_Physical count'!A:A,' General Stock Summary View  '!B392)</f>
        <v>0</v>
      </c>
      <c r="AA392" s="4">
        <f t="shared" si="64"/>
        <v>0</v>
      </c>
      <c r="AB392" s="5">
        <f>SUMIFS('XBS '!T:T,'XBS '!H:H,' General Stock Summary View  '!$AB$2,'XBS '!B:B,' General Stock Summary View  '!C392,'XBS '!L:L,' General Stock Summary View  '!B392)</f>
        <v>0</v>
      </c>
      <c r="AC392" s="3">
        <f>SUMIFS('PowerApp_Physical count'!H:H,'PowerApp_Physical count'!B:B,' General Stock Summary View  '!$AB$2,'PowerApp_Physical count'!C:C,' General Stock Summary View  '!C392,'PowerApp_Physical count'!A:A,' General Stock Summary View  '!B392)</f>
        <v>0</v>
      </c>
      <c r="AD392" s="6">
        <f t="shared" si="65"/>
        <v>0</v>
      </c>
      <c r="AE392" s="7">
        <f t="shared" si="66"/>
        <v>7.333333333333333</v>
      </c>
      <c r="AF392" s="8">
        <f t="shared" si="67"/>
        <v>0</v>
      </c>
      <c r="AG392" s="112"/>
    </row>
    <row r="393" spans="2:33" s="113" customFormat="1" ht="61.15">
      <c r="B393" s="117" t="s">
        <v>279</v>
      </c>
      <c r="C393" s="111" t="s">
        <v>373</v>
      </c>
      <c r="D393" s="11">
        <f>SUMIFS('XBS '!T:T,'XBS '!C:C,' General Stock Summary View  '!C393,'XBS '!L:L,' General Stock Summary View  '!B393)</f>
        <v>1.35</v>
      </c>
      <c r="E393" s="2">
        <f>SUMIFS('Blocked for Processing'!P:P,'Blocked for Processing'!I:I,' General Stock Summary View  '!B393,'Blocked for Processing'!C:C,' General Stock Summary View  '!C393)</f>
        <v>0</v>
      </c>
      <c r="F393" s="122">
        <f t="shared" si="56"/>
        <v>1.35</v>
      </c>
      <c r="G393" s="148">
        <f>SUMIFS('XBS '!T:T,'XBS '!H:H,' General Stock Summary View  '!$G$2,'XBS '!L:L,' General Stock Summary View  '!B393,'XBS '!C:C,' General Stock Summary View  '!C393)</f>
        <v>1.35</v>
      </c>
      <c r="H393" s="3">
        <f>SUMIFS('PowerApp_Physical count'!H:H,'PowerApp_Physical count'!B:B,' General Stock Summary View  '!$G$2,'PowerApp_Physical count'!C:C,' General Stock Summary View  '!C393,'PowerApp_Physical count'!A:A,' General Stock Summary View  '!B393)</f>
        <v>1.35</v>
      </c>
      <c r="I393" s="154">
        <f t="shared" si="68"/>
        <v>0</v>
      </c>
      <c r="J393" s="11">
        <f>SUMIFS('XBS '!T:T,'XBS '!H:H,' General Stock Summary View  '!$J$2,'XBS '!L:L,' General Stock Summary View  '!B393,'XBS '!C:C,' General Stock Summary View  '!C393)</f>
        <v>0</v>
      </c>
      <c r="K393" s="157">
        <f>SUMIFS('PowerApp_Physical count'!H:H,'PowerApp_Physical count'!B:B,' General Stock Summary View  '!$J$2,'PowerApp_Physical count'!C:C,' General Stock Summary View  '!C393,'PowerApp_Physical count'!A:A,' General Stock Summary View  '!B393)</f>
        <v>0</v>
      </c>
      <c r="L393" s="127">
        <f t="shared" si="57"/>
        <v>0</v>
      </c>
      <c r="M393" s="126">
        <f t="shared" si="58"/>
        <v>1.35</v>
      </c>
      <c r="N393" s="11">
        <f t="shared" si="59"/>
        <v>1.35</v>
      </c>
      <c r="O393" s="144">
        <f t="shared" si="60"/>
        <v>0</v>
      </c>
      <c r="P393" s="2">
        <f>SUMIFS('XBS '!T:T,'XBS '!H:H,' General Stock Summary View  '!$P$2,'XBS '!L:L,' General Stock Summary View  '!B393,'XBS '!C:C,' General Stock Summary View  '!C393)</f>
        <v>0</v>
      </c>
      <c r="Q393" s="3">
        <f>SUMIFS('PowerApp_Physical count'!H:H,'PowerApp_Physical count'!B:B,' General Stock Summary View  '!$P$2,'PowerApp_Physical count'!C:C,' General Stock Summary View  '!C393,'PowerApp_Physical count'!A:A,' General Stock Summary View  '!B393)</f>
        <v>0</v>
      </c>
      <c r="R393" s="4">
        <f t="shared" si="61"/>
        <v>0</v>
      </c>
      <c r="S393" s="5">
        <f>SUMIFS('XBS '!T:T,'XBS '!L:L,' General Stock Summary View  '!B393,'XBS '!H:H,' General Stock Summary View  '!$S$2,'XBS '!C:C,' General Stock Summary View  '!C393)</f>
        <v>0</v>
      </c>
      <c r="T393" s="3">
        <f>SUMIFS('PowerApp_Physical count'!H:H,'PowerApp_Physical count'!B:B,' General Stock Summary View  '!$S$2,'PowerApp_Physical count'!C:C,' General Stock Summary View  '!C393,'PowerApp_Physical count'!A:A,' General Stock Summary View  '!B393)</f>
        <v>0</v>
      </c>
      <c r="U393" s="4">
        <f t="shared" si="62"/>
        <v>0</v>
      </c>
      <c r="V393" s="2">
        <f>SUMIFS('XBS '!T:T,'XBS '!H:H,' General Stock Summary View  '!$V$2,'XBS '!B:B,' General Stock Summary View  '!C393,'XBS '!L:L,' General Stock Summary View  '!B393)</f>
        <v>0</v>
      </c>
      <c r="W393" s="3">
        <f>SUMIFS('PowerApp_Physical count'!H:H,'PowerApp_Physical count'!B:B,' General Stock Summary View  '!$V$2,'PowerApp_Physical count'!C:C,' General Stock Summary View  '!C393,'PowerApp_Physical count'!A:A,' General Stock Summary View  '!B393)</f>
        <v>0</v>
      </c>
      <c r="X393" s="4">
        <f t="shared" si="63"/>
        <v>0</v>
      </c>
      <c r="Y393" s="5">
        <f>SUMIFS('XBS '!T:T,'XBS '!H:H,' General Stock Summary View  '!$Y$2,'XBS '!B:B,' General Stock Summary View  '!C393,'XBS '!L:L,' General Stock Summary View  '!B393)</f>
        <v>0</v>
      </c>
      <c r="Z393" s="3">
        <f>SUMIFS('PowerApp_Physical count'!H:H,'PowerApp_Physical count'!B:B,' General Stock Summary View  '!$Y$2,'PowerApp_Physical count'!C:C,' General Stock Summary View  '!C393,'PowerApp_Physical count'!A:A,' General Stock Summary View  '!B393)</f>
        <v>0</v>
      </c>
      <c r="AA393" s="4">
        <f t="shared" si="64"/>
        <v>0</v>
      </c>
      <c r="AB393" s="5">
        <f>SUMIFS('XBS '!T:T,'XBS '!H:H,' General Stock Summary View  '!$AB$2,'XBS '!B:B,' General Stock Summary View  '!C393,'XBS '!L:L,' General Stock Summary View  '!B393)</f>
        <v>0</v>
      </c>
      <c r="AC393" s="3">
        <f>SUMIFS('PowerApp_Physical count'!H:H,'PowerApp_Physical count'!B:B,' General Stock Summary View  '!$AB$2,'PowerApp_Physical count'!C:C,' General Stock Summary View  '!C393,'PowerApp_Physical count'!A:A,' General Stock Summary View  '!B393)</f>
        <v>0</v>
      </c>
      <c r="AD393" s="6">
        <f t="shared" si="65"/>
        <v>0</v>
      </c>
      <c r="AE393" s="7">
        <f t="shared" si="66"/>
        <v>1.35</v>
      </c>
      <c r="AF393" s="8">
        <f t="shared" si="67"/>
        <v>0</v>
      </c>
      <c r="AG393" s="112"/>
    </row>
    <row r="394" spans="2:33" s="113" customFormat="1" ht="61.15">
      <c r="B394" s="117" t="s">
        <v>251</v>
      </c>
      <c r="C394" s="111" t="s">
        <v>373</v>
      </c>
      <c r="D394" s="11">
        <f>SUMIFS('XBS '!T:T,'XBS '!C:C,' General Stock Summary View  '!C394,'XBS '!L:L,' General Stock Summary View  '!B394)</f>
        <v>0.18333333333333332</v>
      </c>
      <c r="E394" s="2">
        <f>SUMIFS('Blocked for Processing'!P:P,'Blocked for Processing'!I:I,' General Stock Summary View  '!B394,'Blocked for Processing'!C:C,' General Stock Summary View  '!C394)</f>
        <v>0</v>
      </c>
      <c r="F394" s="122">
        <f t="shared" si="56"/>
        <v>0.18333333333333332</v>
      </c>
      <c r="G394" s="148">
        <f>SUMIFS('XBS '!T:T,'XBS '!H:H,' General Stock Summary View  '!$G$2,'XBS '!L:L,' General Stock Summary View  '!B394,'XBS '!C:C,' General Stock Summary View  '!C394)</f>
        <v>0.18333333333333332</v>
      </c>
      <c r="H394" s="3">
        <f>SUMIFS('PowerApp_Physical count'!H:H,'PowerApp_Physical count'!B:B,' General Stock Summary View  '!$G$2,'PowerApp_Physical count'!C:C,' General Stock Summary View  '!C394,'PowerApp_Physical count'!A:A,' General Stock Summary View  '!B394)</f>
        <v>0.18333333333333332</v>
      </c>
      <c r="I394" s="154">
        <f t="shared" si="68"/>
        <v>0</v>
      </c>
      <c r="J394" s="11">
        <f>SUMIFS('XBS '!T:T,'XBS '!H:H,' General Stock Summary View  '!$J$2,'XBS '!L:L,' General Stock Summary View  '!B394,'XBS '!C:C,' General Stock Summary View  '!C394)</f>
        <v>0</v>
      </c>
      <c r="K394" s="157">
        <f>SUMIFS('PowerApp_Physical count'!H:H,'PowerApp_Physical count'!B:B,' General Stock Summary View  '!$J$2,'PowerApp_Physical count'!C:C,' General Stock Summary View  '!C394,'PowerApp_Physical count'!A:A,' General Stock Summary View  '!B394)</f>
        <v>0</v>
      </c>
      <c r="L394" s="127">
        <f t="shared" si="57"/>
        <v>0</v>
      </c>
      <c r="M394" s="126">
        <f t="shared" si="58"/>
        <v>0.18333333333333332</v>
      </c>
      <c r="N394" s="11">
        <f t="shared" si="59"/>
        <v>0.18333333333333332</v>
      </c>
      <c r="O394" s="144">
        <f t="shared" si="60"/>
        <v>0</v>
      </c>
      <c r="P394" s="2">
        <f>SUMIFS('XBS '!T:T,'XBS '!H:H,' General Stock Summary View  '!$P$2,'XBS '!L:L,' General Stock Summary View  '!B394,'XBS '!C:C,' General Stock Summary View  '!C394)</f>
        <v>0</v>
      </c>
      <c r="Q394" s="3">
        <f>SUMIFS('PowerApp_Physical count'!H:H,'PowerApp_Physical count'!B:B,' General Stock Summary View  '!$P$2,'PowerApp_Physical count'!C:C,' General Stock Summary View  '!C394,'PowerApp_Physical count'!A:A,' General Stock Summary View  '!B394)</f>
        <v>0</v>
      </c>
      <c r="R394" s="4">
        <f t="shared" si="61"/>
        <v>0</v>
      </c>
      <c r="S394" s="5">
        <f>SUMIFS('XBS '!T:T,'XBS '!L:L,' General Stock Summary View  '!B394,'XBS '!H:H,' General Stock Summary View  '!$S$2,'XBS '!C:C,' General Stock Summary View  '!C394)</f>
        <v>0</v>
      </c>
      <c r="T394" s="3">
        <f>SUMIFS('PowerApp_Physical count'!H:H,'PowerApp_Physical count'!B:B,' General Stock Summary View  '!$S$2,'PowerApp_Physical count'!C:C,' General Stock Summary View  '!C394,'PowerApp_Physical count'!A:A,' General Stock Summary View  '!B394)</f>
        <v>0</v>
      </c>
      <c r="U394" s="4">
        <f t="shared" si="62"/>
        <v>0</v>
      </c>
      <c r="V394" s="2">
        <f>SUMIFS('XBS '!T:T,'XBS '!H:H,' General Stock Summary View  '!$V$2,'XBS '!B:B,' General Stock Summary View  '!C394,'XBS '!L:L,' General Stock Summary View  '!B394)</f>
        <v>0</v>
      </c>
      <c r="W394" s="3">
        <f>SUMIFS('PowerApp_Physical count'!H:H,'PowerApp_Physical count'!B:B,' General Stock Summary View  '!$V$2,'PowerApp_Physical count'!C:C,' General Stock Summary View  '!C394,'PowerApp_Physical count'!A:A,' General Stock Summary View  '!B394)</f>
        <v>0</v>
      </c>
      <c r="X394" s="4">
        <f t="shared" si="63"/>
        <v>0</v>
      </c>
      <c r="Y394" s="5">
        <f>SUMIFS('XBS '!T:T,'XBS '!H:H,' General Stock Summary View  '!$Y$2,'XBS '!B:B,' General Stock Summary View  '!C394,'XBS '!L:L,' General Stock Summary View  '!B394)</f>
        <v>0</v>
      </c>
      <c r="Z394" s="3">
        <f>SUMIFS('PowerApp_Physical count'!H:H,'PowerApp_Physical count'!B:B,' General Stock Summary View  '!$Y$2,'PowerApp_Physical count'!C:C,' General Stock Summary View  '!C394,'PowerApp_Physical count'!A:A,' General Stock Summary View  '!B394)</f>
        <v>0</v>
      </c>
      <c r="AA394" s="4">
        <f t="shared" si="64"/>
        <v>0</v>
      </c>
      <c r="AB394" s="5">
        <f>SUMIFS('XBS '!T:T,'XBS '!H:H,' General Stock Summary View  '!$AB$2,'XBS '!B:B,' General Stock Summary View  '!C394,'XBS '!L:L,' General Stock Summary View  '!B394)</f>
        <v>0</v>
      </c>
      <c r="AC394" s="3">
        <f>SUMIFS('PowerApp_Physical count'!H:H,'PowerApp_Physical count'!B:B,' General Stock Summary View  '!$AB$2,'PowerApp_Physical count'!C:C,' General Stock Summary View  '!C394,'PowerApp_Physical count'!A:A,' General Stock Summary View  '!B394)</f>
        <v>0</v>
      </c>
      <c r="AD394" s="6">
        <f t="shared" si="65"/>
        <v>0</v>
      </c>
      <c r="AE394" s="7">
        <f t="shared" si="66"/>
        <v>0.18333333333333332</v>
      </c>
      <c r="AF394" s="8">
        <f t="shared" si="67"/>
        <v>0</v>
      </c>
      <c r="AG394" s="112"/>
    </row>
    <row r="395" spans="2:33" s="113" customFormat="1" ht="61.15">
      <c r="B395" s="117" t="s">
        <v>250</v>
      </c>
      <c r="C395" s="111" t="s">
        <v>373</v>
      </c>
      <c r="D395" s="11">
        <f>SUMIFS('XBS '!T:T,'XBS '!C:C,' General Stock Summary View  '!C395,'XBS '!L:L,' General Stock Summary View  '!B395)</f>
        <v>3.1333333333333333</v>
      </c>
      <c r="E395" s="2">
        <f>SUMIFS('Blocked for Processing'!P:P,'Blocked for Processing'!I:I,' General Stock Summary View  '!B395,'Blocked for Processing'!C:C,' General Stock Summary View  '!C395)</f>
        <v>0</v>
      </c>
      <c r="F395" s="122">
        <f t="shared" si="56"/>
        <v>3.1333333333333333</v>
      </c>
      <c r="G395" s="148">
        <f>SUMIFS('XBS '!T:T,'XBS '!H:H,' General Stock Summary View  '!$G$2,'XBS '!L:L,' General Stock Summary View  '!B395,'XBS '!C:C,' General Stock Summary View  '!C395)</f>
        <v>3.1333333333333333</v>
      </c>
      <c r="H395" s="3">
        <f>SUMIFS('PowerApp_Physical count'!H:H,'PowerApp_Physical count'!B:B,' General Stock Summary View  '!$G$2,'PowerApp_Physical count'!C:C,' General Stock Summary View  '!C395,'PowerApp_Physical count'!A:A,' General Stock Summary View  '!B395)</f>
        <v>3.1333333333333333</v>
      </c>
      <c r="I395" s="154">
        <f t="shared" si="68"/>
        <v>0</v>
      </c>
      <c r="J395" s="11">
        <f>SUMIFS('XBS '!T:T,'XBS '!H:H,' General Stock Summary View  '!$J$2,'XBS '!L:L,' General Stock Summary View  '!B395,'XBS '!C:C,' General Stock Summary View  '!C395)</f>
        <v>0</v>
      </c>
      <c r="K395" s="157">
        <f>SUMIFS('PowerApp_Physical count'!H:H,'PowerApp_Physical count'!B:B,' General Stock Summary View  '!$J$2,'PowerApp_Physical count'!C:C,' General Stock Summary View  '!C395,'PowerApp_Physical count'!A:A,' General Stock Summary View  '!B395)</f>
        <v>0</v>
      </c>
      <c r="L395" s="127">
        <f t="shared" si="57"/>
        <v>0</v>
      </c>
      <c r="M395" s="126">
        <f t="shared" si="58"/>
        <v>3.1333333333333333</v>
      </c>
      <c r="N395" s="11">
        <f t="shared" si="59"/>
        <v>3.1333333333333333</v>
      </c>
      <c r="O395" s="144">
        <f t="shared" si="60"/>
        <v>0</v>
      </c>
      <c r="P395" s="2">
        <f>SUMIFS('XBS '!T:T,'XBS '!H:H,' General Stock Summary View  '!$P$2,'XBS '!L:L,' General Stock Summary View  '!B395,'XBS '!C:C,' General Stock Summary View  '!C395)</f>
        <v>0</v>
      </c>
      <c r="Q395" s="3">
        <f>SUMIFS('PowerApp_Physical count'!H:H,'PowerApp_Physical count'!B:B,' General Stock Summary View  '!$P$2,'PowerApp_Physical count'!C:C,' General Stock Summary View  '!C395,'PowerApp_Physical count'!A:A,' General Stock Summary View  '!B395)</f>
        <v>0</v>
      </c>
      <c r="R395" s="4">
        <f t="shared" si="61"/>
        <v>0</v>
      </c>
      <c r="S395" s="5">
        <f>SUMIFS('XBS '!T:T,'XBS '!L:L,' General Stock Summary View  '!B395,'XBS '!H:H,' General Stock Summary View  '!$S$2,'XBS '!C:C,' General Stock Summary View  '!C395)</f>
        <v>0</v>
      </c>
      <c r="T395" s="3">
        <f>SUMIFS('PowerApp_Physical count'!H:H,'PowerApp_Physical count'!B:B,' General Stock Summary View  '!$S$2,'PowerApp_Physical count'!C:C,' General Stock Summary View  '!C395,'PowerApp_Physical count'!A:A,' General Stock Summary View  '!B395)</f>
        <v>0</v>
      </c>
      <c r="U395" s="4">
        <f t="shared" si="62"/>
        <v>0</v>
      </c>
      <c r="V395" s="2">
        <f>SUMIFS('XBS '!T:T,'XBS '!H:H,' General Stock Summary View  '!$V$2,'XBS '!B:B,' General Stock Summary View  '!C395,'XBS '!L:L,' General Stock Summary View  '!B395)</f>
        <v>0</v>
      </c>
      <c r="W395" s="3">
        <f>SUMIFS('PowerApp_Physical count'!H:H,'PowerApp_Physical count'!B:B,' General Stock Summary View  '!$V$2,'PowerApp_Physical count'!C:C,' General Stock Summary View  '!C395,'PowerApp_Physical count'!A:A,' General Stock Summary View  '!B395)</f>
        <v>0</v>
      </c>
      <c r="X395" s="4">
        <f t="shared" si="63"/>
        <v>0</v>
      </c>
      <c r="Y395" s="5">
        <f>SUMIFS('XBS '!T:T,'XBS '!H:H,' General Stock Summary View  '!$Y$2,'XBS '!B:B,' General Stock Summary View  '!C395,'XBS '!L:L,' General Stock Summary View  '!B395)</f>
        <v>0</v>
      </c>
      <c r="Z395" s="3">
        <f>SUMIFS('PowerApp_Physical count'!H:H,'PowerApp_Physical count'!B:B,' General Stock Summary View  '!$Y$2,'PowerApp_Physical count'!C:C,' General Stock Summary View  '!C395,'PowerApp_Physical count'!A:A,' General Stock Summary View  '!B395)</f>
        <v>0</v>
      </c>
      <c r="AA395" s="4">
        <f t="shared" si="64"/>
        <v>0</v>
      </c>
      <c r="AB395" s="5">
        <f>SUMIFS('XBS '!T:T,'XBS '!H:H,' General Stock Summary View  '!$AB$2,'XBS '!B:B,' General Stock Summary View  '!C395,'XBS '!L:L,' General Stock Summary View  '!B395)</f>
        <v>0</v>
      </c>
      <c r="AC395" s="3">
        <f>SUMIFS('PowerApp_Physical count'!H:H,'PowerApp_Physical count'!B:B,' General Stock Summary View  '!$AB$2,'PowerApp_Physical count'!C:C,' General Stock Summary View  '!C395,'PowerApp_Physical count'!A:A,' General Stock Summary View  '!B395)</f>
        <v>0</v>
      </c>
      <c r="AD395" s="6">
        <f t="shared" si="65"/>
        <v>0</v>
      </c>
      <c r="AE395" s="7">
        <f t="shared" si="66"/>
        <v>3.1333333333333333</v>
      </c>
      <c r="AF395" s="8">
        <f t="shared" si="67"/>
        <v>0</v>
      </c>
      <c r="AG395" s="112"/>
    </row>
    <row r="396" spans="2:33" s="113" customFormat="1" ht="61.15">
      <c r="B396" s="117" t="s">
        <v>257</v>
      </c>
      <c r="C396" s="111" t="s">
        <v>373</v>
      </c>
      <c r="D396" s="11">
        <f>SUMIFS('XBS '!T:T,'XBS '!C:C,' General Stock Summary View  '!C396,'XBS '!L:L,' General Stock Summary View  '!B396)</f>
        <v>17.083333333333332</v>
      </c>
      <c r="E396" s="2">
        <f>SUMIFS('Blocked for Processing'!P:P,'Blocked for Processing'!I:I,' General Stock Summary View  '!B396,'Blocked for Processing'!C:C,' General Stock Summary View  '!C396)</f>
        <v>0</v>
      </c>
      <c r="F396" s="122">
        <f t="shared" si="56"/>
        <v>17.083333333333332</v>
      </c>
      <c r="G396" s="148">
        <f>SUMIFS('XBS '!T:T,'XBS '!H:H,' General Stock Summary View  '!$G$2,'XBS '!L:L,' General Stock Summary View  '!B396,'XBS '!C:C,' General Stock Summary View  '!C396)</f>
        <v>17.083333333333332</v>
      </c>
      <c r="H396" s="3">
        <f>SUMIFS('PowerApp_Physical count'!H:H,'PowerApp_Physical count'!B:B,' General Stock Summary View  '!$G$2,'PowerApp_Physical count'!C:C,' General Stock Summary View  '!C396,'PowerApp_Physical count'!A:A,' General Stock Summary View  '!B396)</f>
        <v>17.083333333333332</v>
      </c>
      <c r="I396" s="154">
        <f t="shared" si="68"/>
        <v>0</v>
      </c>
      <c r="J396" s="11">
        <f>SUMIFS('XBS '!T:T,'XBS '!H:H,' General Stock Summary View  '!$J$2,'XBS '!L:L,' General Stock Summary View  '!B396,'XBS '!C:C,' General Stock Summary View  '!C396)</f>
        <v>0</v>
      </c>
      <c r="K396" s="157">
        <f>SUMIFS('PowerApp_Physical count'!H:H,'PowerApp_Physical count'!B:B,' General Stock Summary View  '!$J$2,'PowerApp_Physical count'!C:C,' General Stock Summary View  '!C396,'PowerApp_Physical count'!A:A,' General Stock Summary View  '!B396)</f>
        <v>0</v>
      </c>
      <c r="L396" s="127">
        <f t="shared" si="57"/>
        <v>0</v>
      </c>
      <c r="M396" s="126">
        <f t="shared" si="58"/>
        <v>17.083333333333332</v>
      </c>
      <c r="N396" s="11">
        <f t="shared" si="59"/>
        <v>17.083333333333332</v>
      </c>
      <c r="O396" s="144">
        <f t="shared" si="60"/>
        <v>0</v>
      </c>
      <c r="P396" s="2">
        <f>SUMIFS('XBS '!T:T,'XBS '!H:H,' General Stock Summary View  '!$P$2,'XBS '!L:L,' General Stock Summary View  '!B396,'XBS '!C:C,' General Stock Summary View  '!C396)</f>
        <v>0</v>
      </c>
      <c r="Q396" s="3">
        <f>SUMIFS('PowerApp_Physical count'!H:H,'PowerApp_Physical count'!B:B,' General Stock Summary View  '!$P$2,'PowerApp_Physical count'!C:C,' General Stock Summary View  '!C396,'PowerApp_Physical count'!A:A,' General Stock Summary View  '!B396)</f>
        <v>0</v>
      </c>
      <c r="R396" s="4">
        <f t="shared" si="61"/>
        <v>0</v>
      </c>
      <c r="S396" s="5">
        <f>SUMIFS('XBS '!T:T,'XBS '!L:L,' General Stock Summary View  '!B396,'XBS '!H:H,' General Stock Summary View  '!$S$2,'XBS '!C:C,' General Stock Summary View  '!C396)</f>
        <v>0</v>
      </c>
      <c r="T396" s="3">
        <f>SUMIFS('PowerApp_Physical count'!H:H,'PowerApp_Physical count'!B:B,' General Stock Summary View  '!$S$2,'PowerApp_Physical count'!C:C,' General Stock Summary View  '!C396,'PowerApp_Physical count'!A:A,' General Stock Summary View  '!B396)</f>
        <v>0</v>
      </c>
      <c r="U396" s="4">
        <f t="shared" si="62"/>
        <v>0</v>
      </c>
      <c r="V396" s="2">
        <f>SUMIFS('XBS '!T:T,'XBS '!H:H,' General Stock Summary View  '!$V$2,'XBS '!B:B,' General Stock Summary View  '!C396,'XBS '!L:L,' General Stock Summary View  '!B396)</f>
        <v>0</v>
      </c>
      <c r="W396" s="3">
        <f>SUMIFS('PowerApp_Physical count'!H:H,'PowerApp_Physical count'!B:B,' General Stock Summary View  '!$V$2,'PowerApp_Physical count'!C:C,' General Stock Summary View  '!C396,'PowerApp_Physical count'!A:A,' General Stock Summary View  '!B396)</f>
        <v>0</v>
      </c>
      <c r="X396" s="4">
        <f t="shared" si="63"/>
        <v>0</v>
      </c>
      <c r="Y396" s="5">
        <f>SUMIFS('XBS '!T:T,'XBS '!H:H,' General Stock Summary View  '!$Y$2,'XBS '!B:B,' General Stock Summary View  '!C396,'XBS '!L:L,' General Stock Summary View  '!B396)</f>
        <v>0</v>
      </c>
      <c r="Z396" s="3">
        <f>SUMIFS('PowerApp_Physical count'!H:H,'PowerApp_Physical count'!B:B,' General Stock Summary View  '!$Y$2,'PowerApp_Physical count'!C:C,' General Stock Summary View  '!C396,'PowerApp_Physical count'!A:A,' General Stock Summary View  '!B396)</f>
        <v>0</v>
      </c>
      <c r="AA396" s="4">
        <f t="shared" si="64"/>
        <v>0</v>
      </c>
      <c r="AB396" s="5">
        <f>SUMIFS('XBS '!T:T,'XBS '!H:H,' General Stock Summary View  '!$AB$2,'XBS '!B:B,' General Stock Summary View  '!C396,'XBS '!L:L,' General Stock Summary View  '!B396)</f>
        <v>0</v>
      </c>
      <c r="AC396" s="3">
        <f>SUMIFS('PowerApp_Physical count'!H:H,'PowerApp_Physical count'!B:B,' General Stock Summary View  '!$AB$2,'PowerApp_Physical count'!C:C,' General Stock Summary View  '!C396,'PowerApp_Physical count'!A:A,' General Stock Summary View  '!B396)</f>
        <v>0</v>
      </c>
      <c r="AD396" s="6">
        <f t="shared" si="65"/>
        <v>0</v>
      </c>
      <c r="AE396" s="7">
        <f t="shared" si="66"/>
        <v>17.083333333333332</v>
      </c>
      <c r="AF396" s="8">
        <f t="shared" si="67"/>
        <v>0</v>
      </c>
      <c r="AG396" s="112"/>
    </row>
    <row r="397" spans="2:33" s="113" customFormat="1" ht="61.15">
      <c r="B397" s="117" t="s">
        <v>258</v>
      </c>
      <c r="C397" s="111" t="s">
        <v>373</v>
      </c>
      <c r="D397" s="11">
        <f>SUMIFS('XBS '!T:T,'XBS '!C:C,' General Stock Summary View  '!C397,'XBS '!L:L,' General Stock Summary View  '!B397)</f>
        <v>7.5333333333333332</v>
      </c>
      <c r="E397" s="2">
        <f>SUMIFS('Blocked for Processing'!P:P,'Blocked for Processing'!I:I,' General Stock Summary View  '!B397,'Blocked for Processing'!C:C,' General Stock Summary View  '!C397)</f>
        <v>0</v>
      </c>
      <c r="F397" s="122">
        <f t="shared" si="56"/>
        <v>7.5333333333333332</v>
      </c>
      <c r="G397" s="148">
        <f>SUMIFS('XBS '!T:T,'XBS '!H:H,' General Stock Summary View  '!$G$2,'XBS '!L:L,' General Stock Summary View  '!B397,'XBS '!C:C,' General Stock Summary View  '!C397)</f>
        <v>7.5333333333333332</v>
      </c>
      <c r="H397" s="3">
        <f>SUMIFS('PowerApp_Physical count'!H:H,'PowerApp_Physical count'!B:B,' General Stock Summary View  '!$G$2,'PowerApp_Physical count'!C:C,' General Stock Summary View  '!C397,'PowerApp_Physical count'!A:A,' General Stock Summary View  '!B397)</f>
        <v>7.5333333333333332</v>
      </c>
      <c r="I397" s="154">
        <f t="shared" si="68"/>
        <v>0</v>
      </c>
      <c r="J397" s="11">
        <f>SUMIFS('XBS '!T:T,'XBS '!H:H,' General Stock Summary View  '!$J$2,'XBS '!L:L,' General Stock Summary View  '!B397,'XBS '!C:C,' General Stock Summary View  '!C397)</f>
        <v>0</v>
      </c>
      <c r="K397" s="157">
        <f>SUMIFS('PowerApp_Physical count'!H:H,'PowerApp_Physical count'!B:B,' General Stock Summary View  '!$J$2,'PowerApp_Physical count'!C:C,' General Stock Summary View  '!C397,'PowerApp_Physical count'!A:A,' General Stock Summary View  '!B397)</f>
        <v>0</v>
      </c>
      <c r="L397" s="127">
        <f t="shared" si="57"/>
        <v>0</v>
      </c>
      <c r="M397" s="126">
        <f t="shared" si="58"/>
        <v>7.5333333333333332</v>
      </c>
      <c r="N397" s="11">
        <f t="shared" si="59"/>
        <v>7.5333333333333332</v>
      </c>
      <c r="O397" s="144">
        <f t="shared" si="60"/>
        <v>0</v>
      </c>
      <c r="P397" s="2">
        <f>SUMIFS('XBS '!T:T,'XBS '!H:H,' General Stock Summary View  '!$P$2,'XBS '!L:L,' General Stock Summary View  '!B397,'XBS '!C:C,' General Stock Summary View  '!C397)</f>
        <v>0</v>
      </c>
      <c r="Q397" s="3">
        <f>SUMIFS('PowerApp_Physical count'!H:H,'PowerApp_Physical count'!B:B,' General Stock Summary View  '!$P$2,'PowerApp_Physical count'!C:C,' General Stock Summary View  '!C397,'PowerApp_Physical count'!A:A,' General Stock Summary View  '!B397)</f>
        <v>0</v>
      </c>
      <c r="R397" s="4">
        <f t="shared" si="61"/>
        <v>0</v>
      </c>
      <c r="S397" s="5">
        <f>SUMIFS('XBS '!T:T,'XBS '!L:L,' General Stock Summary View  '!B397,'XBS '!H:H,' General Stock Summary View  '!$S$2,'XBS '!C:C,' General Stock Summary View  '!C397)</f>
        <v>0</v>
      </c>
      <c r="T397" s="3">
        <f>SUMIFS('PowerApp_Physical count'!H:H,'PowerApp_Physical count'!B:B,' General Stock Summary View  '!$S$2,'PowerApp_Physical count'!C:C,' General Stock Summary View  '!C397,'PowerApp_Physical count'!A:A,' General Stock Summary View  '!B397)</f>
        <v>0</v>
      </c>
      <c r="U397" s="4">
        <f t="shared" si="62"/>
        <v>0</v>
      </c>
      <c r="V397" s="2">
        <f>SUMIFS('XBS '!T:T,'XBS '!H:H,' General Stock Summary View  '!$V$2,'XBS '!B:B,' General Stock Summary View  '!C397,'XBS '!L:L,' General Stock Summary View  '!B397)</f>
        <v>0</v>
      </c>
      <c r="W397" s="3">
        <f>SUMIFS('PowerApp_Physical count'!H:H,'PowerApp_Physical count'!B:B,' General Stock Summary View  '!$V$2,'PowerApp_Physical count'!C:C,' General Stock Summary View  '!C397,'PowerApp_Physical count'!A:A,' General Stock Summary View  '!B397)</f>
        <v>0</v>
      </c>
      <c r="X397" s="4">
        <f t="shared" si="63"/>
        <v>0</v>
      </c>
      <c r="Y397" s="5">
        <f>SUMIFS('XBS '!T:T,'XBS '!H:H,' General Stock Summary View  '!$Y$2,'XBS '!B:B,' General Stock Summary View  '!C397,'XBS '!L:L,' General Stock Summary View  '!B397)</f>
        <v>0</v>
      </c>
      <c r="Z397" s="3">
        <f>SUMIFS('PowerApp_Physical count'!H:H,'PowerApp_Physical count'!B:B,' General Stock Summary View  '!$Y$2,'PowerApp_Physical count'!C:C,' General Stock Summary View  '!C397,'PowerApp_Physical count'!A:A,' General Stock Summary View  '!B397)</f>
        <v>0</v>
      </c>
      <c r="AA397" s="4">
        <f t="shared" si="64"/>
        <v>0</v>
      </c>
      <c r="AB397" s="5">
        <f>SUMIFS('XBS '!T:T,'XBS '!H:H,' General Stock Summary View  '!$AB$2,'XBS '!B:B,' General Stock Summary View  '!C397,'XBS '!L:L,' General Stock Summary View  '!B397)</f>
        <v>0</v>
      </c>
      <c r="AC397" s="3">
        <f>SUMIFS('PowerApp_Physical count'!H:H,'PowerApp_Physical count'!B:B,' General Stock Summary View  '!$AB$2,'PowerApp_Physical count'!C:C,' General Stock Summary View  '!C397,'PowerApp_Physical count'!A:A,' General Stock Summary View  '!B397)</f>
        <v>0</v>
      </c>
      <c r="AD397" s="6">
        <f t="shared" si="65"/>
        <v>0</v>
      </c>
      <c r="AE397" s="7">
        <f t="shared" si="66"/>
        <v>7.5333333333333332</v>
      </c>
      <c r="AF397" s="8">
        <f t="shared" si="67"/>
        <v>0</v>
      </c>
      <c r="AG397" s="112"/>
    </row>
    <row r="398" spans="2:33" s="113" customFormat="1" ht="61.15">
      <c r="B398" s="117" t="s">
        <v>377</v>
      </c>
      <c r="C398" s="111" t="s">
        <v>373</v>
      </c>
      <c r="D398" s="11">
        <f>SUMIFS('XBS '!T:T,'XBS '!C:C,' General Stock Summary View  '!C398,'XBS '!L:L,' General Stock Summary View  '!B398)</f>
        <v>1.65</v>
      </c>
      <c r="E398" s="2">
        <f>SUMIFS('Blocked for Processing'!P:P,'Blocked for Processing'!I:I,' General Stock Summary View  '!B398,'Blocked for Processing'!C:C,' General Stock Summary View  '!C398)</f>
        <v>0</v>
      </c>
      <c r="F398" s="122">
        <f t="shared" si="56"/>
        <v>1.65</v>
      </c>
      <c r="G398" s="148">
        <f>SUMIFS('XBS '!T:T,'XBS '!H:H,' General Stock Summary View  '!$G$2,'XBS '!L:L,' General Stock Summary View  '!B398,'XBS '!C:C,' General Stock Summary View  '!C398)</f>
        <v>1.65</v>
      </c>
      <c r="H398" s="3">
        <f>SUMIFS('PowerApp_Physical count'!H:H,'PowerApp_Physical count'!B:B,' General Stock Summary View  '!$G$2,'PowerApp_Physical count'!C:C,' General Stock Summary View  '!C398,'PowerApp_Physical count'!A:A,' General Stock Summary View  '!B398)</f>
        <v>1.65</v>
      </c>
      <c r="I398" s="154">
        <f t="shared" si="68"/>
        <v>0</v>
      </c>
      <c r="J398" s="11">
        <f>SUMIFS('XBS '!T:T,'XBS '!H:H,' General Stock Summary View  '!$J$2,'XBS '!L:L,' General Stock Summary View  '!B398,'XBS '!C:C,' General Stock Summary View  '!C398)</f>
        <v>0</v>
      </c>
      <c r="K398" s="157">
        <f>SUMIFS('PowerApp_Physical count'!H:H,'PowerApp_Physical count'!B:B,' General Stock Summary View  '!$J$2,'PowerApp_Physical count'!C:C,' General Stock Summary View  '!C398,'PowerApp_Physical count'!A:A,' General Stock Summary View  '!B398)</f>
        <v>0</v>
      </c>
      <c r="L398" s="127">
        <f t="shared" si="57"/>
        <v>0</v>
      </c>
      <c r="M398" s="126">
        <f t="shared" si="58"/>
        <v>1.65</v>
      </c>
      <c r="N398" s="11">
        <f t="shared" si="59"/>
        <v>1.65</v>
      </c>
      <c r="O398" s="144">
        <f t="shared" si="60"/>
        <v>0</v>
      </c>
      <c r="P398" s="2">
        <f>SUMIFS('XBS '!T:T,'XBS '!H:H,' General Stock Summary View  '!$P$2,'XBS '!L:L,' General Stock Summary View  '!B398,'XBS '!C:C,' General Stock Summary View  '!C398)</f>
        <v>0</v>
      </c>
      <c r="Q398" s="3">
        <f>SUMIFS('PowerApp_Physical count'!H:H,'PowerApp_Physical count'!B:B,' General Stock Summary View  '!$P$2,'PowerApp_Physical count'!C:C,' General Stock Summary View  '!C398,'PowerApp_Physical count'!A:A,' General Stock Summary View  '!B398)</f>
        <v>0</v>
      </c>
      <c r="R398" s="4">
        <f t="shared" si="61"/>
        <v>0</v>
      </c>
      <c r="S398" s="5">
        <f>SUMIFS('XBS '!T:T,'XBS '!L:L,' General Stock Summary View  '!B398,'XBS '!H:H,' General Stock Summary View  '!$S$2,'XBS '!C:C,' General Stock Summary View  '!C398)</f>
        <v>0</v>
      </c>
      <c r="T398" s="3">
        <f>SUMIFS('PowerApp_Physical count'!H:H,'PowerApp_Physical count'!B:B,' General Stock Summary View  '!$S$2,'PowerApp_Physical count'!C:C,' General Stock Summary View  '!C398,'PowerApp_Physical count'!A:A,' General Stock Summary View  '!B398)</f>
        <v>0</v>
      </c>
      <c r="U398" s="4">
        <f t="shared" si="62"/>
        <v>0</v>
      </c>
      <c r="V398" s="2">
        <f>SUMIFS('XBS '!T:T,'XBS '!H:H,' General Stock Summary View  '!$V$2,'XBS '!B:B,' General Stock Summary View  '!C398,'XBS '!L:L,' General Stock Summary View  '!B398)</f>
        <v>0</v>
      </c>
      <c r="W398" s="3">
        <f>SUMIFS('PowerApp_Physical count'!H:H,'PowerApp_Physical count'!B:B,' General Stock Summary View  '!$V$2,'PowerApp_Physical count'!C:C,' General Stock Summary View  '!C398,'PowerApp_Physical count'!A:A,' General Stock Summary View  '!B398)</f>
        <v>0</v>
      </c>
      <c r="X398" s="4">
        <f t="shared" si="63"/>
        <v>0</v>
      </c>
      <c r="Y398" s="5">
        <f>SUMIFS('XBS '!T:T,'XBS '!H:H,' General Stock Summary View  '!$Y$2,'XBS '!B:B,' General Stock Summary View  '!C398,'XBS '!L:L,' General Stock Summary View  '!B398)</f>
        <v>0</v>
      </c>
      <c r="Z398" s="3">
        <f>SUMIFS('PowerApp_Physical count'!H:H,'PowerApp_Physical count'!B:B,' General Stock Summary View  '!$Y$2,'PowerApp_Physical count'!C:C,' General Stock Summary View  '!C398,'PowerApp_Physical count'!A:A,' General Stock Summary View  '!B398)</f>
        <v>0</v>
      </c>
      <c r="AA398" s="4">
        <f t="shared" si="64"/>
        <v>0</v>
      </c>
      <c r="AB398" s="5">
        <f>SUMIFS('XBS '!T:T,'XBS '!H:H,' General Stock Summary View  '!$AB$2,'XBS '!B:B,' General Stock Summary View  '!C398,'XBS '!L:L,' General Stock Summary View  '!B398)</f>
        <v>0</v>
      </c>
      <c r="AC398" s="3">
        <f>SUMIFS('PowerApp_Physical count'!H:H,'PowerApp_Physical count'!B:B,' General Stock Summary View  '!$AB$2,'PowerApp_Physical count'!C:C,' General Stock Summary View  '!C398,'PowerApp_Physical count'!A:A,' General Stock Summary View  '!B398)</f>
        <v>0</v>
      </c>
      <c r="AD398" s="6">
        <f t="shared" si="65"/>
        <v>0</v>
      </c>
      <c r="AE398" s="7">
        <f t="shared" si="66"/>
        <v>1.65</v>
      </c>
      <c r="AF398" s="8">
        <f t="shared" si="67"/>
        <v>0</v>
      </c>
      <c r="AG398" s="112"/>
    </row>
    <row r="399" spans="2:33" s="113" customFormat="1" ht="61.15">
      <c r="B399" s="117" t="s">
        <v>246</v>
      </c>
      <c r="C399" s="111" t="s">
        <v>373</v>
      </c>
      <c r="D399" s="11">
        <f>SUMIFS('XBS '!T:T,'XBS '!C:C,' General Stock Summary View  '!C399,'XBS '!L:L,' General Stock Summary View  '!B399)</f>
        <v>3.1666666666666665</v>
      </c>
      <c r="E399" s="2">
        <f>SUMIFS('Blocked for Processing'!P:P,'Blocked for Processing'!I:I,' General Stock Summary View  '!B399,'Blocked for Processing'!C:C,' General Stock Summary View  '!C399)</f>
        <v>0</v>
      </c>
      <c r="F399" s="122">
        <f t="shared" si="56"/>
        <v>3.1666666666666665</v>
      </c>
      <c r="G399" s="148">
        <f>SUMIFS('XBS '!T:T,'XBS '!H:H,' General Stock Summary View  '!$G$2,'XBS '!L:L,' General Stock Summary View  '!B399,'XBS '!C:C,' General Stock Summary View  '!C399)</f>
        <v>3.1666666666666665</v>
      </c>
      <c r="H399" s="3">
        <f>SUMIFS('PowerApp_Physical count'!H:H,'PowerApp_Physical count'!B:B,' General Stock Summary View  '!$G$2,'PowerApp_Physical count'!C:C,' General Stock Summary View  '!C399,'PowerApp_Physical count'!A:A,' General Stock Summary View  '!B399)</f>
        <v>3.1666666666666665</v>
      </c>
      <c r="I399" s="154">
        <f t="shared" ref="I399:I462" si="69">H399-G399</f>
        <v>0</v>
      </c>
      <c r="J399" s="11">
        <f>SUMIFS('XBS '!T:T,'XBS '!H:H,' General Stock Summary View  '!$J$2,'XBS '!L:L,' General Stock Summary View  '!B399,'XBS '!C:C,' General Stock Summary View  '!C399)</f>
        <v>0</v>
      </c>
      <c r="K399" s="157">
        <f>SUMIFS('PowerApp_Physical count'!H:H,'PowerApp_Physical count'!B:B,' General Stock Summary View  '!$J$2,'PowerApp_Physical count'!C:C,' General Stock Summary View  '!C399,'PowerApp_Physical count'!A:A,' General Stock Summary View  '!B399)</f>
        <v>0</v>
      </c>
      <c r="L399" s="127">
        <f t="shared" si="57"/>
        <v>0</v>
      </c>
      <c r="M399" s="126">
        <f t="shared" si="58"/>
        <v>3.1666666666666665</v>
      </c>
      <c r="N399" s="11">
        <f t="shared" si="59"/>
        <v>3.1666666666666665</v>
      </c>
      <c r="O399" s="144">
        <f t="shared" si="60"/>
        <v>0</v>
      </c>
      <c r="P399" s="2">
        <f>SUMIFS('XBS '!T:T,'XBS '!H:H,' General Stock Summary View  '!$P$2,'XBS '!L:L,' General Stock Summary View  '!B399,'XBS '!C:C,' General Stock Summary View  '!C399)</f>
        <v>0</v>
      </c>
      <c r="Q399" s="3">
        <f>SUMIFS('PowerApp_Physical count'!H:H,'PowerApp_Physical count'!B:B,' General Stock Summary View  '!$P$2,'PowerApp_Physical count'!C:C,' General Stock Summary View  '!C399,'PowerApp_Physical count'!A:A,' General Stock Summary View  '!B399)</f>
        <v>0</v>
      </c>
      <c r="R399" s="4">
        <f t="shared" si="61"/>
        <v>0</v>
      </c>
      <c r="S399" s="5">
        <f>SUMIFS('XBS '!T:T,'XBS '!L:L,' General Stock Summary View  '!B399,'XBS '!H:H,' General Stock Summary View  '!$S$2,'XBS '!C:C,' General Stock Summary View  '!C399)</f>
        <v>0</v>
      </c>
      <c r="T399" s="3">
        <f>SUMIFS('PowerApp_Physical count'!H:H,'PowerApp_Physical count'!B:B,' General Stock Summary View  '!$S$2,'PowerApp_Physical count'!C:C,' General Stock Summary View  '!C399,'PowerApp_Physical count'!A:A,' General Stock Summary View  '!B399)</f>
        <v>0</v>
      </c>
      <c r="U399" s="4">
        <f t="shared" si="62"/>
        <v>0</v>
      </c>
      <c r="V399" s="2">
        <f>SUMIFS('XBS '!T:T,'XBS '!H:H,' General Stock Summary View  '!$V$2,'XBS '!B:B,' General Stock Summary View  '!C399,'XBS '!L:L,' General Stock Summary View  '!B399)</f>
        <v>0</v>
      </c>
      <c r="W399" s="3">
        <f>SUMIFS('PowerApp_Physical count'!H:H,'PowerApp_Physical count'!B:B,' General Stock Summary View  '!$V$2,'PowerApp_Physical count'!C:C,' General Stock Summary View  '!C399,'PowerApp_Physical count'!A:A,' General Stock Summary View  '!B399)</f>
        <v>0</v>
      </c>
      <c r="X399" s="4">
        <f t="shared" si="63"/>
        <v>0</v>
      </c>
      <c r="Y399" s="5">
        <f>SUMIFS('XBS '!T:T,'XBS '!H:H,' General Stock Summary View  '!$Y$2,'XBS '!B:B,' General Stock Summary View  '!C399,'XBS '!L:L,' General Stock Summary View  '!B399)</f>
        <v>0</v>
      </c>
      <c r="Z399" s="3">
        <f>SUMIFS('PowerApp_Physical count'!H:H,'PowerApp_Physical count'!B:B,' General Stock Summary View  '!$Y$2,'PowerApp_Physical count'!C:C,' General Stock Summary View  '!C399,'PowerApp_Physical count'!A:A,' General Stock Summary View  '!B399)</f>
        <v>0</v>
      </c>
      <c r="AA399" s="4">
        <f t="shared" si="64"/>
        <v>0</v>
      </c>
      <c r="AB399" s="5">
        <f>SUMIFS('XBS '!T:T,'XBS '!H:H,' General Stock Summary View  '!$AB$2,'XBS '!B:B,' General Stock Summary View  '!C399,'XBS '!L:L,' General Stock Summary View  '!B399)</f>
        <v>0</v>
      </c>
      <c r="AC399" s="3">
        <f>SUMIFS('PowerApp_Physical count'!H:H,'PowerApp_Physical count'!B:B,' General Stock Summary View  '!$AB$2,'PowerApp_Physical count'!C:C,' General Stock Summary View  '!C399,'PowerApp_Physical count'!A:A,' General Stock Summary View  '!B399)</f>
        <v>0</v>
      </c>
      <c r="AD399" s="6">
        <f t="shared" si="65"/>
        <v>0</v>
      </c>
      <c r="AE399" s="7">
        <f t="shared" si="66"/>
        <v>3.1666666666666665</v>
      </c>
      <c r="AF399" s="8">
        <f t="shared" si="67"/>
        <v>0</v>
      </c>
      <c r="AG399" s="112"/>
    </row>
    <row r="400" spans="2:33" s="113" customFormat="1" ht="61.15">
      <c r="B400" s="117" t="s">
        <v>247</v>
      </c>
      <c r="C400" s="111" t="s">
        <v>373</v>
      </c>
      <c r="D400" s="11">
        <f>SUMIFS('XBS '!T:T,'XBS '!C:C,' General Stock Summary View  '!C400,'XBS '!L:L,' General Stock Summary View  '!B400)</f>
        <v>1.3833333333333333</v>
      </c>
      <c r="E400" s="2">
        <f>SUMIFS('Blocked for Processing'!P:P,'Blocked for Processing'!I:I,' General Stock Summary View  '!B400,'Blocked for Processing'!C:C,' General Stock Summary View  '!C400)</f>
        <v>0</v>
      </c>
      <c r="F400" s="122">
        <f t="shared" si="56"/>
        <v>1.3833333333333333</v>
      </c>
      <c r="G400" s="148">
        <f>SUMIFS('XBS '!T:T,'XBS '!H:H,' General Stock Summary View  '!$G$2,'XBS '!L:L,' General Stock Summary View  '!B400,'XBS '!C:C,' General Stock Summary View  '!C400)</f>
        <v>1.3833333333333333</v>
      </c>
      <c r="H400" s="3">
        <f>SUMIFS('PowerApp_Physical count'!H:H,'PowerApp_Physical count'!B:B,' General Stock Summary View  '!$G$2,'PowerApp_Physical count'!C:C,' General Stock Summary View  '!C400,'PowerApp_Physical count'!A:A,' General Stock Summary View  '!B400)</f>
        <v>1.3833333333333333</v>
      </c>
      <c r="I400" s="154">
        <f t="shared" si="69"/>
        <v>0</v>
      </c>
      <c r="J400" s="11">
        <f>SUMIFS('XBS '!T:T,'XBS '!H:H,' General Stock Summary View  '!$J$2,'XBS '!L:L,' General Stock Summary View  '!B400,'XBS '!C:C,' General Stock Summary View  '!C400)</f>
        <v>0</v>
      </c>
      <c r="K400" s="157">
        <f>SUMIFS('PowerApp_Physical count'!H:H,'PowerApp_Physical count'!B:B,' General Stock Summary View  '!$J$2,'PowerApp_Physical count'!C:C,' General Stock Summary View  '!C400,'PowerApp_Physical count'!A:A,' General Stock Summary View  '!B400)</f>
        <v>0</v>
      </c>
      <c r="L400" s="127">
        <f t="shared" si="57"/>
        <v>0</v>
      </c>
      <c r="M400" s="126">
        <f t="shared" si="58"/>
        <v>1.3833333333333333</v>
      </c>
      <c r="N400" s="11">
        <f t="shared" si="59"/>
        <v>1.3833333333333333</v>
      </c>
      <c r="O400" s="144">
        <f t="shared" si="60"/>
        <v>0</v>
      </c>
      <c r="P400" s="2">
        <f>SUMIFS('XBS '!T:T,'XBS '!H:H,' General Stock Summary View  '!$P$2,'XBS '!L:L,' General Stock Summary View  '!B400,'XBS '!C:C,' General Stock Summary View  '!C400)</f>
        <v>0</v>
      </c>
      <c r="Q400" s="3">
        <f>SUMIFS('PowerApp_Physical count'!H:H,'PowerApp_Physical count'!B:B,' General Stock Summary View  '!$P$2,'PowerApp_Physical count'!C:C,' General Stock Summary View  '!C400,'PowerApp_Physical count'!A:A,' General Stock Summary View  '!B400)</f>
        <v>0</v>
      </c>
      <c r="R400" s="4">
        <f t="shared" si="61"/>
        <v>0</v>
      </c>
      <c r="S400" s="5">
        <f>SUMIFS('XBS '!T:T,'XBS '!L:L,' General Stock Summary View  '!B400,'XBS '!H:H,' General Stock Summary View  '!$S$2,'XBS '!C:C,' General Stock Summary View  '!C400)</f>
        <v>0</v>
      </c>
      <c r="T400" s="3">
        <f>SUMIFS('PowerApp_Physical count'!H:H,'PowerApp_Physical count'!B:B,' General Stock Summary View  '!$S$2,'PowerApp_Physical count'!C:C,' General Stock Summary View  '!C400,'PowerApp_Physical count'!A:A,' General Stock Summary View  '!B400)</f>
        <v>0</v>
      </c>
      <c r="U400" s="4">
        <f t="shared" si="62"/>
        <v>0</v>
      </c>
      <c r="V400" s="2">
        <f>SUMIFS('XBS '!T:T,'XBS '!H:H,' General Stock Summary View  '!$V$2,'XBS '!B:B,' General Stock Summary View  '!C400,'XBS '!L:L,' General Stock Summary View  '!B400)</f>
        <v>0</v>
      </c>
      <c r="W400" s="3">
        <f>SUMIFS('PowerApp_Physical count'!H:H,'PowerApp_Physical count'!B:B,' General Stock Summary View  '!$V$2,'PowerApp_Physical count'!C:C,' General Stock Summary View  '!C400,'PowerApp_Physical count'!A:A,' General Stock Summary View  '!B400)</f>
        <v>0</v>
      </c>
      <c r="X400" s="4">
        <f t="shared" si="63"/>
        <v>0</v>
      </c>
      <c r="Y400" s="5">
        <f>SUMIFS('XBS '!T:T,'XBS '!H:H,' General Stock Summary View  '!$Y$2,'XBS '!B:B,' General Stock Summary View  '!C400,'XBS '!L:L,' General Stock Summary View  '!B400)</f>
        <v>0</v>
      </c>
      <c r="Z400" s="3">
        <f>SUMIFS('PowerApp_Physical count'!H:H,'PowerApp_Physical count'!B:B,' General Stock Summary View  '!$Y$2,'PowerApp_Physical count'!C:C,' General Stock Summary View  '!C400,'PowerApp_Physical count'!A:A,' General Stock Summary View  '!B400)</f>
        <v>0</v>
      </c>
      <c r="AA400" s="4">
        <f t="shared" si="64"/>
        <v>0</v>
      </c>
      <c r="AB400" s="5">
        <f>SUMIFS('XBS '!T:T,'XBS '!H:H,' General Stock Summary View  '!$AB$2,'XBS '!B:B,' General Stock Summary View  '!C400,'XBS '!L:L,' General Stock Summary View  '!B400)</f>
        <v>0</v>
      </c>
      <c r="AC400" s="3">
        <f>SUMIFS('PowerApp_Physical count'!H:H,'PowerApp_Physical count'!B:B,' General Stock Summary View  '!$AB$2,'PowerApp_Physical count'!C:C,' General Stock Summary View  '!C400,'PowerApp_Physical count'!A:A,' General Stock Summary View  '!B400)</f>
        <v>0</v>
      </c>
      <c r="AD400" s="6">
        <f t="shared" si="65"/>
        <v>0</v>
      </c>
      <c r="AE400" s="7">
        <f t="shared" si="66"/>
        <v>1.3833333333333333</v>
      </c>
      <c r="AF400" s="8">
        <f t="shared" si="67"/>
        <v>0</v>
      </c>
      <c r="AG400" s="112"/>
    </row>
    <row r="401" spans="2:33" s="113" customFormat="1" ht="61.15">
      <c r="B401" s="117" t="s">
        <v>242</v>
      </c>
      <c r="C401" s="111" t="s">
        <v>373</v>
      </c>
      <c r="D401" s="11">
        <f>SUMIFS('XBS '!T:T,'XBS '!C:C,' General Stock Summary View  '!C401,'XBS '!L:L,' General Stock Summary View  '!B401)</f>
        <v>2.2833333333333332</v>
      </c>
      <c r="E401" s="2">
        <f>SUMIFS('Blocked for Processing'!P:P,'Blocked for Processing'!I:I,' General Stock Summary View  '!B401,'Blocked for Processing'!C:C,' General Stock Summary View  '!C401)</f>
        <v>0</v>
      </c>
      <c r="F401" s="122">
        <f t="shared" si="56"/>
        <v>2.2833333333333332</v>
      </c>
      <c r="G401" s="148">
        <f>SUMIFS('XBS '!T:T,'XBS '!H:H,' General Stock Summary View  '!$G$2,'XBS '!L:L,' General Stock Summary View  '!B401,'XBS '!C:C,' General Stock Summary View  '!C401)</f>
        <v>2.2833333333333332</v>
      </c>
      <c r="H401" s="3">
        <f>SUMIFS('PowerApp_Physical count'!H:H,'PowerApp_Physical count'!B:B,' General Stock Summary View  '!$G$2,'PowerApp_Physical count'!C:C,' General Stock Summary View  '!C401,'PowerApp_Physical count'!A:A,' General Stock Summary View  '!B401)</f>
        <v>2.2833333333333332</v>
      </c>
      <c r="I401" s="154">
        <f t="shared" si="69"/>
        <v>0</v>
      </c>
      <c r="J401" s="11">
        <f>SUMIFS('XBS '!T:T,'XBS '!H:H,' General Stock Summary View  '!$J$2,'XBS '!L:L,' General Stock Summary View  '!B401,'XBS '!C:C,' General Stock Summary View  '!C401)</f>
        <v>0</v>
      </c>
      <c r="K401" s="157">
        <f>SUMIFS('PowerApp_Physical count'!H:H,'PowerApp_Physical count'!B:B,' General Stock Summary View  '!$J$2,'PowerApp_Physical count'!C:C,' General Stock Summary View  '!C401,'PowerApp_Physical count'!A:A,' General Stock Summary View  '!B401)</f>
        <v>0</v>
      </c>
      <c r="L401" s="127">
        <f t="shared" si="57"/>
        <v>0</v>
      </c>
      <c r="M401" s="126">
        <f t="shared" si="58"/>
        <v>2.2833333333333332</v>
      </c>
      <c r="N401" s="11">
        <f t="shared" si="59"/>
        <v>2.2833333333333332</v>
      </c>
      <c r="O401" s="144">
        <f t="shared" si="60"/>
        <v>0</v>
      </c>
      <c r="P401" s="2">
        <f>SUMIFS('XBS '!T:T,'XBS '!H:H,' General Stock Summary View  '!$P$2,'XBS '!L:L,' General Stock Summary View  '!B401,'XBS '!C:C,' General Stock Summary View  '!C401)</f>
        <v>0</v>
      </c>
      <c r="Q401" s="3">
        <f>SUMIFS('PowerApp_Physical count'!H:H,'PowerApp_Physical count'!B:B,' General Stock Summary View  '!$P$2,'PowerApp_Physical count'!C:C,' General Stock Summary View  '!C401,'PowerApp_Physical count'!A:A,' General Stock Summary View  '!B401)</f>
        <v>0</v>
      </c>
      <c r="R401" s="4">
        <f t="shared" si="61"/>
        <v>0</v>
      </c>
      <c r="S401" s="5">
        <f>SUMIFS('XBS '!T:T,'XBS '!L:L,' General Stock Summary View  '!B401,'XBS '!H:H,' General Stock Summary View  '!$S$2,'XBS '!C:C,' General Stock Summary View  '!C401)</f>
        <v>0</v>
      </c>
      <c r="T401" s="3">
        <f>SUMIFS('PowerApp_Physical count'!H:H,'PowerApp_Physical count'!B:B,' General Stock Summary View  '!$S$2,'PowerApp_Physical count'!C:C,' General Stock Summary View  '!C401,'PowerApp_Physical count'!A:A,' General Stock Summary View  '!B401)</f>
        <v>0</v>
      </c>
      <c r="U401" s="4">
        <f t="shared" si="62"/>
        <v>0</v>
      </c>
      <c r="V401" s="2">
        <f>SUMIFS('XBS '!T:T,'XBS '!H:H,' General Stock Summary View  '!$V$2,'XBS '!B:B,' General Stock Summary View  '!C401,'XBS '!L:L,' General Stock Summary View  '!B401)</f>
        <v>0</v>
      </c>
      <c r="W401" s="3">
        <f>SUMIFS('PowerApp_Physical count'!H:H,'PowerApp_Physical count'!B:B,' General Stock Summary View  '!$V$2,'PowerApp_Physical count'!C:C,' General Stock Summary View  '!C401,'PowerApp_Physical count'!A:A,' General Stock Summary View  '!B401)</f>
        <v>0</v>
      </c>
      <c r="X401" s="4">
        <f t="shared" si="63"/>
        <v>0</v>
      </c>
      <c r="Y401" s="5">
        <f>SUMIFS('XBS '!T:T,'XBS '!H:H,' General Stock Summary View  '!$Y$2,'XBS '!B:B,' General Stock Summary View  '!C401,'XBS '!L:L,' General Stock Summary View  '!B401)</f>
        <v>0</v>
      </c>
      <c r="Z401" s="3">
        <f>SUMIFS('PowerApp_Physical count'!H:H,'PowerApp_Physical count'!B:B,' General Stock Summary View  '!$Y$2,'PowerApp_Physical count'!C:C,' General Stock Summary View  '!C401,'PowerApp_Physical count'!A:A,' General Stock Summary View  '!B401)</f>
        <v>0</v>
      </c>
      <c r="AA401" s="4">
        <f t="shared" si="64"/>
        <v>0</v>
      </c>
      <c r="AB401" s="5">
        <f>SUMIFS('XBS '!T:T,'XBS '!H:H,' General Stock Summary View  '!$AB$2,'XBS '!B:B,' General Stock Summary View  '!C401,'XBS '!L:L,' General Stock Summary View  '!B401)</f>
        <v>0</v>
      </c>
      <c r="AC401" s="3">
        <f>SUMIFS('PowerApp_Physical count'!H:H,'PowerApp_Physical count'!B:B,' General Stock Summary View  '!$AB$2,'PowerApp_Physical count'!C:C,' General Stock Summary View  '!C401,'PowerApp_Physical count'!A:A,' General Stock Summary View  '!B401)</f>
        <v>0</v>
      </c>
      <c r="AD401" s="6">
        <f t="shared" si="65"/>
        <v>0</v>
      </c>
      <c r="AE401" s="7">
        <f t="shared" si="66"/>
        <v>2.2833333333333332</v>
      </c>
      <c r="AF401" s="8">
        <f t="shared" si="67"/>
        <v>0</v>
      </c>
      <c r="AG401" s="112"/>
    </row>
    <row r="402" spans="2:33" s="113" customFormat="1" ht="61.15">
      <c r="B402" s="117" t="s">
        <v>378</v>
      </c>
      <c r="C402" s="111" t="s">
        <v>373</v>
      </c>
      <c r="D402" s="11">
        <f>SUMIFS('XBS '!T:T,'XBS '!C:C,' General Stock Summary View  '!C402,'XBS '!L:L,' General Stock Summary View  '!B402)</f>
        <v>6.6833333333333336</v>
      </c>
      <c r="E402" s="2">
        <f>SUMIFS('Blocked for Processing'!P:P,'Blocked for Processing'!I:I,' General Stock Summary View  '!B402,'Blocked for Processing'!C:C,' General Stock Summary View  '!C402)</f>
        <v>0</v>
      </c>
      <c r="F402" s="122">
        <f t="shared" si="56"/>
        <v>6.6833333333333336</v>
      </c>
      <c r="G402" s="148">
        <f>SUMIFS('XBS '!T:T,'XBS '!H:H,' General Stock Summary View  '!$G$2,'XBS '!L:L,' General Stock Summary View  '!B402,'XBS '!C:C,' General Stock Summary View  '!C402)</f>
        <v>6.6833333333333336</v>
      </c>
      <c r="H402" s="3">
        <f>SUMIFS('PowerApp_Physical count'!H:H,'PowerApp_Physical count'!B:B,' General Stock Summary View  '!$G$2,'PowerApp_Physical count'!C:C,' General Stock Summary View  '!C402,'PowerApp_Physical count'!A:A,' General Stock Summary View  '!B402)</f>
        <v>6.6833333333333336</v>
      </c>
      <c r="I402" s="154">
        <f t="shared" si="69"/>
        <v>0</v>
      </c>
      <c r="J402" s="11">
        <f>SUMIFS('XBS '!T:T,'XBS '!H:H,' General Stock Summary View  '!$J$2,'XBS '!L:L,' General Stock Summary View  '!B402,'XBS '!C:C,' General Stock Summary View  '!C402)</f>
        <v>0</v>
      </c>
      <c r="K402" s="157">
        <f>SUMIFS('PowerApp_Physical count'!H:H,'PowerApp_Physical count'!B:B,' General Stock Summary View  '!$J$2,'PowerApp_Physical count'!C:C,' General Stock Summary View  '!C402,'PowerApp_Physical count'!A:A,' General Stock Summary View  '!B402)</f>
        <v>0</v>
      </c>
      <c r="L402" s="127">
        <f t="shared" si="57"/>
        <v>0</v>
      </c>
      <c r="M402" s="126">
        <f t="shared" si="58"/>
        <v>6.6833333333333336</v>
      </c>
      <c r="N402" s="11">
        <f t="shared" si="59"/>
        <v>6.6833333333333336</v>
      </c>
      <c r="O402" s="144">
        <f t="shared" si="60"/>
        <v>0</v>
      </c>
      <c r="P402" s="2">
        <f>SUMIFS('XBS '!T:T,'XBS '!H:H,' General Stock Summary View  '!$P$2,'XBS '!L:L,' General Stock Summary View  '!B402,'XBS '!C:C,' General Stock Summary View  '!C402)</f>
        <v>0</v>
      </c>
      <c r="Q402" s="3">
        <f>SUMIFS('PowerApp_Physical count'!H:H,'PowerApp_Physical count'!B:B,' General Stock Summary View  '!$P$2,'PowerApp_Physical count'!C:C,' General Stock Summary View  '!C402,'PowerApp_Physical count'!A:A,' General Stock Summary View  '!B402)</f>
        <v>0</v>
      </c>
      <c r="R402" s="4">
        <f t="shared" si="61"/>
        <v>0</v>
      </c>
      <c r="S402" s="5">
        <f>SUMIFS('XBS '!T:T,'XBS '!L:L,' General Stock Summary View  '!B402,'XBS '!H:H,' General Stock Summary View  '!$S$2,'XBS '!C:C,' General Stock Summary View  '!C402)</f>
        <v>0</v>
      </c>
      <c r="T402" s="3">
        <f>SUMIFS('PowerApp_Physical count'!H:H,'PowerApp_Physical count'!B:B,' General Stock Summary View  '!$S$2,'PowerApp_Physical count'!C:C,' General Stock Summary View  '!C402,'PowerApp_Physical count'!A:A,' General Stock Summary View  '!B402)</f>
        <v>0</v>
      </c>
      <c r="U402" s="4">
        <f t="shared" si="62"/>
        <v>0</v>
      </c>
      <c r="V402" s="2">
        <f>SUMIFS('XBS '!T:T,'XBS '!H:H,' General Stock Summary View  '!$V$2,'XBS '!B:B,' General Stock Summary View  '!C402,'XBS '!L:L,' General Stock Summary View  '!B402)</f>
        <v>0</v>
      </c>
      <c r="W402" s="3">
        <f>SUMIFS('PowerApp_Physical count'!H:H,'PowerApp_Physical count'!B:B,' General Stock Summary View  '!$V$2,'PowerApp_Physical count'!C:C,' General Stock Summary View  '!C402,'PowerApp_Physical count'!A:A,' General Stock Summary View  '!B402)</f>
        <v>0</v>
      </c>
      <c r="X402" s="4">
        <f t="shared" si="63"/>
        <v>0</v>
      </c>
      <c r="Y402" s="5">
        <f>SUMIFS('XBS '!T:T,'XBS '!H:H,' General Stock Summary View  '!$Y$2,'XBS '!B:B,' General Stock Summary View  '!C402,'XBS '!L:L,' General Stock Summary View  '!B402)</f>
        <v>0</v>
      </c>
      <c r="Z402" s="3">
        <f>SUMIFS('PowerApp_Physical count'!H:H,'PowerApp_Physical count'!B:B,' General Stock Summary View  '!$Y$2,'PowerApp_Physical count'!C:C,' General Stock Summary View  '!C402,'PowerApp_Physical count'!A:A,' General Stock Summary View  '!B402)</f>
        <v>0</v>
      </c>
      <c r="AA402" s="4">
        <f t="shared" si="64"/>
        <v>0</v>
      </c>
      <c r="AB402" s="5">
        <f>SUMIFS('XBS '!T:T,'XBS '!H:H,' General Stock Summary View  '!$AB$2,'XBS '!B:B,' General Stock Summary View  '!C402,'XBS '!L:L,' General Stock Summary View  '!B402)</f>
        <v>0</v>
      </c>
      <c r="AC402" s="3">
        <f>SUMIFS('PowerApp_Physical count'!H:H,'PowerApp_Physical count'!B:B,' General Stock Summary View  '!$AB$2,'PowerApp_Physical count'!C:C,' General Stock Summary View  '!C402,'PowerApp_Physical count'!A:A,' General Stock Summary View  '!B402)</f>
        <v>0</v>
      </c>
      <c r="AD402" s="6">
        <f t="shared" si="65"/>
        <v>0</v>
      </c>
      <c r="AE402" s="7">
        <f t="shared" si="66"/>
        <v>6.6833333333333336</v>
      </c>
      <c r="AF402" s="8">
        <f t="shared" si="67"/>
        <v>0</v>
      </c>
      <c r="AG402" s="112"/>
    </row>
    <row r="403" spans="2:33" s="113" customFormat="1" ht="61.15">
      <c r="B403" s="117" t="s">
        <v>379</v>
      </c>
      <c r="C403" s="111" t="s">
        <v>373</v>
      </c>
      <c r="D403" s="11">
        <f>SUMIFS('XBS '!T:T,'XBS '!C:C,' General Stock Summary View  '!C403,'XBS '!L:L,' General Stock Summary View  '!B403)</f>
        <v>16.850000000000001</v>
      </c>
      <c r="E403" s="2">
        <f>SUMIFS('Blocked for Processing'!P:P,'Blocked for Processing'!I:I,' General Stock Summary View  '!B403,'Blocked for Processing'!C:C,' General Stock Summary View  '!C403)</f>
        <v>0</v>
      </c>
      <c r="F403" s="122">
        <f t="shared" si="56"/>
        <v>16.850000000000001</v>
      </c>
      <c r="G403" s="148">
        <f>SUMIFS('XBS '!T:T,'XBS '!H:H,' General Stock Summary View  '!$G$2,'XBS '!L:L,' General Stock Summary View  '!B403,'XBS '!C:C,' General Stock Summary View  '!C403)</f>
        <v>16.850000000000001</v>
      </c>
      <c r="H403" s="3">
        <f>SUMIFS('PowerApp_Physical count'!H:H,'PowerApp_Physical count'!B:B,' General Stock Summary View  '!$G$2,'PowerApp_Physical count'!C:C,' General Stock Summary View  '!C403,'PowerApp_Physical count'!A:A,' General Stock Summary View  '!B403)</f>
        <v>16.850000000000001</v>
      </c>
      <c r="I403" s="154">
        <f t="shared" si="69"/>
        <v>0</v>
      </c>
      <c r="J403" s="11">
        <f>SUMIFS('XBS '!T:T,'XBS '!H:H,' General Stock Summary View  '!$J$2,'XBS '!L:L,' General Stock Summary View  '!B403,'XBS '!C:C,' General Stock Summary View  '!C403)</f>
        <v>0</v>
      </c>
      <c r="K403" s="157">
        <f>SUMIFS('PowerApp_Physical count'!H:H,'PowerApp_Physical count'!B:B,' General Stock Summary View  '!$J$2,'PowerApp_Physical count'!C:C,' General Stock Summary View  '!C403,'PowerApp_Physical count'!A:A,' General Stock Summary View  '!B403)</f>
        <v>0</v>
      </c>
      <c r="L403" s="127">
        <f t="shared" si="57"/>
        <v>0</v>
      </c>
      <c r="M403" s="126">
        <f t="shared" si="58"/>
        <v>16.850000000000001</v>
      </c>
      <c r="N403" s="11">
        <f t="shared" si="59"/>
        <v>16.850000000000001</v>
      </c>
      <c r="O403" s="144">
        <f t="shared" si="60"/>
        <v>0</v>
      </c>
      <c r="P403" s="2">
        <f>SUMIFS('XBS '!T:T,'XBS '!H:H,' General Stock Summary View  '!$P$2,'XBS '!L:L,' General Stock Summary View  '!B403,'XBS '!C:C,' General Stock Summary View  '!C403)</f>
        <v>0</v>
      </c>
      <c r="Q403" s="3">
        <f>SUMIFS('PowerApp_Physical count'!H:H,'PowerApp_Physical count'!B:B,' General Stock Summary View  '!$P$2,'PowerApp_Physical count'!C:C,' General Stock Summary View  '!C403,'PowerApp_Physical count'!A:A,' General Stock Summary View  '!B403)</f>
        <v>0</v>
      </c>
      <c r="R403" s="4">
        <f t="shared" si="61"/>
        <v>0</v>
      </c>
      <c r="S403" s="5">
        <f>SUMIFS('XBS '!T:T,'XBS '!L:L,' General Stock Summary View  '!B403,'XBS '!H:H,' General Stock Summary View  '!$S$2,'XBS '!C:C,' General Stock Summary View  '!C403)</f>
        <v>0</v>
      </c>
      <c r="T403" s="3">
        <f>SUMIFS('PowerApp_Physical count'!H:H,'PowerApp_Physical count'!B:B,' General Stock Summary View  '!$S$2,'PowerApp_Physical count'!C:C,' General Stock Summary View  '!C403,'PowerApp_Physical count'!A:A,' General Stock Summary View  '!B403)</f>
        <v>0</v>
      </c>
      <c r="U403" s="4">
        <f t="shared" si="62"/>
        <v>0</v>
      </c>
      <c r="V403" s="2">
        <f>SUMIFS('XBS '!T:T,'XBS '!H:H,' General Stock Summary View  '!$V$2,'XBS '!B:B,' General Stock Summary View  '!C403,'XBS '!L:L,' General Stock Summary View  '!B403)</f>
        <v>0</v>
      </c>
      <c r="W403" s="3">
        <f>SUMIFS('PowerApp_Physical count'!H:H,'PowerApp_Physical count'!B:B,' General Stock Summary View  '!$V$2,'PowerApp_Physical count'!C:C,' General Stock Summary View  '!C403,'PowerApp_Physical count'!A:A,' General Stock Summary View  '!B403)</f>
        <v>0</v>
      </c>
      <c r="X403" s="4">
        <f t="shared" si="63"/>
        <v>0</v>
      </c>
      <c r="Y403" s="5">
        <f>SUMIFS('XBS '!T:T,'XBS '!H:H,' General Stock Summary View  '!$Y$2,'XBS '!B:B,' General Stock Summary View  '!C403,'XBS '!L:L,' General Stock Summary View  '!B403)</f>
        <v>0</v>
      </c>
      <c r="Z403" s="3">
        <f>SUMIFS('PowerApp_Physical count'!H:H,'PowerApp_Physical count'!B:B,' General Stock Summary View  '!$Y$2,'PowerApp_Physical count'!C:C,' General Stock Summary View  '!C403,'PowerApp_Physical count'!A:A,' General Stock Summary View  '!B403)</f>
        <v>0</v>
      </c>
      <c r="AA403" s="4">
        <f t="shared" si="64"/>
        <v>0</v>
      </c>
      <c r="AB403" s="5">
        <f>SUMIFS('XBS '!T:T,'XBS '!H:H,' General Stock Summary View  '!$AB$2,'XBS '!B:B,' General Stock Summary View  '!C403,'XBS '!L:L,' General Stock Summary View  '!B403)</f>
        <v>0</v>
      </c>
      <c r="AC403" s="3">
        <f>SUMIFS('PowerApp_Physical count'!H:H,'PowerApp_Physical count'!B:B,' General Stock Summary View  '!$AB$2,'PowerApp_Physical count'!C:C,' General Stock Summary View  '!C403,'PowerApp_Physical count'!A:A,' General Stock Summary View  '!B403)</f>
        <v>0</v>
      </c>
      <c r="AD403" s="6">
        <f t="shared" si="65"/>
        <v>0</v>
      </c>
      <c r="AE403" s="7">
        <f t="shared" si="66"/>
        <v>16.850000000000001</v>
      </c>
      <c r="AF403" s="8">
        <f t="shared" si="67"/>
        <v>0</v>
      </c>
      <c r="AG403" s="112"/>
    </row>
    <row r="404" spans="2:33" s="113" customFormat="1" ht="61.15">
      <c r="B404" s="117" t="s">
        <v>281</v>
      </c>
      <c r="C404" s="111" t="s">
        <v>373</v>
      </c>
      <c r="D404" s="11">
        <f>SUMIFS('XBS '!T:T,'XBS '!C:C,' General Stock Summary View  '!C404,'XBS '!L:L,' General Stock Summary View  '!B404)</f>
        <v>14.983333333333333</v>
      </c>
      <c r="E404" s="2">
        <f>SUMIFS('Blocked for Processing'!P:P,'Blocked for Processing'!I:I,' General Stock Summary View  '!B404,'Blocked for Processing'!C:C,' General Stock Summary View  '!C404)</f>
        <v>0</v>
      </c>
      <c r="F404" s="122">
        <f t="shared" si="56"/>
        <v>14.983333333333333</v>
      </c>
      <c r="G404" s="148">
        <f>SUMIFS('XBS '!T:T,'XBS '!H:H,' General Stock Summary View  '!$G$2,'XBS '!L:L,' General Stock Summary View  '!B404,'XBS '!C:C,' General Stock Summary View  '!C404)</f>
        <v>14.983333333333333</v>
      </c>
      <c r="H404" s="3">
        <f>SUMIFS('PowerApp_Physical count'!H:H,'PowerApp_Physical count'!B:B,' General Stock Summary View  '!$G$2,'PowerApp_Physical count'!C:C,' General Stock Summary View  '!C404,'PowerApp_Physical count'!A:A,' General Stock Summary View  '!B404)</f>
        <v>14.983333333333333</v>
      </c>
      <c r="I404" s="154">
        <f t="shared" si="69"/>
        <v>0</v>
      </c>
      <c r="J404" s="11">
        <f>SUMIFS('XBS '!T:T,'XBS '!H:H,' General Stock Summary View  '!$J$2,'XBS '!L:L,' General Stock Summary View  '!B404,'XBS '!C:C,' General Stock Summary View  '!C404)</f>
        <v>0</v>
      </c>
      <c r="K404" s="157">
        <f>SUMIFS('PowerApp_Physical count'!H:H,'PowerApp_Physical count'!B:B,' General Stock Summary View  '!$J$2,'PowerApp_Physical count'!C:C,' General Stock Summary View  '!C404,'PowerApp_Physical count'!A:A,' General Stock Summary View  '!B404)</f>
        <v>0</v>
      </c>
      <c r="L404" s="127">
        <f t="shared" si="57"/>
        <v>0</v>
      </c>
      <c r="M404" s="126">
        <f t="shared" si="58"/>
        <v>14.983333333333333</v>
      </c>
      <c r="N404" s="11">
        <f t="shared" si="59"/>
        <v>14.983333333333333</v>
      </c>
      <c r="O404" s="144">
        <f t="shared" si="60"/>
        <v>0</v>
      </c>
      <c r="P404" s="2">
        <f>SUMIFS('XBS '!T:T,'XBS '!H:H,' General Stock Summary View  '!$P$2,'XBS '!L:L,' General Stock Summary View  '!B404,'XBS '!C:C,' General Stock Summary View  '!C404)</f>
        <v>0</v>
      </c>
      <c r="Q404" s="3">
        <f>SUMIFS('PowerApp_Physical count'!H:H,'PowerApp_Physical count'!B:B,' General Stock Summary View  '!$P$2,'PowerApp_Physical count'!C:C,' General Stock Summary View  '!C404,'PowerApp_Physical count'!A:A,' General Stock Summary View  '!B404)</f>
        <v>0</v>
      </c>
      <c r="R404" s="4">
        <f t="shared" si="61"/>
        <v>0</v>
      </c>
      <c r="S404" s="5">
        <f>SUMIFS('XBS '!T:T,'XBS '!L:L,' General Stock Summary View  '!B404,'XBS '!H:H,' General Stock Summary View  '!$S$2,'XBS '!C:C,' General Stock Summary View  '!C404)</f>
        <v>0</v>
      </c>
      <c r="T404" s="3">
        <f>SUMIFS('PowerApp_Physical count'!H:H,'PowerApp_Physical count'!B:B,' General Stock Summary View  '!$S$2,'PowerApp_Physical count'!C:C,' General Stock Summary View  '!C404,'PowerApp_Physical count'!A:A,' General Stock Summary View  '!B404)</f>
        <v>0</v>
      </c>
      <c r="U404" s="4">
        <f t="shared" si="62"/>
        <v>0</v>
      </c>
      <c r="V404" s="2">
        <f>SUMIFS('XBS '!T:T,'XBS '!H:H,' General Stock Summary View  '!$V$2,'XBS '!B:B,' General Stock Summary View  '!C404,'XBS '!L:L,' General Stock Summary View  '!B404)</f>
        <v>0</v>
      </c>
      <c r="W404" s="3">
        <f>SUMIFS('PowerApp_Physical count'!H:H,'PowerApp_Physical count'!B:B,' General Stock Summary View  '!$V$2,'PowerApp_Physical count'!C:C,' General Stock Summary View  '!C404,'PowerApp_Physical count'!A:A,' General Stock Summary View  '!B404)</f>
        <v>0</v>
      </c>
      <c r="X404" s="4">
        <f t="shared" si="63"/>
        <v>0</v>
      </c>
      <c r="Y404" s="5">
        <f>SUMIFS('XBS '!T:T,'XBS '!H:H,' General Stock Summary View  '!$Y$2,'XBS '!B:B,' General Stock Summary View  '!C404,'XBS '!L:L,' General Stock Summary View  '!B404)</f>
        <v>0</v>
      </c>
      <c r="Z404" s="3">
        <f>SUMIFS('PowerApp_Physical count'!H:H,'PowerApp_Physical count'!B:B,' General Stock Summary View  '!$Y$2,'PowerApp_Physical count'!C:C,' General Stock Summary View  '!C404,'PowerApp_Physical count'!A:A,' General Stock Summary View  '!B404)</f>
        <v>0</v>
      </c>
      <c r="AA404" s="4">
        <f t="shared" si="64"/>
        <v>0</v>
      </c>
      <c r="AB404" s="5">
        <f>SUMIFS('XBS '!T:T,'XBS '!H:H,' General Stock Summary View  '!$AB$2,'XBS '!B:B,' General Stock Summary View  '!C404,'XBS '!L:L,' General Stock Summary View  '!B404)</f>
        <v>0</v>
      </c>
      <c r="AC404" s="3">
        <f>SUMIFS('PowerApp_Physical count'!H:H,'PowerApp_Physical count'!B:B,' General Stock Summary View  '!$AB$2,'PowerApp_Physical count'!C:C,' General Stock Summary View  '!C404,'PowerApp_Physical count'!A:A,' General Stock Summary View  '!B404)</f>
        <v>0</v>
      </c>
      <c r="AD404" s="6">
        <f t="shared" si="65"/>
        <v>0</v>
      </c>
      <c r="AE404" s="7">
        <f t="shared" si="66"/>
        <v>14.983333333333333</v>
      </c>
      <c r="AF404" s="8">
        <f t="shared" si="67"/>
        <v>0</v>
      </c>
      <c r="AG404" s="112"/>
    </row>
    <row r="405" spans="2:33" s="113" customFormat="1" ht="61.15">
      <c r="B405" s="117" t="s">
        <v>266</v>
      </c>
      <c r="C405" s="111" t="s">
        <v>373</v>
      </c>
      <c r="D405" s="11">
        <f>SUMIFS('XBS '!T:T,'XBS '!C:C,' General Stock Summary View  '!C405,'XBS '!L:L,' General Stock Summary View  '!B405)</f>
        <v>6.9833333333333334</v>
      </c>
      <c r="E405" s="2">
        <f>SUMIFS('Blocked for Processing'!P:P,'Blocked for Processing'!I:I,' General Stock Summary View  '!B405,'Blocked for Processing'!C:C,' General Stock Summary View  '!C405)</f>
        <v>0</v>
      </c>
      <c r="F405" s="122">
        <f t="shared" si="56"/>
        <v>6.9833333333333334</v>
      </c>
      <c r="G405" s="148">
        <f>SUMIFS('XBS '!T:T,'XBS '!H:H,' General Stock Summary View  '!$G$2,'XBS '!L:L,' General Stock Summary View  '!B405,'XBS '!C:C,' General Stock Summary View  '!C405)</f>
        <v>6.9833333333333334</v>
      </c>
      <c r="H405" s="3">
        <f>SUMIFS('PowerApp_Physical count'!H:H,'PowerApp_Physical count'!B:B,' General Stock Summary View  '!$G$2,'PowerApp_Physical count'!C:C,' General Stock Summary View  '!C405,'PowerApp_Physical count'!A:A,' General Stock Summary View  '!B405)</f>
        <v>6.9833333333333334</v>
      </c>
      <c r="I405" s="154">
        <f t="shared" si="69"/>
        <v>0</v>
      </c>
      <c r="J405" s="11">
        <f>SUMIFS('XBS '!T:T,'XBS '!H:H,' General Stock Summary View  '!$J$2,'XBS '!L:L,' General Stock Summary View  '!B405,'XBS '!C:C,' General Stock Summary View  '!C405)</f>
        <v>0</v>
      </c>
      <c r="K405" s="157">
        <f>SUMIFS('PowerApp_Physical count'!H:H,'PowerApp_Physical count'!B:B,' General Stock Summary View  '!$J$2,'PowerApp_Physical count'!C:C,' General Stock Summary View  '!C405,'PowerApp_Physical count'!A:A,' General Stock Summary View  '!B405)</f>
        <v>0</v>
      </c>
      <c r="L405" s="127">
        <f t="shared" si="57"/>
        <v>0</v>
      </c>
      <c r="M405" s="126">
        <f t="shared" si="58"/>
        <v>6.9833333333333334</v>
      </c>
      <c r="N405" s="11">
        <f t="shared" si="59"/>
        <v>6.9833333333333334</v>
      </c>
      <c r="O405" s="144">
        <f t="shared" si="60"/>
        <v>0</v>
      </c>
      <c r="P405" s="2">
        <f>SUMIFS('XBS '!T:T,'XBS '!H:H,' General Stock Summary View  '!$P$2,'XBS '!L:L,' General Stock Summary View  '!B405,'XBS '!C:C,' General Stock Summary View  '!C405)</f>
        <v>0</v>
      </c>
      <c r="Q405" s="3">
        <f>SUMIFS('PowerApp_Physical count'!H:H,'PowerApp_Physical count'!B:B,' General Stock Summary View  '!$P$2,'PowerApp_Physical count'!C:C,' General Stock Summary View  '!C405,'PowerApp_Physical count'!A:A,' General Stock Summary View  '!B405)</f>
        <v>0</v>
      </c>
      <c r="R405" s="4">
        <f t="shared" si="61"/>
        <v>0</v>
      </c>
      <c r="S405" s="5">
        <f>SUMIFS('XBS '!T:T,'XBS '!L:L,' General Stock Summary View  '!B405,'XBS '!H:H,' General Stock Summary View  '!$S$2,'XBS '!C:C,' General Stock Summary View  '!C405)</f>
        <v>0</v>
      </c>
      <c r="T405" s="3">
        <f>SUMIFS('PowerApp_Physical count'!H:H,'PowerApp_Physical count'!B:B,' General Stock Summary View  '!$S$2,'PowerApp_Physical count'!C:C,' General Stock Summary View  '!C405,'PowerApp_Physical count'!A:A,' General Stock Summary View  '!B405)</f>
        <v>0</v>
      </c>
      <c r="U405" s="4">
        <f t="shared" si="62"/>
        <v>0</v>
      </c>
      <c r="V405" s="2">
        <f>SUMIFS('XBS '!T:T,'XBS '!H:H,' General Stock Summary View  '!$V$2,'XBS '!B:B,' General Stock Summary View  '!C405,'XBS '!L:L,' General Stock Summary View  '!B405)</f>
        <v>0</v>
      </c>
      <c r="W405" s="3">
        <f>SUMIFS('PowerApp_Physical count'!H:H,'PowerApp_Physical count'!B:B,' General Stock Summary View  '!$V$2,'PowerApp_Physical count'!C:C,' General Stock Summary View  '!C405,'PowerApp_Physical count'!A:A,' General Stock Summary View  '!B405)</f>
        <v>0</v>
      </c>
      <c r="X405" s="4">
        <f t="shared" si="63"/>
        <v>0</v>
      </c>
      <c r="Y405" s="5">
        <f>SUMIFS('XBS '!T:T,'XBS '!H:H,' General Stock Summary View  '!$Y$2,'XBS '!B:B,' General Stock Summary View  '!C405,'XBS '!L:L,' General Stock Summary View  '!B405)</f>
        <v>0</v>
      </c>
      <c r="Z405" s="3">
        <f>SUMIFS('PowerApp_Physical count'!H:H,'PowerApp_Physical count'!B:B,' General Stock Summary View  '!$Y$2,'PowerApp_Physical count'!C:C,' General Stock Summary View  '!C405,'PowerApp_Physical count'!A:A,' General Stock Summary View  '!B405)</f>
        <v>0</v>
      </c>
      <c r="AA405" s="4">
        <f t="shared" si="64"/>
        <v>0</v>
      </c>
      <c r="AB405" s="5">
        <f>SUMIFS('XBS '!T:T,'XBS '!H:H,' General Stock Summary View  '!$AB$2,'XBS '!B:B,' General Stock Summary View  '!C405,'XBS '!L:L,' General Stock Summary View  '!B405)</f>
        <v>0</v>
      </c>
      <c r="AC405" s="3">
        <f>SUMIFS('PowerApp_Physical count'!H:H,'PowerApp_Physical count'!B:B,' General Stock Summary View  '!$AB$2,'PowerApp_Physical count'!C:C,' General Stock Summary View  '!C405,'PowerApp_Physical count'!A:A,' General Stock Summary View  '!B405)</f>
        <v>0</v>
      </c>
      <c r="AD405" s="6">
        <f t="shared" si="65"/>
        <v>0</v>
      </c>
      <c r="AE405" s="7">
        <f t="shared" si="66"/>
        <v>6.9833333333333334</v>
      </c>
      <c r="AF405" s="8">
        <f t="shared" si="67"/>
        <v>0</v>
      </c>
      <c r="AG405" s="112"/>
    </row>
    <row r="406" spans="2:33" s="113" customFormat="1" ht="61.15">
      <c r="B406" s="117" t="s">
        <v>276</v>
      </c>
      <c r="C406" s="111" t="s">
        <v>373</v>
      </c>
      <c r="D406" s="11">
        <f>SUMIFS('XBS '!T:T,'XBS '!C:C,' General Stock Summary View  '!C406,'XBS '!L:L,' General Stock Summary View  '!B406)</f>
        <v>7.6166666666666663</v>
      </c>
      <c r="E406" s="2">
        <f>SUMIFS('Blocked for Processing'!P:P,'Blocked for Processing'!I:I,' General Stock Summary View  '!B406,'Blocked for Processing'!C:C,' General Stock Summary View  '!C406)</f>
        <v>0</v>
      </c>
      <c r="F406" s="122">
        <f t="shared" si="56"/>
        <v>7.6166666666666663</v>
      </c>
      <c r="G406" s="148">
        <f>SUMIFS('XBS '!T:T,'XBS '!H:H,' General Stock Summary View  '!$G$2,'XBS '!L:L,' General Stock Summary View  '!B406,'XBS '!C:C,' General Stock Summary View  '!C406)</f>
        <v>7.6166666666666663</v>
      </c>
      <c r="H406" s="3">
        <f>SUMIFS('PowerApp_Physical count'!H:H,'PowerApp_Physical count'!B:B,' General Stock Summary View  '!$G$2,'PowerApp_Physical count'!C:C,' General Stock Summary View  '!C406,'PowerApp_Physical count'!A:A,' General Stock Summary View  '!B406)</f>
        <v>7.6166666666666663</v>
      </c>
      <c r="I406" s="154">
        <f t="shared" si="69"/>
        <v>0</v>
      </c>
      <c r="J406" s="11">
        <f>SUMIFS('XBS '!T:T,'XBS '!H:H,' General Stock Summary View  '!$J$2,'XBS '!L:L,' General Stock Summary View  '!B406,'XBS '!C:C,' General Stock Summary View  '!C406)</f>
        <v>0</v>
      </c>
      <c r="K406" s="157">
        <f>SUMIFS('PowerApp_Physical count'!H:H,'PowerApp_Physical count'!B:B,' General Stock Summary View  '!$J$2,'PowerApp_Physical count'!C:C,' General Stock Summary View  '!C406,'PowerApp_Physical count'!A:A,' General Stock Summary View  '!B406)</f>
        <v>0</v>
      </c>
      <c r="L406" s="127">
        <f t="shared" si="57"/>
        <v>0</v>
      </c>
      <c r="M406" s="126">
        <f t="shared" si="58"/>
        <v>7.6166666666666663</v>
      </c>
      <c r="N406" s="11">
        <f t="shared" si="59"/>
        <v>7.6166666666666663</v>
      </c>
      <c r="O406" s="144">
        <f t="shared" si="60"/>
        <v>0</v>
      </c>
      <c r="P406" s="2">
        <f>SUMIFS('XBS '!T:T,'XBS '!H:H,' General Stock Summary View  '!$P$2,'XBS '!L:L,' General Stock Summary View  '!B406,'XBS '!C:C,' General Stock Summary View  '!C406)</f>
        <v>0</v>
      </c>
      <c r="Q406" s="3">
        <f>SUMIFS('PowerApp_Physical count'!H:H,'PowerApp_Physical count'!B:B,' General Stock Summary View  '!$P$2,'PowerApp_Physical count'!C:C,' General Stock Summary View  '!C406,'PowerApp_Physical count'!A:A,' General Stock Summary View  '!B406)</f>
        <v>0</v>
      </c>
      <c r="R406" s="4">
        <f t="shared" si="61"/>
        <v>0</v>
      </c>
      <c r="S406" s="5">
        <f>SUMIFS('XBS '!T:T,'XBS '!L:L,' General Stock Summary View  '!B406,'XBS '!H:H,' General Stock Summary View  '!$S$2,'XBS '!C:C,' General Stock Summary View  '!C406)</f>
        <v>0</v>
      </c>
      <c r="T406" s="3">
        <f>SUMIFS('PowerApp_Physical count'!H:H,'PowerApp_Physical count'!B:B,' General Stock Summary View  '!$S$2,'PowerApp_Physical count'!C:C,' General Stock Summary View  '!C406,'PowerApp_Physical count'!A:A,' General Stock Summary View  '!B406)</f>
        <v>0</v>
      </c>
      <c r="U406" s="4">
        <f t="shared" si="62"/>
        <v>0</v>
      </c>
      <c r="V406" s="2">
        <f>SUMIFS('XBS '!T:T,'XBS '!H:H,' General Stock Summary View  '!$V$2,'XBS '!B:B,' General Stock Summary View  '!C406,'XBS '!L:L,' General Stock Summary View  '!B406)</f>
        <v>0</v>
      </c>
      <c r="W406" s="3">
        <f>SUMIFS('PowerApp_Physical count'!H:H,'PowerApp_Physical count'!B:B,' General Stock Summary View  '!$V$2,'PowerApp_Physical count'!C:C,' General Stock Summary View  '!C406,'PowerApp_Physical count'!A:A,' General Stock Summary View  '!B406)</f>
        <v>0</v>
      </c>
      <c r="X406" s="4">
        <f t="shared" si="63"/>
        <v>0</v>
      </c>
      <c r="Y406" s="5">
        <f>SUMIFS('XBS '!T:T,'XBS '!H:H,' General Stock Summary View  '!$Y$2,'XBS '!B:B,' General Stock Summary View  '!C406,'XBS '!L:L,' General Stock Summary View  '!B406)</f>
        <v>0</v>
      </c>
      <c r="Z406" s="3">
        <f>SUMIFS('PowerApp_Physical count'!H:H,'PowerApp_Physical count'!B:B,' General Stock Summary View  '!$Y$2,'PowerApp_Physical count'!C:C,' General Stock Summary View  '!C406,'PowerApp_Physical count'!A:A,' General Stock Summary View  '!B406)</f>
        <v>0</v>
      </c>
      <c r="AA406" s="4">
        <f t="shared" si="64"/>
        <v>0</v>
      </c>
      <c r="AB406" s="5">
        <f>SUMIFS('XBS '!T:T,'XBS '!H:H,' General Stock Summary View  '!$AB$2,'XBS '!B:B,' General Stock Summary View  '!C406,'XBS '!L:L,' General Stock Summary View  '!B406)</f>
        <v>0</v>
      </c>
      <c r="AC406" s="3">
        <f>SUMIFS('PowerApp_Physical count'!H:H,'PowerApp_Physical count'!B:B,' General Stock Summary View  '!$AB$2,'PowerApp_Physical count'!C:C,' General Stock Summary View  '!C406,'PowerApp_Physical count'!A:A,' General Stock Summary View  '!B406)</f>
        <v>0</v>
      </c>
      <c r="AD406" s="6">
        <f t="shared" si="65"/>
        <v>0</v>
      </c>
      <c r="AE406" s="7">
        <f t="shared" si="66"/>
        <v>7.6166666666666663</v>
      </c>
      <c r="AF406" s="8">
        <f t="shared" si="67"/>
        <v>0</v>
      </c>
      <c r="AG406" s="112"/>
    </row>
    <row r="407" spans="2:33" s="113" customFormat="1" ht="61.15">
      <c r="B407" s="117" t="s">
        <v>271</v>
      </c>
      <c r="C407" s="111" t="s">
        <v>373</v>
      </c>
      <c r="D407" s="11">
        <f>SUMIFS('XBS '!T:T,'XBS '!C:C,' General Stock Summary View  '!C407,'XBS '!L:L,' General Stock Summary View  '!B407)</f>
        <v>16.416666666666668</v>
      </c>
      <c r="E407" s="2">
        <f>SUMIFS('Blocked for Processing'!P:P,'Blocked for Processing'!I:I,' General Stock Summary View  '!B407,'Blocked for Processing'!C:C,' General Stock Summary View  '!C407)</f>
        <v>0</v>
      </c>
      <c r="F407" s="122">
        <f t="shared" si="56"/>
        <v>16.416666666666668</v>
      </c>
      <c r="G407" s="148">
        <f>SUMIFS('XBS '!T:T,'XBS '!H:H,' General Stock Summary View  '!$G$2,'XBS '!L:L,' General Stock Summary View  '!B407,'XBS '!C:C,' General Stock Summary View  '!C407)</f>
        <v>16.416666666666668</v>
      </c>
      <c r="H407" s="3">
        <f>SUMIFS('PowerApp_Physical count'!H:H,'PowerApp_Physical count'!B:B,' General Stock Summary View  '!$G$2,'PowerApp_Physical count'!C:C,' General Stock Summary View  '!C407,'PowerApp_Physical count'!A:A,' General Stock Summary View  '!B407)</f>
        <v>16.416666666666668</v>
      </c>
      <c r="I407" s="154">
        <f t="shared" si="69"/>
        <v>0</v>
      </c>
      <c r="J407" s="11">
        <f>SUMIFS('XBS '!T:T,'XBS '!H:H,' General Stock Summary View  '!$J$2,'XBS '!L:L,' General Stock Summary View  '!B407,'XBS '!C:C,' General Stock Summary View  '!C407)</f>
        <v>0</v>
      </c>
      <c r="K407" s="157">
        <f>SUMIFS('PowerApp_Physical count'!H:H,'PowerApp_Physical count'!B:B,' General Stock Summary View  '!$J$2,'PowerApp_Physical count'!C:C,' General Stock Summary View  '!C407,'PowerApp_Physical count'!A:A,' General Stock Summary View  '!B407)</f>
        <v>0</v>
      </c>
      <c r="L407" s="127">
        <f t="shared" si="57"/>
        <v>0</v>
      </c>
      <c r="M407" s="126">
        <f t="shared" si="58"/>
        <v>16.416666666666668</v>
      </c>
      <c r="N407" s="11">
        <f t="shared" si="59"/>
        <v>16.416666666666668</v>
      </c>
      <c r="O407" s="144">
        <f t="shared" si="60"/>
        <v>0</v>
      </c>
      <c r="P407" s="2">
        <f>SUMIFS('XBS '!T:T,'XBS '!H:H,' General Stock Summary View  '!$P$2,'XBS '!L:L,' General Stock Summary View  '!B407,'XBS '!C:C,' General Stock Summary View  '!C407)</f>
        <v>0</v>
      </c>
      <c r="Q407" s="3">
        <f>SUMIFS('PowerApp_Physical count'!H:H,'PowerApp_Physical count'!B:B,' General Stock Summary View  '!$P$2,'PowerApp_Physical count'!C:C,' General Stock Summary View  '!C407,'PowerApp_Physical count'!A:A,' General Stock Summary View  '!B407)</f>
        <v>0</v>
      </c>
      <c r="R407" s="4">
        <f t="shared" si="61"/>
        <v>0</v>
      </c>
      <c r="S407" s="5">
        <f>SUMIFS('XBS '!T:T,'XBS '!L:L,' General Stock Summary View  '!B407,'XBS '!H:H,' General Stock Summary View  '!$S$2,'XBS '!C:C,' General Stock Summary View  '!C407)</f>
        <v>0</v>
      </c>
      <c r="T407" s="3">
        <f>SUMIFS('PowerApp_Physical count'!H:H,'PowerApp_Physical count'!B:B,' General Stock Summary View  '!$S$2,'PowerApp_Physical count'!C:C,' General Stock Summary View  '!C407,'PowerApp_Physical count'!A:A,' General Stock Summary View  '!B407)</f>
        <v>0</v>
      </c>
      <c r="U407" s="4">
        <f t="shared" si="62"/>
        <v>0</v>
      </c>
      <c r="V407" s="2">
        <f>SUMIFS('XBS '!T:T,'XBS '!H:H,' General Stock Summary View  '!$V$2,'XBS '!B:B,' General Stock Summary View  '!C407,'XBS '!L:L,' General Stock Summary View  '!B407)</f>
        <v>0</v>
      </c>
      <c r="W407" s="3">
        <f>SUMIFS('PowerApp_Physical count'!H:H,'PowerApp_Physical count'!B:B,' General Stock Summary View  '!$V$2,'PowerApp_Physical count'!C:C,' General Stock Summary View  '!C407,'PowerApp_Physical count'!A:A,' General Stock Summary View  '!B407)</f>
        <v>0</v>
      </c>
      <c r="X407" s="4">
        <f t="shared" si="63"/>
        <v>0</v>
      </c>
      <c r="Y407" s="5">
        <f>SUMIFS('XBS '!T:T,'XBS '!H:H,' General Stock Summary View  '!$Y$2,'XBS '!B:B,' General Stock Summary View  '!C407,'XBS '!L:L,' General Stock Summary View  '!B407)</f>
        <v>0</v>
      </c>
      <c r="Z407" s="3">
        <f>SUMIFS('PowerApp_Physical count'!H:H,'PowerApp_Physical count'!B:B,' General Stock Summary View  '!$Y$2,'PowerApp_Physical count'!C:C,' General Stock Summary View  '!C407,'PowerApp_Physical count'!A:A,' General Stock Summary View  '!B407)</f>
        <v>0</v>
      </c>
      <c r="AA407" s="4">
        <f t="shared" si="64"/>
        <v>0</v>
      </c>
      <c r="AB407" s="5">
        <f>SUMIFS('XBS '!T:T,'XBS '!H:H,' General Stock Summary View  '!$AB$2,'XBS '!B:B,' General Stock Summary View  '!C407,'XBS '!L:L,' General Stock Summary View  '!B407)</f>
        <v>0</v>
      </c>
      <c r="AC407" s="3">
        <f>SUMIFS('PowerApp_Physical count'!H:H,'PowerApp_Physical count'!B:B,' General Stock Summary View  '!$AB$2,'PowerApp_Physical count'!C:C,' General Stock Summary View  '!C407,'PowerApp_Physical count'!A:A,' General Stock Summary View  '!B407)</f>
        <v>0</v>
      </c>
      <c r="AD407" s="6">
        <f t="shared" si="65"/>
        <v>0</v>
      </c>
      <c r="AE407" s="7">
        <f t="shared" si="66"/>
        <v>16.416666666666668</v>
      </c>
      <c r="AF407" s="8">
        <f t="shared" si="67"/>
        <v>0</v>
      </c>
      <c r="AG407" s="112"/>
    </row>
    <row r="408" spans="2:33" s="113" customFormat="1" ht="61.15">
      <c r="B408" s="117" t="s">
        <v>248</v>
      </c>
      <c r="C408" s="111" t="s">
        <v>373</v>
      </c>
      <c r="D408" s="11">
        <f>SUMIFS('XBS '!T:T,'XBS '!C:C,' General Stock Summary View  '!C408,'XBS '!L:L,' General Stock Summary View  '!B408)</f>
        <v>6.5</v>
      </c>
      <c r="E408" s="2">
        <f>SUMIFS('Blocked for Processing'!P:P,'Blocked for Processing'!I:I,' General Stock Summary View  '!B408,'Blocked for Processing'!C:C,' General Stock Summary View  '!C408)</f>
        <v>0</v>
      </c>
      <c r="F408" s="122">
        <f t="shared" si="56"/>
        <v>6.5</v>
      </c>
      <c r="G408" s="148">
        <f>SUMIFS('XBS '!T:T,'XBS '!H:H,' General Stock Summary View  '!$G$2,'XBS '!L:L,' General Stock Summary View  '!B408,'XBS '!C:C,' General Stock Summary View  '!C408)</f>
        <v>6.5</v>
      </c>
      <c r="H408" s="3">
        <f>SUMIFS('PowerApp_Physical count'!H:H,'PowerApp_Physical count'!B:B,' General Stock Summary View  '!$G$2,'PowerApp_Physical count'!C:C,' General Stock Summary View  '!C408,'PowerApp_Physical count'!A:A,' General Stock Summary View  '!B408)</f>
        <v>6.5</v>
      </c>
      <c r="I408" s="154">
        <f t="shared" si="69"/>
        <v>0</v>
      </c>
      <c r="J408" s="11">
        <f>SUMIFS('XBS '!T:T,'XBS '!H:H,' General Stock Summary View  '!$J$2,'XBS '!L:L,' General Stock Summary View  '!B408,'XBS '!C:C,' General Stock Summary View  '!C408)</f>
        <v>0</v>
      </c>
      <c r="K408" s="157">
        <f>SUMIFS('PowerApp_Physical count'!H:H,'PowerApp_Physical count'!B:B,' General Stock Summary View  '!$J$2,'PowerApp_Physical count'!C:C,' General Stock Summary View  '!C408,'PowerApp_Physical count'!A:A,' General Stock Summary View  '!B408)</f>
        <v>0</v>
      </c>
      <c r="L408" s="127">
        <f t="shared" si="57"/>
        <v>0</v>
      </c>
      <c r="M408" s="126">
        <f t="shared" si="58"/>
        <v>6.5</v>
      </c>
      <c r="N408" s="11">
        <f t="shared" si="59"/>
        <v>6.5</v>
      </c>
      <c r="O408" s="144">
        <f t="shared" si="60"/>
        <v>0</v>
      </c>
      <c r="P408" s="2">
        <f>SUMIFS('XBS '!T:T,'XBS '!H:H,' General Stock Summary View  '!$P$2,'XBS '!L:L,' General Stock Summary View  '!B408,'XBS '!C:C,' General Stock Summary View  '!C408)</f>
        <v>0</v>
      </c>
      <c r="Q408" s="3">
        <f>SUMIFS('PowerApp_Physical count'!H:H,'PowerApp_Physical count'!B:B,' General Stock Summary View  '!$P$2,'PowerApp_Physical count'!C:C,' General Stock Summary View  '!C408,'PowerApp_Physical count'!A:A,' General Stock Summary View  '!B408)</f>
        <v>0</v>
      </c>
      <c r="R408" s="4">
        <f t="shared" si="61"/>
        <v>0</v>
      </c>
      <c r="S408" s="5">
        <f>SUMIFS('XBS '!T:T,'XBS '!L:L,' General Stock Summary View  '!B408,'XBS '!H:H,' General Stock Summary View  '!$S$2,'XBS '!C:C,' General Stock Summary View  '!C408)</f>
        <v>0</v>
      </c>
      <c r="T408" s="3">
        <f>SUMIFS('PowerApp_Physical count'!H:H,'PowerApp_Physical count'!B:B,' General Stock Summary View  '!$S$2,'PowerApp_Physical count'!C:C,' General Stock Summary View  '!C408,'PowerApp_Physical count'!A:A,' General Stock Summary View  '!B408)</f>
        <v>0</v>
      </c>
      <c r="U408" s="4">
        <f t="shared" si="62"/>
        <v>0</v>
      </c>
      <c r="V408" s="2">
        <f>SUMIFS('XBS '!T:T,'XBS '!H:H,' General Stock Summary View  '!$V$2,'XBS '!B:B,' General Stock Summary View  '!C408,'XBS '!L:L,' General Stock Summary View  '!B408)</f>
        <v>0</v>
      </c>
      <c r="W408" s="3">
        <f>SUMIFS('PowerApp_Physical count'!H:H,'PowerApp_Physical count'!B:B,' General Stock Summary View  '!$V$2,'PowerApp_Physical count'!C:C,' General Stock Summary View  '!C408,'PowerApp_Physical count'!A:A,' General Stock Summary View  '!B408)</f>
        <v>0</v>
      </c>
      <c r="X408" s="4">
        <f t="shared" si="63"/>
        <v>0</v>
      </c>
      <c r="Y408" s="5">
        <f>SUMIFS('XBS '!T:T,'XBS '!H:H,' General Stock Summary View  '!$Y$2,'XBS '!B:B,' General Stock Summary View  '!C408,'XBS '!L:L,' General Stock Summary View  '!B408)</f>
        <v>0</v>
      </c>
      <c r="Z408" s="3">
        <f>SUMIFS('PowerApp_Physical count'!H:H,'PowerApp_Physical count'!B:B,' General Stock Summary View  '!$Y$2,'PowerApp_Physical count'!C:C,' General Stock Summary View  '!C408,'PowerApp_Physical count'!A:A,' General Stock Summary View  '!B408)</f>
        <v>0</v>
      </c>
      <c r="AA408" s="4">
        <f t="shared" si="64"/>
        <v>0</v>
      </c>
      <c r="AB408" s="5">
        <f>SUMIFS('XBS '!T:T,'XBS '!H:H,' General Stock Summary View  '!$AB$2,'XBS '!B:B,' General Stock Summary View  '!C408,'XBS '!L:L,' General Stock Summary View  '!B408)</f>
        <v>0</v>
      </c>
      <c r="AC408" s="3">
        <f>SUMIFS('PowerApp_Physical count'!H:H,'PowerApp_Physical count'!B:B,' General Stock Summary View  '!$AB$2,'PowerApp_Physical count'!C:C,' General Stock Summary View  '!C408,'PowerApp_Physical count'!A:A,' General Stock Summary View  '!B408)</f>
        <v>0</v>
      </c>
      <c r="AD408" s="6">
        <f t="shared" si="65"/>
        <v>0</v>
      </c>
      <c r="AE408" s="7">
        <f t="shared" si="66"/>
        <v>6.5</v>
      </c>
      <c r="AF408" s="8">
        <f t="shared" si="67"/>
        <v>0</v>
      </c>
      <c r="AG408" s="112"/>
    </row>
    <row r="409" spans="2:33" s="113" customFormat="1" ht="61.15">
      <c r="B409" s="117" t="s">
        <v>261</v>
      </c>
      <c r="C409" s="111" t="s">
        <v>373</v>
      </c>
      <c r="D409" s="11">
        <f>SUMIFS('XBS '!T:T,'XBS '!C:C,' General Stock Summary View  '!C409,'XBS '!L:L,' General Stock Summary View  '!B409)</f>
        <v>5.416666666666667</v>
      </c>
      <c r="E409" s="2">
        <f>SUMIFS('Blocked for Processing'!P:P,'Blocked for Processing'!I:I,' General Stock Summary View  '!B409,'Blocked for Processing'!C:C,' General Stock Summary View  '!C409)</f>
        <v>0</v>
      </c>
      <c r="F409" s="122">
        <f t="shared" si="56"/>
        <v>5.416666666666667</v>
      </c>
      <c r="G409" s="148">
        <f>SUMIFS('XBS '!T:T,'XBS '!H:H,' General Stock Summary View  '!$G$2,'XBS '!L:L,' General Stock Summary View  '!B409,'XBS '!C:C,' General Stock Summary View  '!C409)</f>
        <v>5.416666666666667</v>
      </c>
      <c r="H409" s="3">
        <f>SUMIFS('PowerApp_Physical count'!H:H,'PowerApp_Physical count'!B:B,' General Stock Summary View  '!$G$2,'PowerApp_Physical count'!C:C,' General Stock Summary View  '!C409,'PowerApp_Physical count'!A:A,' General Stock Summary View  '!B409)</f>
        <v>5.416666666666667</v>
      </c>
      <c r="I409" s="154">
        <f t="shared" si="69"/>
        <v>0</v>
      </c>
      <c r="J409" s="11">
        <f>SUMIFS('XBS '!T:T,'XBS '!H:H,' General Stock Summary View  '!$J$2,'XBS '!L:L,' General Stock Summary View  '!B409,'XBS '!C:C,' General Stock Summary View  '!C409)</f>
        <v>0</v>
      </c>
      <c r="K409" s="157">
        <f>SUMIFS('PowerApp_Physical count'!H:H,'PowerApp_Physical count'!B:B,' General Stock Summary View  '!$J$2,'PowerApp_Physical count'!C:C,' General Stock Summary View  '!C409,'PowerApp_Physical count'!A:A,' General Stock Summary View  '!B409)</f>
        <v>0</v>
      </c>
      <c r="L409" s="127">
        <f t="shared" si="57"/>
        <v>0</v>
      </c>
      <c r="M409" s="126">
        <f t="shared" si="58"/>
        <v>5.416666666666667</v>
      </c>
      <c r="N409" s="11">
        <f t="shared" si="59"/>
        <v>5.416666666666667</v>
      </c>
      <c r="O409" s="144">
        <f t="shared" si="60"/>
        <v>0</v>
      </c>
      <c r="P409" s="2">
        <f>SUMIFS('XBS '!T:T,'XBS '!H:H,' General Stock Summary View  '!$P$2,'XBS '!L:L,' General Stock Summary View  '!B409,'XBS '!C:C,' General Stock Summary View  '!C409)</f>
        <v>0</v>
      </c>
      <c r="Q409" s="3">
        <f>SUMIFS('PowerApp_Physical count'!H:H,'PowerApp_Physical count'!B:B,' General Stock Summary View  '!$P$2,'PowerApp_Physical count'!C:C,' General Stock Summary View  '!C409,'PowerApp_Physical count'!A:A,' General Stock Summary View  '!B409)</f>
        <v>0</v>
      </c>
      <c r="R409" s="4">
        <f t="shared" si="61"/>
        <v>0</v>
      </c>
      <c r="S409" s="5">
        <f>SUMIFS('XBS '!T:T,'XBS '!L:L,' General Stock Summary View  '!B409,'XBS '!H:H,' General Stock Summary View  '!$S$2,'XBS '!C:C,' General Stock Summary View  '!C409)</f>
        <v>0</v>
      </c>
      <c r="T409" s="3">
        <f>SUMIFS('PowerApp_Physical count'!H:H,'PowerApp_Physical count'!B:B,' General Stock Summary View  '!$S$2,'PowerApp_Physical count'!C:C,' General Stock Summary View  '!C409,'PowerApp_Physical count'!A:A,' General Stock Summary View  '!B409)</f>
        <v>0</v>
      </c>
      <c r="U409" s="4">
        <f t="shared" si="62"/>
        <v>0</v>
      </c>
      <c r="V409" s="2">
        <f>SUMIFS('XBS '!T:T,'XBS '!H:H,' General Stock Summary View  '!$V$2,'XBS '!B:B,' General Stock Summary View  '!C409,'XBS '!L:L,' General Stock Summary View  '!B409)</f>
        <v>0</v>
      </c>
      <c r="W409" s="3">
        <f>SUMIFS('PowerApp_Physical count'!H:H,'PowerApp_Physical count'!B:B,' General Stock Summary View  '!$V$2,'PowerApp_Physical count'!C:C,' General Stock Summary View  '!C409,'PowerApp_Physical count'!A:A,' General Stock Summary View  '!B409)</f>
        <v>0</v>
      </c>
      <c r="X409" s="4">
        <f t="shared" si="63"/>
        <v>0</v>
      </c>
      <c r="Y409" s="5">
        <f>SUMIFS('XBS '!T:T,'XBS '!H:H,' General Stock Summary View  '!$Y$2,'XBS '!B:B,' General Stock Summary View  '!C409,'XBS '!L:L,' General Stock Summary View  '!B409)</f>
        <v>0</v>
      </c>
      <c r="Z409" s="3">
        <f>SUMIFS('PowerApp_Physical count'!H:H,'PowerApp_Physical count'!B:B,' General Stock Summary View  '!$Y$2,'PowerApp_Physical count'!C:C,' General Stock Summary View  '!C409,'PowerApp_Physical count'!A:A,' General Stock Summary View  '!B409)</f>
        <v>0</v>
      </c>
      <c r="AA409" s="4">
        <f t="shared" si="64"/>
        <v>0</v>
      </c>
      <c r="AB409" s="5">
        <f>SUMIFS('XBS '!T:T,'XBS '!H:H,' General Stock Summary View  '!$AB$2,'XBS '!B:B,' General Stock Summary View  '!C409,'XBS '!L:L,' General Stock Summary View  '!B409)</f>
        <v>0</v>
      </c>
      <c r="AC409" s="3">
        <f>SUMIFS('PowerApp_Physical count'!H:H,'PowerApp_Physical count'!B:B,' General Stock Summary View  '!$AB$2,'PowerApp_Physical count'!C:C,' General Stock Summary View  '!C409,'PowerApp_Physical count'!A:A,' General Stock Summary View  '!B409)</f>
        <v>0</v>
      </c>
      <c r="AD409" s="6">
        <f t="shared" si="65"/>
        <v>0</v>
      </c>
      <c r="AE409" s="7">
        <f t="shared" si="66"/>
        <v>5.416666666666667</v>
      </c>
      <c r="AF409" s="8">
        <f t="shared" si="67"/>
        <v>0</v>
      </c>
      <c r="AG409" s="112"/>
    </row>
    <row r="410" spans="2:33" s="113" customFormat="1" ht="61.15">
      <c r="B410" s="117" t="s">
        <v>253</v>
      </c>
      <c r="C410" s="111" t="s">
        <v>373</v>
      </c>
      <c r="D410" s="11">
        <f>SUMIFS('XBS '!T:T,'XBS '!C:C,' General Stock Summary View  '!C410,'XBS '!L:L,' General Stock Summary View  '!B410)</f>
        <v>12.666666666666666</v>
      </c>
      <c r="E410" s="2">
        <f>SUMIFS('Blocked for Processing'!P:P,'Blocked for Processing'!I:I,' General Stock Summary View  '!B410,'Blocked for Processing'!C:C,' General Stock Summary View  '!C410)</f>
        <v>0</v>
      </c>
      <c r="F410" s="122">
        <f t="shared" si="56"/>
        <v>12.666666666666666</v>
      </c>
      <c r="G410" s="148">
        <f>SUMIFS('XBS '!T:T,'XBS '!H:H,' General Stock Summary View  '!$G$2,'XBS '!L:L,' General Stock Summary View  '!B410,'XBS '!C:C,' General Stock Summary View  '!C410)</f>
        <v>12.666666666666666</v>
      </c>
      <c r="H410" s="3">
        <f>SUMIFS('PowerApp_Physical count'!H:H,'PowerApp_Physical count'!B:B,' General Stock Summary View  '!$G$2,'PowerApp_Physical count'!C:C,' General Stock Summary View  '!C410,'PowerApp_Physical count'!A:A,' General Stock Summary View  '!B410)</f>
        <v>12.666666666666666</v>
      </c>
      <c r="I410" s="154">
        <f t="shared" si="69"/>
        <v>0</v>
      </c>
      <c r="J410" s="11">
        <f>SUMIFS('XBS '!T:T,'XBS '!H:H,' General Stock Summary View  '!$J$2,'XBS '!L:L,' General Stock Summary View  '!B410,'XBS '!C:C,' General Stock Summary View  '!C410)</f>
        <v>0</v>
      </c>
      <c r="K410" s="157">
        <f>SUMIFS('PowerApp_Physical count'!H:H,'PowerApp_Physical count'!B:B,' General Stock Summary View  '!$J$2,'PowerApp_Physical count'!C:C,' General Stock Summary View  '!C410,'PowerApp_Physical count'!A:A,' General Stock Summary View  '!B410)</f>
        <v>0</v>
      </c>
      <c r="L410" s="127">
        <f t="shared" si="57"/>
        <v>0</v>
      </c>
      <c r="M410" s="126">
        <f t="shared" si="58"/>
        <v>12.666666666666666</v>
      </c>
      <c r="N410" s="11">
        <f t="shared" si="59"/>
        <v>12.666666666666666</v>
      </c>
      <c r="O410" s="144">
        <f t="shared" si="60"/>
        <v>0</v>
      </c>
      <c r="P410" s="2">
        <f>SUMIFS('XBS '!T:T,'XBS '!H:H,' General Stock Summary View  '!$P$2,'XBS '!L:L,' General Stock Summary View  '!B410,'XBS '!C:C,' General Stock Summary View  '!C410)</f>
        <v>0</v>
      </c>
      <c r="Q410" s="3">
        <f>SUMIFS('PowerApp_Physical count'!H:H,'PowerApp_Physical count'!B:B,' General Stock Summary View  '!$P$2,'PowerApp_Physical count'!C:C,' General Stock Summary View  '!C410,'PowerApp_Physical count'!A:A,' General Stock Summary View  '!B410)</f>
        <v>0</v>
      </c>
      <c r="R410" s="4">
        <f t="shared" si="61"/>
        <v>0</v>
      </c>
      <c r="S410" s="5">
        <f>SUMIFS('XBS '!T:T,'XBS '!L:L,' General Stock Summary View  '!B410,'XBS '!H:H,' General Stock Summary View  '!$S$2,'XBS '!C:C,' General Stock Summary View  '!C410)</f>
        <v>0</v>
      </c>
      <c r="T410" s="3">
        <f>SUMIFS('PowerApp_Physical count'!H:H,'PowerApp_Physical count'!B:B,' General Stock Summary View  '!$S$2,'PowerApp_Physical count'!C:C,' General Stock Summary View  '!C410,'PowerApp_Physical count'!A:A,' General Stock Summary View  '!B410)</f>
        <v>0</v>
      </c>
      <c r="U410" s="4">
        <f t="shared" si="62"/>
        <v>0</v>
      </c>
      <c r="V410" s="2">
        <f>SUMIFS('XBS '!T:T,'XBS '!H:H,' General Stock Summary View  '!$V$2,'XBS '!B:B,' General Stock Summary View  '!C410,'XBS '!L:L,' General Stock Summary View  '!B410)</f>
        <v>0</v>
      </c>
      <c r="W410" s="3">
        <f>SUMIFS('PowerApp_Physical count'!H:H,'PowerApp_Physical count'!B:B,' General Stock Summary View  '!$V$2,'PowerApp_Physical count'!C:C,' General Stock Summary View  '!C410,'PowerApp_Physical count'!A:A,' General Stock Summary View  '!B410)</f>
        <v>0</v>
      </c>
      <c r="X410" s="4">
        <f t="shared" si="63"/>
        <v>0</v>
      </c>
      <c r="Y410" s="5">
        <f>SUMIFS('XBS '!T:T,'XBS '!H:H,' General Stock Summary View  '!$Y$2,'XBS '!B:B,' General Stock Summary View  '!C410,'XBS '!L:L,' General Stock Summary View  '!B410)</f>
        <v>0</v>
      </c>
      <c r="Z410" s="3">
        <f>SUMIFS('PowerApp_Physical count'!H:H,'PowerApp_Physical count'!B:B,' General Stock Summary View  '!$Y$2,'PowerApp_Physical count'!C:C,' General Stock Summary View  '!C410,'PowerApp_Physical count'!A:A,' General Stock Summary View  '!B410)</f>
        <v>0</v>
      </c>
      <c r="AA410" s="4">
        <f t="shared" si="64"/>
        <v>0</v>
      </c>
      <c r="AB410" s="5">
        <f>SUMIFS('XBS '!T:T,'XBS '!H:H,' General Stock Summary View  '!$AB$2,'XBS '!B:B,' General Stock Summary View  '!C410,'XBS '!L:L,' General Stock Summary View  '!B410)</f>
        <v>0</v>
      </c>
      <c r="AC410" s="3">
        <f>SUMIFS('PowerApp_Physical count'!H:H,'PowerApp_Physical count'!B:B,' General Stock Summary View  '!$AB$2,'PowerApp_Physical count'!C:C,' General Stock Summary View  '!C410,'PowerApp_Physical count'!A:A,' General Stock Summary View  '!B410)</f>
        <v>0</v>
      </c>
      <c r="AD410" s="6">
        <f t="shared" si="65"/>
        <v>0</v>
      </c>
      <c r="AE410" s="7">
        <f t="shared" si="66"/>
        <v>12.666666666666666</v>
      </c>
      <c r="AF410" s="8">
        <f t="shared" si="67"/>
        <v>0</v>
      </c>
      <c r="AG410" s="112"/>
    </row>
    <row r="411" spans="2:33" s="113" customFormat="1" ht="61.15">
      <c r="B411" s="117" t="s">
        <v>380</v>
      </c>
      <c r="C411" s="111" t="s">
        <v>373</v>
      </c>
      <c r="D411" s="11">
        <f>SUMIFS('XBS '!T:T,'XBS '!C:C,' General Stock Summary View  '!C411,'XBS '!L:L,' General Stock Summary View  '!B411)</f>
        <v>16.850000000000001</v>
      </c>
      <c r="E411" s="2">
        <f>SUMIFS('Blocked for Processing'!P:P,'Blocked for Processing'!I:I,' General Stock Summary View  '!B411,'Blocked for Processing'!C:C,' General Stock Summary View  '!C411)</f>
        <v>0</v>
      </c>
      <c r="F411" s="122">
        <f t="shared" si="56"/>
        <v>16.850000000000001</v>
      </c>
      <c r="G411" s="148">
        <f>SUMIFS('XBS '!T:T,'XBS '!H:H,' General Stock Summary View  '!$G$2,'XBS '!L:L,' General Stock Summary View  '!B411,'XBS '!C:C,' General Stock Summary View  '!C411)</f>
        <v>16.850000000000001</v>
      </c>
      <c r="H411" s="3">
        <f>SUMIFS('PowerApp_Physical count'!H:H,'PowerApp_Physical count'!B:B,' General Stock Summary View  '!$G$2,'PowerApp_Physical count'!C:C,' General Stock Summary View  '!C411,'PowerApp_Physical count'!A:A,' General Stock Summary View  '!B411)</f>
        <v>16.850000000000001</v>
      </c>
      <c r="I411" s="154">
        <f t="shared" si="69"/>
        <v>0</v>
      </c>
      <c r="J411" s="11">
        <f>SUMIFS('XBS '!T:T,'XBS '!H:H,' General Stock Summary View  '!$J$2,'XBS '!L:L,' General Stock Summary View  '!B411,'XBS '!C:C,' General Stock Summary View  '!C411)</f>
        <v>0</v>
      </c>
      <c r="K411" s="157">
        <f>SUMIFS('PowerApp_Physical count'!H:H,'PowerApp_Physical count'!B:B,' General Stock Summary View  '!$J$2,'PowerApp_Physical count'!C:C,' General Stock Summary View  '!C411,'PowerApp_Physical count'!A:A,' General Stock Summary View  '!B411)</f>
        <v>0</v>
      </c>
      <c r="L411" s="127">
        <f t="shared" si="57"/>
        <v>0</v>
      </c>
      <c r="M411" s="126">
        <f t="shared" si="58"/>
        <v>16.850000000000001</v>
      </c>
      <c r="N411" s="11">
        <f t="shared" si="59"/>
        <v>16.850000000000001</v>
      </c>
      <c r="O411" s="144">
        <f t="shared" si="60"/>
        <v>0</v>
      </c>
      <c r="P411" s="2">
        <f>SUMIFS('XBS '!T:T,'XBS '!H:H,' General Stock Summary View  '!$P$2,'XBS '!L:L,' General Stock Summary View  '!B411,'XBS '!C:C,' General Stock Summary View  '!C411)</f>
        <v>0</v>
      </c>
      <c r="Q411" s="3">
        <f>SUMIFS('PowerApp_Physical count'!H:H,'PowerApp_Physical count'!B:B,' General Stock Summary View  '!$P$2,'PowerApp_Physical count'!C:C,' General Stock Summary View  '!C411,'PowerApp_Physical count'!A:A,' General Stock Summary View  '!B411)</f>
        <v>0</v>
      </c>
      <c r="R411" s="4">
        <f t="shared" si="61"/>
        <v>0</v>
      </c>
      <c r="S411" s="5">
        <f>SUMIFS('XBS '!T:T,'XBS '!L:L,' General Stock Summary View  '!B411,'XBS '!H:H,' General Stock Summary View  '!$S$2,'XBS '!C:C,' General Stock Summary View  '!C411)</f>
        <v>0</v>
      </c>
      <c r="T411" s="3">
        <f>SUMIFS('PowerApp_Physical count'!H:H,'PowerApp_Physical count'!B:B,' General Stock Summary View  '!$S$2,'PowerApp_Physical count'!C:C,' General Stock Summary View  '!C411,'PowerApp_Physical count'!A:A,' General Stock Summary View  '!B411)</f>
        <v>0</v>
      </c>
      <c r="U411" s="4">
        <f t="shared" si="62"/>
        <v>0</v>
      </c>
      <c r="V411" s="2">
        <f>SUMIFS('XBS '!T:T,'XBS '!H:H,' General Stock Summary View  '!$V$2,'XBS '!B:B,' General Stock Summary View  '!C411,'XBS '!L:L,' General Stock Summary View  '!B411)</f>
        <v>0</v>
      </c>
      <c r="W411" s="3">
        <f>SUMIFS('PowerApp_Physical count'!H:H,'PowerApp_Physical count'!B:B,' General Stock Summary View  '!$V$2,'PowerApp_Physical count'!C:C,' General Stock Summary View  '!C411,'PowerApp_Physical count'!A:A,' General Stock Summary View  '!B411)</f>
        <v>0</v>
      </c>
      <c r="X411" s="4">
        <f t="shared" si="63"/>
        <v>0</v>
      </c>
      <c r="Y411" s="5">
        <f>SUMIFS('XBS '!T:T,'XBS '!H:H,' General Stock Summary View  '!$Y$2,'XBS '!B:B,' General Stock Summary View  '!C411,'XBS '!L:L,' General Stock Summary View  '!B411)</f>
        <v>0</v>
      </c>
      <c r="Z411" s="3">
        <f>SUMIFS('PowerApp_Physical count'!H:H,'PowerApp_Physical count'!B:B,' General Stock Summary View  '!$Y$2,'PowerApp_Physical count'!C:C,' General Stock Summary View  '!C411,'PowerApp_Physical count'!A:A,' General Stock Summary View  '!B411)</f>
        <v>0</v>
      </c>
      <c r="AA411" s="4">
        <f t="shared" si="64"/>
        <v>0</v>
      </c>
      <c r="AB411" s="5">
        <f>SUMIFS('XBS '!T:T,'XBS '!H:H,' General Stock Summary View  '!$AB$2,'XBS '!B:B,' General Stock Summary View  '!C411,'XBS '!L:L,' General Stock Summary View  '!B411)</f>
        <v>0</v>
      </c>
      <c r="AC411" s="3">
        <f>SUMIFS('PowerApp_Physical count'!H:H,'PowerApp_Physical count'!B:B,' General Stock Summary View  '!$AB$2,'PowerApp_Physical count'!C:C,' General Stock Summary View  '!C411,'PowerApp_Physical count'!A:A,' General Stock Summary View  '!B411)</f>
        <v>0</v>
      </c>
      <c r="AD411" s="6">
        <f t="shared" si="65"/>
        <v>0</v>
      </c>
      <c r="AE411" s="7">
        <f t="shared" si="66"/>
        <v>16.850000000000001</v>
      </c>
      <c r="AF411" s="8">
        <f t="shared" si="67"/>
        <v>0</v>
      </c>
      <c r="AG411" s="112"/>
    </row>
    <row r="412" spans="2:33" s="113" customFormat="1" ht="61.15">
      <c r="B412" s="117" t="s">
        <v>381</v>
      </c>
      <c r="C412" s="111" t="s">
        <v>373</v>
      </c>
      <c r="D412" s="11">
        <f>SUMIFS('XBS '!T:T,'XBS '!C:C,' General Stock Summary View  '!C412,'XBS '!L:L,' General Stock Summary View  '!B412)</f>
        <v>19.516666666666666</v>
      </c>
      <c r="E412" s="2">
        <f>SUMIFS('Blocked for Processing'!P:P,'Blocked for Processing'!I:I,' General Stock Summary View  '!B412,'Blocked for Processing'!C:C,' General Stock Summary View  '!C412)</f>
        <v>0</v>
      </c>
      <c r="F412" s="122">
        <f t="shared" si="56"/>
        <v>19.516666666666666</v>
      </c>
      <c r="G412" s="148">
        <f>SUMIFS('XBS '!T:T,'XBS '!H:H,' General Stock Summary View  '!$G$2,'XBS '!L:L,' General Stock Summary View  '!B412,'XBS '!C:C,' General Stock Summary View  '!C412)</f>
        <v>19.516666666666666</v>
      </c>
      <c r="H412" s="3">
        <f>SUMIFS('PowerApp_Physical count'!H:H,'PowerApp_Physical count'!B:B,' General Stock Summary View  '!$G$2,'PowerApp_Physical count'!C:C,' General Stock Summary View  '!C412,'PowerApp_Physical count'!A:A,' General Stock Summary View  '!B412)</f>
        <v>19.516666666666666</v>
      </c>
      <c r="I412" s="154">
        <f t="shared" si="69"/>
        <v>0</v>
      </c>
      <c r="J412" s="11">
        <f>SUMIFS('XBS '!T:T,'XBS '!H:H,' General Stock Summary View  '!$J$2,'XBS '!L:L,' General Stock Summary View  '!B412,'XBS '!C:C,' General Stock Summary View  '!C412)</f>
        <v>0</v>
      </c>
      <c r="K412" s="157">
        <f>SUMIFS('PowerApp_Physical count'!H:H,'PowerApp_Physical count'!B:B,' General Stock Summary View  '!$J$2,'PowerApp_Physical count'!C:C,' General Stock Summary View  '!C412,'PowerApp_Physical count'!A:A,' General Stock Summary View  '!B412)</f>
        <v>0</v>
      </c>
      <c r="L412" s="127">
        <f t="shared" si="57"/>
        <v>0</v>
      </c>
      <c r="M412" s="126">
        <f t="shared" si="58"/>
        <v>19.516666666666666</v>
      </c>
      <c r="N412" s="11">
        <f t="shared" si="59"/>
        <v>19.516666666666666</v>
      </c>
      <c r="O412" s="144">
        <f t="shared" si="60"/>
        <v>0</v>
      </c>
      <c r="P412" s="2">
        <f>SUMIFS('XBS '!T:T,'XBS '!H:H,' General Stock Summary View  '!$P$2,'XBS '!L:L,' General Stock Summary View  '!B412,'XBS '!C:C,' General Stock Summary View  '!C412)</f>
        <v>0</v>
      </c>
      <c r="Q412" s="3">
        <f>SUMIFS('PowerApp_Physical count'!H:H,'PowerApp_Physical count'!B:B,' General Stock Summary View  '!$P$2,'PowerApp_Physical count'!C:C,' General Stock Summary View  '!C412,'PowerApp_Physical count'!A:A,' General Stock Summary View  '!B412)</f>
        <v>0</v>
      </c>
      <c r="R412" s="4">
        <f t="shared" si="61"/>
        <v>0</v>
      </c>
      <c r="S412" s="5">
        <f>SUMIFS('XBS '!T:T,'XBS '!L:L,' General Stock Summary View  '!B412,'XBS '!H:H,' General Stock Summary View  '!$S$2,'XBS '!C:C,' General Stock Summary View  '!C412)</f>
        <v>0</v>
      </c>
      <c r="T412" s="3">
        <f>SUMIFS('PowerApp_Physical count'!H:H,'PowerApp_Physical count'!B:B,' General Stock Summary View  '!$S$2,'PowerApp_Physical count'!C:C,' General Stock Summary View  '!C412,'PowerApp_Physical count'!A:A,' General Stock Summary View  '!B412)</f>
        <v>0</v>
      </c>
      <c r="U412" s="4">
        <f t="shared" si="62"/>
        <v>0</v>
      </c>
      <c r="V412" s="2">
        <f>SUMIFS('XBS '!T:T,'XBS '!H:H,' General Stock Summary View  '!$V$2,'XBS '!B:B,' General Stock Summary View  '!C412,'XBS '!L:L,' General Stock Summary View  '!B412)</f>
        <v>0</v>
      </c>
      <c r="W412" s="3">
        <f>SUMIFS('PowerApp_Physical count'!H:H,'PowerApp_Physical count'!B:B,' General Stock Summary View  '!$V$2,'PowerApp_Physical count'!C:C,' General Stock Summary View  '!C412,'PowerApp_Physical count'!A:A,' General Stock Summary View  '!B412)</f>
        <v>0</v>
      </c>
      <c r="X412" s="4">
        <f t="shared" si="63"/>
        <v>0</v>
      </c>
      <c r="Y412" s="5">
        <f>SUMIFS('XBS '!T:T,'XBS '!H:H,' General Stock Summary View  '!$Y$2,'XBS '!B:B,' General Stock Summary View  '!C412,'XBS '!L:L,' General Stock Summary View  '!B412)</f>
        <v>0</v>
      </c>
      <c r="Z412" s="3">
        <f>SUMIFS('PowerApp_Physical count'!H:H,'PowerApp_Physical count'!B:B,' General Stock Summary View  '!$Y$2,'PowerApp_Physical count'!C:C,' General Stock Summary View  '!C412,'PowerApp_Physical count'!A:A,' General Stock Summary View  '!B412)</f>
        <v>0</v>
      </c>
      <c r="AA412" s="4">
        <f t="shared" si="64"/>
        <v>0</v>
      </c>
      <c r="AB412" s="5">
        <f>SUMIFS('XBS '!T:T,'XBS '!H:H,' General Stock Summary View  '!$AB$2,'XBS '!B:B,' General Stock Summary View  '!C412,'XBS '!L:L,' General Stock Summary View  '!B412)</f>
        <v>0</v>
      </c>
      <c r="AC412" s="3">
        <f>SUMIFS('PowerApp_Physical count'!H:H,'PowerApp_Physical count'!B:B,' General Stock Summary View  '!$AB$2,'PowerApp_Physical count'!C:C,' General Stock Summary View  '!C412,'PowerApp_Physical count'!A:A,' General Stock Summary View  '!B412)</f>
        <v>0</v>
      </c>
      <c r="AD412" s="6">
        <f t="shared" si="65"/>
        <v>0</v>
      </c>
      <c r="AE412" s="7">
        <f t="shared" si="66"/>
        <v>19.516666666666666</v>
      </c>
      <c r="AF412" s="8">
        <f t="shared" si="67"/>
        <v>0</v>
      </c>
      <c r="AG412" s="112"/>
    </row>
    <row r="413" spans="2:33" s="113" customFormat="1" ht="61.15">
      <c r="B413" s="117" t="s">
        <v>382</v>
      </c>
      <c r="C413" s="111" t="s">
        <v>373</v>
      </c>
      <c r="D413" s="11">
        <f>SUMIFS('XBS '!T:T,'XBS '!C:C,' General Stock Summary View  '!C413,'XBS '!L:L,' General Stock Summary View  '!B413)</f>
        <v>3.9833333333333334</v>
      </c>
      <c r="E413" s="2">
        <f>SUMIFS('Blocked for Processing'!P:P,'Blocked for Processing'!I:I,' General Stock Summary View  '!B413,'Blocked for Processing'!C:C,' General Stock Summary View  '!C413)</f>
        <v>0</v>
      </c>
      <c r="F413" s="122">
        <f t="shared" si="56"/>
        <v>3.9833333333333334</v>
      </c>
      <c r="G413" s="148">
        <f>SUMIFS('XBS '!T:T,'XBS '!H:H,' General Stock Summary View  '!$G$2,'XBS '!L:L,' General Stock Summary View  '!B413,'XBS '!C:C,' General Stock Summary View  '!C413)</f>
        <v>3.9833333333333334</v>
      </c>
      <c r="H413" s="3">
        <f>SUMIFS('PowerApp_Physical count'!H:H,'PowerApp_Physical count'!B:B,' General Stock Summary View  '!$G$2,'PowerApp_Physical count'!C:C,' General Stock Summary View  '!C413,'PowerApp_Physical count'!A:A,' General Stock Summary View  '!B413)</f>
        <v>3.9833333333333334</v>
      </c>
      <c r="I413" s="154">
        <f t="shared" si="69"/>
        <v>0</v>
      </c>
      <c r="J413" s="11">
        <f>SUMIFS('XBS '!T:T,'XBS '!H:H,' General Stock Summary View  '!$J$2,'XBS '!L:L,' General Stock Summary View  '!B413,'XBS '!C:C,' General Stock Summary View  '!C413)</f>
        <v>0</v>
      </c>
      <c r="K413" s="157">
        <f>SUMIFS('PowerApp_Physical count'!H:H,'PowerApp_Physical count'!B:B,' General Stock Summary View  '!$J$2,'PowerApp_Physical count'!C:C,' General Stock Summary View  '!C413,'PowerApp_Physical count'!A:A,' General Stock Summary View  '!B413)</f>
        <v>0</v>
      </c>
      <c r="L413" s="127">
        <f t="shared" si="57"/>
        <v>0</v>
      </c>
      <c r="M413" s="126">
        <f t="shared" si="58"/>
        <v>3.9833333333333334</v>
      </c>
      <c r="N413" s="11">
        <f t="shared" si="59"/>
        <v>3.9833333333333334</v>
      </c>
      <c r="O413" s="144">
        <f t="shared" si="60"/>
        <v>0</v>
      </c>
      <c r="P413" s="2">
        <f>SUMIFS('XBS '!T:T,'XBS '!H:H,' General Stock Summary View  '!$P$2,'XBS '!L:L,' General Stock Summary View  '!B413,'XBS '!C:C,' General Stock Summary View  '!C413)</f>
        <v>0</v>
      </c>
      <c r="Q413" s="3">
        <f>SUMIFS('PowerApp_Physical count'!H:H,'PowerApp_Physical count'!B:B,' General Stock Summary View  '!$P$2,'PowerApp_Physical count'!C:C,' General Stock Summary View  '!C413,'PowerApp_Physical count'!A:A,' General Stock Summary View  '!B413)</f>
        <v>0</v>
      </c>
      <c r="R413" s="4">
        <f t="shared" si="61"/>
        <v>0</v>
      </c>
      <c r="S413" s="5">
        <f>SUMIFS('XBS '!T:T,'XBS '!L:L,' General Stock Summary View  '!B413,'XBS '!H:H,' General Stock Summary View  '!$S$2,'XBS '!C:C,' General Stock Summary View  '!C413)</f>
        <v>0</v>
      </c>
      <c r="T413" s="3">
        <f>SUMIFS('PowerApp_Physical count'!H:H,'PowerApp_Physical count'!B:B,' General Stock Summary View  '!$S$2,'PowerApp_Physical count'!C:C,' General Stock Summary View  '!C413,'PowerApp_Physical count'!A:A,' General Stock Summary View  '!B413)</f>
        <v>0</v>
      </c>
      <c r="U413" s="4">
        <f t="shared" si="62"/>
        <v>0</v>
      </c>
      <c r="V413" s="2">
        <f>SUMIFS('XBS '!T:T,'XBS '!H:H,' General Stock Summary View  '!$V$2,'XBS '!B:B,' General Stock Summary View  '!C413,'XBS '!L:L,' General Stock Summary View  '!B413)</f>
        <v>0</v>
      </c>
      <c r="W413" s="3">
        <f>SUMIFS('PowerApp_Physical count'!H:H,'PowerApp_Physical count'!B:B,' General Stock Summary View  '!$V$2,'PowerApp_Physical count'!C:C,' General Stock Summary View  '!C413,'PowerApp_Physical count'!A:A,' General Stock Summary View  '!B413)</f>
        <v>0</v>
      </c>
      <c r="X413" s="4">
        <f t="shared" si="63"/>
        <v>0</v>
      </c>
      <c r="Y413" s="5">
        <f>SUMIFS('XBS '!T:T,'XBS '!H:H,' General Stock Summary View  '!$Y$2,'XBS '!B:B,' General Stock Summary View  '!C413,'XBS '!L:L,' General Stock Summary View  '!B413)</f>
        <v>0</v>
      </c>
      <c r="Z413" s="3">
        <f>SUMIFS('PowerApp_Physical count'!H:H,'PowerApp_Physical count'!B:B,' General Stock Summary View  '!$Y$2,'PowerApp_Physical count'!C:C,' General Stock Summary View  '!C413,'PowerApp_Physical count'!A:A,' General Stock Summary View  '!B413)</f>
        <v>0</v>
      </c>
      <c r="AA413" s="4">
        <f t="shared" si="64"/>
        <v>0</v>
      </c>
      <c r="AB413" s="5">
        <f>SUMIFS('XBS '!T:T,'XBS '!H:H,' General Stock Summary View  '!$AB$2,'XBS '!B:B,' General Stock Summary View  '!C413,'XBS '!L:L,' General Stock Summary View  '!B413)</f>
        <v>0</v>
      </c>
      <c r="AC413" s="3">
        <f>SUMIFS('PowerApp_Physical count'!H:H,'PowerApp_Physical count'!B:B,' General Stock Summary View  '!$AB$2,'PowerApp_Physical count'!C:C,' General Stock Summary View  '!C413,'PowerApp_Physical count'!A:A,' General Stock Summary View  '!B413)</f>
        <v>0</v>
      </c>
      <c r="AD413" s="6">
        <f t="shared" si="65"/>
        <v>0</v>
      </c>
      <c r="AE413" s="7">
        <f t="shared" si="66"/>
        <v>3.9833333333333334</v>
      </c>
      <c r="AF413" s="8">
        <f t="shared" si="67"/>
        <v>0</v>
      </c>
      <c r="AG413" s="112"/>
    </row>
    <row r="414" spans="2:33" s="113" customFormat="1" ht="61.15">
      <c r="B414" s="117" t="s">
        <v>383</v>
      </c>
      <c r="C414" s="111" t="s">
        <v>373</v>
      </c>
      <c r="D414" s="11">
        <f>SUMIFS('XBS '!T:T,'XBS '!C:C,' General Stock Summary View  '!C414,'XBS '!L:L,' General Stock Summary View  '!B414)</f>
        <v>2.2166666666666668</v>
      </c>
      <c r="E414" s="2">
        <f>SUMIFS('Blocked for Processing'!P:P,'Blocked for Processing'!I:I,' General Stock Summary View  '!B414,'Blocked for Processing'!C:C,' General Stock Summary View  '!C414)</f>
        <v>0</v>
      </c>
      <c r="F414" s="122">
        <f t="shared" si="56"/>
        <v>2.2166666666666668</v>
      </c>
      <c r="G414" s="148">
        <f>SUMIFS('XBS '!T:T,'XBS '!H:H,' General Stock Summary View  '!$G$2,'XBS '!L:L,' General Stock Summary View  '!B414,'XBS '!C:C,' General Stock Summary View  '!C414)</f>
        <v>2.2166666666666668</v>
      </c>
      <c r="H414" s="3">
        <f>SUMIFS('PowerApp_Physical count'!H:H,'PowerApp_Physical count'!B:B,' General Stock Summary View  '!$G$2,'PowerApp_Physical count'!C:C,' General Stock Summary View  '!C414,'PowerApp_Physical count'!A:A,' General Stock Summary View  '!B414)</f>
        <v>2.2166666666666668</v>
      </c>
      <c r="I414" s="154">
        <f t="shared" si="69"/>
        <v>0</v>
      </c>
      <c r="J414" s="11">
        <f>SUMIFS('XBS '!T:T,'XBS '!H:H,' General Stock Summary View  '!$J$2,'XBS '!L:L,' General Stock Summary View  '!B414,'XBS '!C:C,' General Stock Summary View  '!C414)</f>
        <v>0</v>
      </c>
      <c r="K414" s="157">
        <f>SUMIFS('PowerApp_Physical count'!H:H,'PowerApp_Physical count'!B:B,' General Stock Summary View  '!$J$2,'PowerApp_Physical count'!C:C,' General Stock Summary View  '!C414,'PowerApp_Physical count'!A:A,' General Stock Summary View  '!B414)</f>
        <v>0</v>
      </c>
      <c r="L414" s="127">
        <f t="shared" si="57"/>
        <v>0</v>
      </c>
      <c r="M414" s="126">
        <f t="shared" si="58"/>
        <v>2.2166666666666668</v>
      </c>
      <c r="N414" s="11">
        <f t="shared" si="59"/>
        <v>2.2166666666666668</v>
      </c>
      <c r="O414" s="144">
        <f t="shared" si="60"/>
        <v>0</v>
      </c>
      <c r="P414" s="2">
        <f>SUMIFS('XBS '!T:T,'XBS '!H:H,' General Stock Summary View  '!$P$2,'XBS '!L:L,' General Stock Summary View  '!B414,'XBS '!C:C,' General Stock Summary View  '!C414)</f>
        <v>0</v>
      </c>
      <c r="Q414" s="3">
        <f>SUMIFS('PowerApp_Physical count'!H:H,'PowerApp_Physical count'!B:B,' General Stock Summary View  '!$P$2,'PowerApp_Physical count'!C:C,' General Stock Summary View  '!C414,'PowerApp_Physical count'!A:A,' General Stock Summary View  '!B414)</f>
        <v>0</v>
      </c>
      <c r="R414" s="4">
        <f t="shared" si="61"/>
        <v>0</v>
      </c>
      <c r="S414" s="5">
        <f>SUMIFS('XBS '!T:T,'XBS '!L:L,' General Stock Summary View  '!B414,'XBS '!H:H,' General Stock Summary View  '!$S$2,'XBS '!C:C,' General Stock Summary View  '!C414)</f>
        <v>0</v>
      </c>
      <c r="T414" s="3">
        <f>SUMIFS('PowerApp_Physical count'!H:H,'PowerApp_Physical count'!B:B,' General Stock Summary View  '!$S$2,'PowerApp_Physical count'!C:C,' General Stock Summary View  '!C414,'PowerApp_Physical count'!A:A,' General Stock Summary View  '!B414)</f>
        <v>0</v>
      </c>
      <c r="U414" s="4">
        <f t="shared" si="62"/>
        <v>0</v>
      </c>
      <c r="V414" s="2">
        <f>SUMIFS('XBS '!T:T,'XBS '!H:H,' General Stock Summary View  '!$V$2,'XBS '!B:B,' General Stock Summary View  '!C414,'XBS '!L:L,' General Stock Summary View  '!B414)</f>
        <v>0</v>
      </c>
      <c r="W414" s="3">
        <f>SUMIFS('PowerApp_Physical count'!H:H,'PowerApp_Physical count'!B:B,' General Stock Summary View  '!$V$2,'PowerApp_Physical count'!C:C,' General Stock Summary View  '!C414,'PowerApp_Physical count'!A:A,' General Stock Summary View  '!B414)</f>
        <v>0</v>
      </c>
      <c r="X414" s="4">
        <f t="shared" si="63"/>
        <v>0</v>
      </c>
      <c r="Y414" s="5">
        <f>SUMIFS('XBS '!T:T,'XBS '!H:H,' General Stock Summary View  '!$Y$2,'XBS '!B:B,' General Stock Summary View  '!C414,'XBS '!L:L,' General Stock Summary View  '!B414)</f>
        <v>0</v>
      </c>
      <c r="Z414" s="3">
        <f>SUMIFS('PowerApp_Physical count'!H:H,'PowerApp_Physical count'!B:B,' General Stock Summary View  '!$Y$2,'PowerApp_Physical count'!C:C,' General Stock Summary View  '!C414,'PowerApp_Physical count'!A:A,' General Stock Summary View  '!B414)</f>
        <v>0</v>
      </c>
      <c r="AA414" s="4">
        <f t="shared" si="64"/>
        <v>0</v>
      </c>
      <c r="AB414" s="5">
        <f>SUMIFS('XBS '!T:T,'XBS '!H:H,' General Stock Summary View  '!$AB$2,'XBS '!B:B,' General Stock Summary View  '!C414,'XBS '!L:L,' General Stock Summary View  '!B414)</f>
        <v>0</v>
      </c>
      <c r="AC414" s="3">
        <f>SUMIFS('PowerApp_Physical count'!H:H,'PowerApp_Physical count'!B:B,' General Stock Summary View  '!$AB$2,'PowerApp_Physical count'!C:C,' General Stock Summary View  '!C414,'PowerApp_Physical count'!A:A,' General Stock Summary View  '!B414)</f>
        <v>0</v>
      </c>
      <c r="AD414" s="6">
        <f t="shared" si="65"/>
        <v>0</v>
      </c>
      <c r="AE414" s="7">
        <f t="shared" si="66"/>
        <v>2.2166666666666668</v>
      </c>
      <c r="AF414" s="8">
        <f t="shared" si="67"/>
        <v>0</v>
      </c>
      <c r="AG414" s="112"/>
    </row>
    <row r="415" spans="2:33" s="113" customFormat="1" ht="61.15">
      <c r="B415" s="117" t="s">
        <v>282</v>
      </c>
      <c r="C415" s="111" t="s">
        <v>373</v>
      </c>
      <c r="D415" s="11">
        <f>SUMIFS('XBS '!T:T,'XBS '!C:C,' General Stock Summary View  '!C415,'XBS '!L:L,' General Stock Summary View  '!B415)</f>
        <v>5.7666666666666666</v>
      </c>
      <c r="E415" s="2">
        <f>SUMIFS('Blocked for Processing'!P:P,'Blocked for Processing'!I:I,' General Stock Summary View  '!B415,'Blocked for Processing'!C:C,' General Stock Summary View  '!C415)</f>
        <v>0</v>
      </c>
      <c r="F415" s="122">
        <f t="shared" si="56"/>
        <v>5.7666666666666666</v>
      </c>
      <c r="G415" s="148">
        <f>SUMIFS('XBS '!T:T,'XBS '!H:H,' General Stock Summary View  '!$G$2,'XBS '!L:L,' General Stock Summary View  '!B415,'XBS '!C:C,' General Stock Summary View  '!C415)</f>
        <v>5.7666666666666666</v>
      </c>
      <c r="H415" s="3">
        <f>SUMIFS('PowerApp_Physical count'!H:H,'PowerApp_Physical count'!B:B,' General Stock Summary View  '!$G$2,'PowerApp_Physical count'!C:C,' General Stock Summary View  '!C415,'PowerApp_Physical count'!A:A,' General Stock Summary View  '!B415)</f>
        <v>5.7666666666666666</v>
      </c>
      <c r="I415" s="154">
        <f t="shared" si="69"/>
        <v>0</v>
      </c>
      <c r="J415" s="11">
        <f>SUMIFS('XBS '!T:T,'XBS '!H:H,' General Stock Summary View  '!$J$2,'XBS '!L:L,' General Stock Summary View  '!B415,'XBS '!C:C,' General Stock Summary View  '!C415)</f>
        <v>0</v>
      </c>
      <c r="K415" s="157">
        <f>SUMIFS('PowerApp_Physical count'!H:H,'PowerApp_Physical count'!B:B,' General Stock Summary View  '!$J$2,'PowerApp_Physical count'!C:C,' General Stock Summary View  '!C415,'PowerApp_Physical count'!A:A,' General Stock Summary View  '!B415)</f>
        <v>0</v>
      </c>
      <c r="L415" s="127">
        <f t="shared" si="57"/>
        <v>0</v>
      </c>
      <c r="M415" s="126">
        <f t="shared" si="58"/>
        <v>5.7666666666666666</v>
      </c>
      <c r="N415" s="11">
        <f t="shared" si="59"/>
        <v>5.7666666666666666</v>
      </c>
      <c r="O415" s="144">
        <f t="shared" si="60"/>
        <v>0</v>
      </c>
      <c r="P415" s="2">
        <f>SUMIFS('XBS '!T:T,'XBS '!H:H,' General Stock Summary View  '!$P$2,'XBS '!L:L,' General Stock Summary View  '!B415,'XBS '!C:C,' General Stock Summary View  '!C415)</f>
        <v>0</v>
      </c>
      <c r="Q415" s="3">
        <f>SUMIFS('PowerApp_Physical count'!H:H,'PowerApp_Physical count'!B:B,' General Stock Summary View  '!$P$2,'PowerApp_Physical count'!C:C,' General Stock Summary View  '!C415,'PowerApp_Physical count'!A:A,' General Stock Summary View  '!B415)</f>
        <v>0</v>
      </c>
      <c r="R415" s="4">
        <f t="shared" si="61"/>
        <v>0</v>
      </c>
      <c r="S415" s="5">
        <f>SUMIFS('XBS '!T:T,'XBS '!L:L,' General Stock Summary View  '!B415,'XBS '!H:H,' General Stock Summary View  '!$S$2,'XBS '!C:C,' General Stock Summary View  '!C415)</f>
        <v>0</v>
      </c>
      <c r="T415" s="3">
        <f>SUMIFS('PowerApp_Physical count'!H:H,'PowerApp_Physical count'!B:B,' General Stock Summary View  '!$S$2,'PowerApp_Physical count'!C:C,' General Stock Summary View  '!C415,'PowerApp_Physical count'!A:A,' General Stock Summary View  '!B415)</f>
        <v>0</v>
      </c>
      <c r="U415" s="4">
        <f t="shared" si="62"/>
        <v>0</v>
      </c>
      <c r="V415" s="2">
        <f>SUMIFS('XBS '!T:T,'XBS '!H:H,' General Stock Summary View  '!$V$2,'XBS '!B:B,' General Stock Summary View  '!C415,'XBS '!L:L,' General Stock Summary View  '!B415)</f>
        <v>0</v>
      </c>
      <c r="W415" s="3">
        <f>SUMIFS('PowerApp_Physical count'!H:H,'PowerApp_Physical count'!B:B,' General Stock Summary View  '!$V$2,'PowerApp_Physical count'!C:C,' General Stock Summary View  '!C415,'PowerApp_Physical count'!A:A,' General Stock Summary View  '!B415)</f>
        <v>0</v>
      </c>
      <c r="X415" s="4">
        <f t="shared" si="63"/>
        <v>0</v>
      </c>
      <c r="Y415" s="5">
        <f>SUMIFS('XBS '!T:T,'XBS '!H:H,' General Stock Summary View  '!$Y$2,'XBS '!B:B,' General Stock Summary View  '!C415,'XBS '!L:L,' General Stock Summary View  '!B415)</f>
        <v>0</v>
      </c>
      <c r="Z415" s="3">
        <f>SUMIFS('PowerApp_Physical count'!H:H,'PowerApp_Physical count'!B:B,' General Stock Summary View  '!$Y$2,'PowerApp_Physical count'!C:C,' General Stock Summary View  '!C415,'PowerApp_Physical count'!A:A,' General Stock Summary View  '!B415)</f>
        <v>0</v>
      </c>
      <c r="AA415" s="4">
        <f t="shared" si="64"/>
        <v>0</v>
      </c>
      <c r="AB415" s="5">
        <f>SUMIFS('XBS '!T:T,'XBS '!H:H,' General Stock Summary View  '!$AB$2,'XBS '!B:B,' General Stock Summary View  '!C415,'XBS '!L:L,' General Stock Summary View  '!B415)</f>
        <v>0</v>
      </c>
      <c r="AC415" s="3">
        <f>SUMIFS('PowerApp_Physical count'!H:H,'PowerApp_Physical count'!B:B,' General Stock Summary View  '!$AB$2,'PowerApp_Physical count'!C:C,' General Stock Summary View  '!C415,'PowerApp_Physical count'!A:A,' General Stock Summary View  '!B415)</f>
        <v>0</v>
      </c>
      <c r="AD415" s="6">
        <f t="shared" si="65"/>
        <v>0</v>
      </c>
      <c r="AE415" s="7">
        <f t="shared" si="66"/>
        <v>5.7666666666666666</v>
      </c>
      <c r="AF415" s="8">
        <f t="shared" si="67"/>
        <v>0</v>
      </c>
      <c r="AG415" s="112"/>
    </row>
    <row r="416" spans="2:33" s="113" customFormat="1" ht="61.15">
      <c r="B416" s="117" t="s">
        <v>384</v>
      </c>
      <c r="C416" s="111" t="s">
        <v>373</v>
      </c>
      <c r="D416" s="11">
        <f>SUMIFS('XBS '!T:T,'XBS '!C:C,' General Stock Summary View  '!C416,'XBS '!L:L,' General Stock Summary View  '!B416)</f>
        <v>3.2833333333333332</v>
      </c>
      <c r="E416" s="2">
        <f>SUMIFS('Blocked for Processing'!P:P,'Blocked for Processing'!I:I,' General Stock Summary View  '!B416,'Blocked for Processing'!C:C,' General Stock Summary View  '!C416)</f>
        <v>0</v>
      </c>
      <c r="F416" s="122">
        <f t="shared" si="56"/>
        <v>3.2833333333333332</v>
      </c>
      <c r="G416" s="148">
        <f>SUMIFS('XBS '!T:T,'XBS '!H:H,' General Stock Summary View  '!$G$2,'XBS '!L:L,' General Stock Summary View  '!B416,'XBS '!C:C,' General Stock Summary View  '!C416)</f>
        <v>3.2833333333333332</v>
      </c>
      <c r="H416" s="3">
        <f>SUMIFS('PowerApp_Physical count'!H:H,'PowerApp_Physical count'!B:B,' General Stock Summary View  '!$G$2,'PowerApp_Physical count'!C:C,' General Stock Summary View  '!C416,'PowerApp_Physical count'!A:A,' General Stock Summary View  '!B416)</f>
        <v>3.2833333333333332</v>
      </c>
      <c r="I416" s="154">
        <f t="shared" si="69"/>
        <v>0</v>
      </c>
      <c r="J416" s="11">
        <f>SUMIFS('XBS '!T:T,'XBS '!H:H,' General Stock Summary View  '!$J$2,'XBS '!L:L,' General Stock Summary View  '!B416,'XBS '!C:C,' General Stock Summary View  '!C416)</f>
        <v>0</v>
      </c>
      <c r="K416" s="157">
        <f>SUMIFS('PowerApp_Physical count'!H:H,'PowerApp_Physical count'!B:B,' General Stock Summary View  '!$J$2,'PowerApp_Physical count'!C:C,' General Stock Summary View  '!C416,'PowerApp_Physical count'!A:A,' General Stock Summary View  '!B416)</f>
        <v>0</v>
      </c>
      <c r="L416" s="127">
        <f t="shared" si="57"/>
        <v>0</v>
      </c>
      <c r="M416" s="126">
        <f t="shared" si="58"/>
        <v>3.2833333333333332</v>
      </c>
      <c r="N416" s="11">
        <f t="shared" si="59"/>
        <v>3.2833333333333332</v>
      </c>
      <c r="O416" s="144">
        <f t="shared" si="60"/>
        <v>0</v>
      </c>
      <c r="P416" s="2">
        <f>SUMIFS('XBS '!T:T,'XBS '!H:H,' General Stock Summary View  '!$P$2,'XBS '!L:L,' General Stock Summary View  '!B416,'XBS '!C:C,' General Stock Summary View  '!C416)</f>
        <v>0</v>
      </c>
      <c r="Q416" s="3">
        <f>SUMIFS('PowerApp_Physical count'!H:H,'PowerApp_Physical count'!B:B,' General Stock Summary View  '!$P$2,'PowerApp_Physical count'!C:C,' General Stock Summary View  '!C416,'PowerApp_Physical count'!A:A,' General Stock Summary View  '!B416)</f>
        <v>0</v>
      </c>
      <c r="R416" s="4">
        <f t="shared" si="61"/>
        <v>0</v>
      </c>
      <c r="S416" s="5">
        <f>SUMIFS('XBS '!T:T,'XBS '!L:L,' General Stock Summary View  '!B416,'XBS '!H:H,' General Stock Summary View  '!$S$2,'XBS '!C:C,' General Stock Summary View  '!C416)</f>
        <v>0</v>
      </c>
      <c r="T416" s="3">
        <f>SUMIFS('PowerApp_Physical count'!H:H,'PowerApp_Physical count'!B:B,' General Stock Summary View  '!$S$2,'PowerApp_Physical count'!C:C,' General Stock Summary View  '!C416,'PowerApp_Physical count'!A:A,' General Stock Summary View  '!B416)</f>
        <v>0</v>
      </c>
      <c r="U416" s="4">
        <f t="shared" si="62"/>
        <v>0</v>
      </c>
      <c r="V416" s="2">
        <f>SUMIFS('XBS '!T:T,'XBS '!H:H,' General Stock Summary View  '!$V$2,'XBS '!B:B,' General Stock Summary View  '!C416,'XBS '!L:L,' General Stock Summary View  '!B416)</f>
        <v>0</v>
      </c>
      <c r="W416" s="3">
        <f>SUMIFS('PowerApp_Physical count'!H:H,'PowerApp_Physical count'!B:B,' General Stock Summary View  '!$V$2,'PowerApp_Physical count'!C:C,' General Stock Summary View  '!C416,'PowerApp_Physical count'!A:A,' General Stock Summary View  '!B416)</f>
        <v>0</v>
      </c>
      <c r="X416" s="4">
        <f t="shared" si="63"/>
        <v>0</v>
      </c>
      <c r="Y416" s="5">
        <f>SUMIFS('XBS '!T:T,'XBS '!H:H,' General Stock Summary View  '!$Y$2,'XBS '!B:B,' General Stock Summary View  '!C416,'XBS '!L:L,' General Stock Summary View  '!B416)</f>
        <v>0</v>
      </c>
      <c r="Z416" s="3">
        <f>SUMIFS('PowerApp_Physical count'!H:H,'PowerApp_Physical count'!B:B,' General Stock Summary View  '!$Y$2,'PowerApp_Physical count'!C:C,' General Stock Summary View  '!C416,'PowerApp_Physical count'!A:A,' General Stock Summary View  '!B416)</f>
        <v>0</v>
      </c>
      <c r="AA416" s="4">
        <f t="shared" si="64"/>
        <v>0</v>
      </c>
      <c r="AB416" s="5">
        <f>SUMIFS('XBS '!T:T,'XBS '!H:H,' General Stock Summary View  '!$AB$2,'XBS '!B:B,' General Stock Summary View  '!C416,'XBS '!L:L,' General Stock Summary View  '!B416)</f>
        <v>0</v>
      </c>
      <c r="AC416" s="3">
        <f>SUMIFS('PowerApp_Physical count'!H:H,'PowerApp_Physical count'!B:B,' General Stock Summary View  '!$AB$2,'PowerApp_Physical count'!C:C,' General Stock Summary View  '!C416,'PowerApp_Physical count'!A:A,' General Stock Summary View  '!B416)</f>
        <v>0</v>
      </c>
      <c r="AD416" s="6">
        <f t="shared" si="65"/>
        <v>0</v>
      </c>
      <c r="AE416" s="7">
        <f t="shared" si="66"/>
        <v>3.2833333333333332</v>
      </c>
      <c r="AF416" s="8">
        <f t="shared" si="67"/>
        <v>0</v>
      </c>
      <c r="AG416" s="112"/>
    </row>
    <row r="417" spans="2:33" s="113" customFormat="1" ht="61.15">
      <c r="B417" s="117" t="s">
        <v>385</v>
      </c>
      <c r="C417" s="111" t="s">
        <v>373</v>
      </c>
      <c r="D417" s="11">
        <f>SUMIFS('XBS '!T:T,'XBS '!C:C,' General Stock Summary View  '!C417,'XBS '!L:L,' General Stock Summary View  '!B417)</f>
        <v>1.1333333333333333</v>
      </c>
      <c r="E417" s="2">
        <f>SUMIFS('Blocked for Processing'!P:P,'Blocked for Processing'!I:I,' General Stock Summary View  '!B417,'Blocked for Processing'!C:C,' General Stock Summary View  '!C417)</f>
        <v>0</v>
      </c>
      <c r="F417" s="122">
        <f t="shared" si="56"/>
        <v>1.1333333333333333</v>
      </c>
      <c r="G417" s="148">
        <f>SUMIFS('XBS '!T:T,'XBS '!H:H,' General Stock Summary View  '!$G$2,'XBS '!L:L,' General Stock Summary View  '!B417,'XBS '!C:C,' General Stock Summary View  '!C417)</f>
        <v>1.1333333333333333</v>
      </c>
      <c r="H417" s="3">
        <f>SUMIFS('PowerApp_Physical count'!H:H,'PowerApp_Physical count'!B:B,' General Stock Summary View  '!$G$2,'PowerApp_Physical count'!C:C,' General Stock Summary View  '!C417,'PowerApp_Physical count'!A:A,' General Stock Summary View  '!B417)</f>
        <v>1.1333333333333333</v>
      </c>
      <c r="I417" s="154">
        <f t="shared" si="69"/>
        <v>0</v>
      </c>
      <c r="J417" s="11">
        <f>SUMIFS('XBS '!T:T,'XBS '!H:H,' General Stock Summary View  '!$J$2,'XBS '!L:L,' General Stock Summary View  '!B417,'XBS '!C:C,' General Stock Summary View  '!C417)</f>
        <v>0</v>
      </c>
      <c r="K417" s="157">
        <f>SUMIFS('PowerApp_Physical count'!H:H,'PowerApp_Physical count'!B:B,' General Stock Summary View  '!$J$2,'PowerApp_Physical count'!C:C,' General Stock Summary View  '!C417,'PowerApp_Physical count'!A:A,' General Stock Summary View  '!B417)</f>
        <v>0</v>
      </c>
      <c r="L417" s="127">
        <f t="shared" si="57"/>
        <v>0</v>
      </c>
      <c r="M417" s="126">
        <f t="shared" si="58"/>
        <v>1.1333333333333333</v>
      </c>
      <c r="N417" s="11">
        <f t="shared" si="59"/>
        <v>1.1333333333333333</v>
      </c>
      <c r="O417" s="144">
        <f t="shared" si="60"/>
        <v>0</v>
      </c>
      <c r="P417" s="2">
        <f>SUMIFS('XBS '!T:T,'XBS '!H:H,' General Stock Summary View  '!$P$2,'XBS '!L:L,' General Stock Summary View  '!B417,'XBS '!C:C,' General Stock Summary View  '!C417)</f>
        <v>0</v>
      </c>
      <c r="Q417" s="3">
        <f>SUMIFS('PowerApp_Physical count'!H:H,'PowerApp_Physical count'!B:B,' General Stock Summary View  '!$P$2,'PowerApp_Physical count'!C:C,' General Stock Summary View  '!C417,'PowerApp_Physical count'!A:A,' General Stock Summary View  '!B417)</f>
        <v>0</v>
      </c>
      <c r="R417" s="4">
        <f t="shared" si="61"/>
        <v>0</v>
      </c>
      <c r="S417" s="5">
        <f>SUMIFS('XBS '!T:T,'XBS '!L:L,' General Stock Summary View  '!B417,'XBS '!H:H,' General Stock Summary View  '!$S$2,'XBS '!C:C,' General Stock Summary View  '!C417)</f>
        <v>0</v>
      </c>
      <c r="T417" s="3">
        <f>SUMIFS('PowerApp_Physical count'!H:H,'PowerApp_Physical count'!B:B,' General Stock Summary View  '!$S$2,'PowerApp_Physical count'!C:C,' General Stock Summary View  '!C417,'PowerApp_Physical count'!A:A,' General Stock Summary View  '!B417)</f>
        <v>0</v>
      </c>
      <c r="U417" s="4">
        <f t="shared" si="62"/>
        <v>0</v>
      </c>
      <c r="V417" s="2">
        <f>SUMIFS('XBS '!T:T,'XBS '!H:H,' General Stock Summary View  '!$V$2,'XBS '!B:B,' General Stock Summary View  '!C417,'XBS '!L:L,' General Stock Summary View  '!B417)</f>
        <v>0</v>
      </c>
      <c r="W417" s="3">
        <f>SUMIFS('PowerApp_Physical count'!H:H,'PowerApp_Physical count'!B:B,' General Stock Summary View  '!$V$2,'PowerApp_Physical count'!C:C,' General Stock Summary View  '!C417,'PowerApp_Physical count'!A:A,' General Stock Summary View  '!B417)</f>
        <v>0</v>
      </c>
      <c r="X417" s="4">
        <f t="shared" si="63"/>
        <v>0</v>
      </c>
      <c r="Y417" s="5">
        <f>SUMIFS('XBS '!T:T,'XBS '!H:H,' General Stock Summary View  '!$Y$2,'XBS '!B:B,' General Stock Summary View  '!C417,'XBS '!L:L,' General Stock Summary View  '!B417)</f>
        <v>0</v>
      </c>
      <c r="Z417" s="3">
        <f>SUMIFS('PowerApp_Physical count'!H:H,'PowerApp_Physical count'!B:B,' General Stock Summary View  '!$Y$2,'PowerApp_Physical count'!C:C,' General Stock Summary View  '!C417,'PowerApp_Physical count'!A:A,' General Stock Summary View  '!B417)</f>
        <v>0</v>
      </c>
      <c r="AA417" s="4">
        <f t="shared" si="64"/>
        <v>0</v>
      </c>
      <c r="AB417" s="5">
        <f>SUMIFS('XBS '!T:T,'XBS '!H:H,' General Stock Summary View  '!$AB$2,'XBS '!B:B,' General Stock Summary View  '!C417,'XBS '!L:L,' General Stock Summary View  '!B417)</f>
        <v>0</v>
      </c>
      <c r="AC417" s="3">
        <f>SUMIFS('PowerApp_Physical count'!H:H,'PowerApp_Physical count'!B:B,' General Stock Summary View  '!$AB$2,'PowerApp_Physical count'!C:C,' General Stock Summary View  '!C417,'PowerApp_Physical count'!A:A,' General Stock Summary View  '!B417)</f>
        <v>0</v>
      </c>
      <c r="AD417" s="6">
        <f t="shared" si="65"/>
        <v>0</v>
      </c>
      <c r="AE417" s="7">
        <f t="shared" si="66"/>
        <v>1.1333333333333333</v>
      </c>
      <c r="AF417" s="8">
        <f t="shared" si="67"/>
        <v>0</v>
      </c>
      <c r="AG417" s="112"/>
    </row>
    <row r="418" spans="2:33" s="113" customFormat="1" ht="61.15">
      <c r="B418" s="117" t="s">
        <v>386</v>
      </c>
      <c r="C418" s="111" t="s">
        <v>373</v>
      </c>
      <c r="D418" s="11">
        <f>SUMIFS('XBS '!T:T,'XBS '!C:C,' General Stock Summary View  '!C418,'XBS '!L:L,' General Stock Summary View  '!B418)</f>
        <v>9.3833333333333329</v>
      </c>
      <c r="E418" s="2">
        <f>SUMIFS('Blocked for Processing'!P:P,'Blocked for Processing'!I:I,' General Stock Summary View  '!B418,'Blocked for Processing'!C:C,' General Stock Summary View  '!C418)</f>
        <v>0</v>
      </c>
      <c r="F418" s="122">
        <f t="shared" si="56"/>
        <v>9.3833333333333329</v>
      </c>
      <c r="G418" s="148">
        <f>SUMIFS('XBS '!T:T,'XBS '!H:H,' General Stock Summary View  '!$G$2,'XBS '!L:L,' General Stock Summary View  '!B418,'XBS '!C:C,' General Stock Summary View  '!C418)</f>
        <v>9.3833333333333329</v>
      </c>
      <c r="H418" s="3">
        <f>SUMIFS('PowerApp_Physical count'!H:H,'PowerApp_Physical count'!B:B,' General Stock Summary View  '!$G$2,'PowerApp_Physical count'!C:C,' General Stock Summary View  '!C418,'PowerApp_Physical count'!A:A,' General Stock Summary View  '!B418)</f>
        <v>9.3833333333333329</v>
      </c>
      <c r="I418" s="154">
        <f t="shared" si="69"/>
        <v>0</v>
      </c>
      <c r="J418" s="11">
        <f>SUMIFS('XBS '!T:T,'XBS '!H:H,' General Stock Summary View  '!$J$2,'XBS '!L:L,' General Stock Summary View  '!B418,'XBS '!C:C,' General Stock Summary View  '!C418)</f>
        <v>0</v>
      </c>
      <c r="K418" s="157">
        <f>SUMIFS('PowerApp_Physical count'!H:H,'PowerApp_Physical count'!B:B,' General Stock Summary View  '!$J$2,'PowerApp_Physical count'!C:C,' General Stock Summary View  '!C418,'PowerApp_Physical count'!A:A,' General Stock Summary View  '!B418)</f>
        <v>0</v>
      </c>
      <c r="L418" s="127">
        <f t="shared" si="57"/>
        <v>0</v>
      </c>
      <c r="M418" s="126">
        <f t="shared" si="58"/>
        <v>9.3833333333333329</v>
      </c>
      <c r="N418" s="11">
        <f t="shared" si="59"/>
        <v>9.3833333333333329</v>
      </c>
      <c r="O418" s="144">
        <f t="shared" si="60"/>
        <v>0</v>
      </c>
      <c r="P418" s="2">
        <f>SUMIFS('XBS '!T:T,'XBS '!H:H,' General Stock Summary View  '!$P$2,'XBS '!L:L,' General Stock Summary View  '!B418,'XBS '!C:C,' General Stock Summary View  '!C418)</f>
        <v>0</v>
      </c>
      <c r="Q418" s="3">
        <f>SUMIFS('PowerApp_Physical count'!H:H,'PowerApp_Physical count'!B:B,' General Stock Summary View  '!$P$2,'PowerApp_Physical count'!C:C,' General Stock Summary View  '!C418,'PowerApp_Physical count'!A:A,' General Stock Summary View  '!B418)</f>
        <v>0</v>
      </c>
      <c r="R418" s="4">
        <f t="shared" si="61"/>
        <v>0</v>
      </c>
      <c r="S418" s="5">
        <f>SUMIFS('XBS '!T:T,'XBS '!L:L,' General Stock Summary View  '!B418,'XBS '!H:H,' General Stock Summary View  '!$S$2,'XBS '!C:C,' General Stock Summary View  '!C418)</f>
        <v>0</v>
      </c>
      <c r="T418" s="3">
        <f>SUMIFS('PowerApp_Physical count'!H:H,'PowerApp_Physical count'!B:B,' General Stock Summary View  '!$S$2,'PowerApp_Physical count'!C:C,' General Stock Summary View  '!C418,'PowerApp_Physical count'!A:A,' General Stock Summary View  '!B418)</f>
        <v>0</v>
      </c>
      <c r="U418" s="4">
        <f t="shared" si="62"/>
        <v>0</v>
      </c>
      <c r="V418" s="2">
        <f>SUMIFS('XBS '!T:T,'XBS '!H:H,' General Stock Summary View  '!$V$2,'XBS '!B:B,' General Stock Summary View  '!C418,'XBS '!L:L,' General Stock Summary View  '!B418)</f>
        <v>0</v>
      </c>
      <c r="W418" s="3">
        <f>SUMIFS('PowerApp_Physical count'!H:H,'PowerApp_Physical count'!B:B,' General Stock Summary View  '!$V$2,'PowerApp_Physical count'!C:C,' General Stock Summary View  '!C418,'PowerApp_Physical count'!A:A,' General Stock Summary View  '!B418)</f>
        <v>0</v>
      </c>
      <c r="X418" s="4">
        <f t="shared" si="63"/>
        <v>0</v>
      </c>
      <c r="Y418" s="5">
        <f>SUMIFS('XBS '!T:T,'XBS '!H:H,' General Stock Summary View  '!$Y$2,'XBS '!B:B,' General Stock Summary View  '!C418,'XBS '!L:L,' General Stock Summary View  '!B418)</f>
        <v>0</v>
      </c>
      <c r="Z418" s="3">
        <f>SUMIFS('PowerApp_Physical count'!H:H,'PowerApp_Physical count'!B:B,' General Stock Summary View  '!$Y$2,'PowerApp_Physical count'!C:C,' General Stock Summary View  '!C418,'PowerApp_Physical count'!A:A,' General Stock Summary View  '!B418)</f>
        <v>0</v>
      </c>
      <c r="AA418" s="4">
        <f t="shared" si="64"/>
        <v>0</v>
      </c>
      <c r="AB418" s="5">
        <f>SUMIFS('XBS '!T:T,'XBS '!H:H,' General Stock Summary View  '!$AB$2,'XBS '!B:B,' General Stock Summary View  '!C418,'XBS '!L:L,' General Stock Summary View  '!B418)</f>
        <v>0</v>
      </c>
      <c r="AC418" s="3">
        <f>SUMIFS('PowerApp_Physical count'!H:H,'PowerApp_Physical count'!B:B,' General Stock Summary View  '!$AB$2,'PowerApp_Physical count'!C:C,' General Stock Summary View  '!C418,'PowerApp_Physical count'!A:A,' General Stock Summary View  '!B418)</f>
        <v>0</v>
      </c>
      <c r="AD418" s="6">
        <f t="shared" si="65"/>
        <v>0</v>
      </c>
      <c r="AE418" s="7">
        <f t="shared" si="66"/>
        <v>9.3833333333333329</v>
      </c>
      <c r="AF418" s="8">
        <f t="shared" si="67"/>
        <v>0</v>
      </c>
      <c r="AG418" s="112"/>
    </row>
    <row r="419" spans="2:33" s="113" customFormat="1" ht="61.15">
      <c r="B419" s="117" t="s">
        <v>387</v>
      </c>
      <c r="C419" s="111" t="s">
        <v>373</v>
      </c>
      <c r="D419" s="11">
        <f>SUMIFS('XBS '!T:T,'XBS '!C:C,' General Stock Summary View  '!C419,'XBS '!L:L,' General Stock Summary View  '!B419)</f>
        <v>18.899999999999999</v>
      </c>
      <c r="E419" s="2">
        <f>SUMIFS('Blocked for Processing'!P:P,'Blocked for Processing'!I:I,' General Stock Summary View  '!B419,'Blocked for Processing'!C:C,' General Stock Summary View  '!C419)</f>
        <v>0</v>
      </c>
      <c r="F419" s="122">
        <f t="shared" si="56"/>
        <v>18.899999999999999</v>
      </c>
      <c r="G419" s="148">
        <f>SUMIFS('XBS '!T:T,'XBS '!H:H,' General Stock Summary View  '!$G$2,'XBS '!L:L,' General Stock Summary View  '!B419,'XBS '!C:C,' General Stock Summary View  '!C419)</f>
        <v>18.899999999999999</v>
      </c>
      <c r="H419" s="3">
        <f>SUMIFS('PowerApp_Physical count'!H:H,'PowerApp_Physical count'!B:B,' General Stock Summary View  '!$G$2,'PowerApp_Physical count'!C:C,' General Stock Summary View  '!C419,'PowerApp_Physical count'!A:A,' General Stock Summary View  '!B419)</f>
        <v>18.899999999999999</v>
      </c>
      <c r="I419" s="154">
        <f t="shared" si="69"/>
        <v>0</v>
      </c>
      <c r="J419" s="11">
        <f>SUMIFS('XBS '!T:T,'XBS '!H:H,' General Stock Summary View  '!$J$2,'XBS '!L:L,' General Stock Summary View  '!B419,'XBS '!C:C,' General Stock Summary View  '!C419)</f>
        <v>0</v>
      </c>
      <c r="K419" s="157">
        <f>SUMIFS('PowerApp_Physical count'!H:H,'PowerApp_Physical count'!B:B,' General Stock Summary View  '!$J$2,'PowerApp_Physical count'!C:C,' General Stock Summary View  '!C419,'PowerApp_Physical count'!A:A,' General Stock Summary View  '!B419)</f>
        <v>0</v>
      </c>
      <c r="L419" s="127">
        <f t="shared" si="57"/>
        <v>0</v>
      </c>
      <c r="M419" s="126">
        <f t="shared" si="58"/>
        <v>18.899999999999999</v>
      </c>
      <c r="N419" s="11">
        <f t="shared" si="59"/>
        <v>18.899999999999999</v>
      </c>
      <c r="O419" s="144">
        <f t="shared" si="60"/>
        <v>0</v>
      </c>
      <c r="P419" s="2">
        <f>SUMIFS('XBS '!T:T,'XBS '!H:H,' General Stock Summary View  '!$P$2,'XBS '!L:L,' General Stock Summary View  '!B419,'XBS '!C:C,' General Stock Summary View  '!C419)</f>
        <v>0</v>
      </c>
      <c r="Q419" s="3">
        <f>SUMIFS('PowerApp_Physical count'!H:H,'PowerApp_Physical count'!B:B,' General Stock Summary View  '!$P$2,'PowerApp_Physical count'!C:C,' General Stock Summary View  '!C419,'PowerApp_Physical count'!A:A,' General Stock Summary View  '!B419)</f>
        <v>0</v>
      </c>
      <c r="R419" s="4">
        <f t="shared" si="61"/>
        <v>0</v>
      </c>
      <c r="S419" s="5">
        <f>SUMIFS('XBS '!T:T,'XBS '!L:L,' General Stock Summary View  '!B419,'XBS '!H:H,' General Stock Summary View  '!$S$2,'XBS '!C:C,' General Stock Summary View  '!C419)</f>
        <v>0</v>
      </c>
      <c r="T419" s="3">
        <f>SUMIFS('PowerApp_Physical count'!H:H,'PowerApp_Physical count'!B:B,' General Stock Summary View  '!$S$2,'PowerApp_Physical count'!C:C,' General Stock Summary View  '!C419,'PowerApp_Physical count'!A:A,' General Stock Summary View  '!B419)</f>
        <v>0</v>
      </c>
      <c r="U419" s="4">
        <f t="shared" si="62"/>
        <v>0</v>
      </c>
      <c r="V419" s="2">
        <f>SUMIFS('XBS '!T:T,'XBS '!H:H,' General Stock Summary View  '!$V$2,'XBS '!B:B,' General Stock Summary View  '!C419,'XBS '!L:L,' General Stock Summary View  '!B419)</f>
        <v>0</v>
      </c>
      <c r="W419" s="3">
        <f>SUMIFS('PowerApp_Physical count'!H:H,'PowerApp_Physical count'!B:B,' General Stock Summary View  '!$V$2,'PowerApp_Physical count'!C:C,' General Stock Summary View  '!C419,'PowerApp_Physical count'!A:A,' General Stock Summary View  '!B419)</f>
        <v>0</v>
      </c>
      <c r="X419" s="4">
        <f t="shared" si="63"/>
        <v>0</v>
      </c>
      <c r="Y419" s="5">
        <f>SUMIFS('XBS '!T:T,'XBS '!H:H,' General Stock Summary View  '!$Y$2,'XBS '!B:B,' General Stock Summary View  '!C419,'XBS '!L:L,' General Stock Summary View  '!B419)</f>
        <v>0</v>
      </c>
      <c r="Z419" s="3">
        <f>SUMIFS('PowerApp_Physical count'!H:H,'PowerApp_Physical count'!B:B,' General Stock Summary View  '!$Y$2,'PowerApp_Physical count'!C:C,' General Stock Summary View  '!C419,'PowerApp_Physical count'!A:A,' General Stock Summary View  '!B419)</f>
        <v>0</v>
      </c>
      <c r="AA419" s="4">
        <f t="shared" si="64"/>
        <v>0</v>
      </c>
      <c r="AB419" s="5">
        <f>SUMIFS('XBS '!T:T,'XBS '!H:H,' General Stock Summary View  '!$AB$2,'XBS '!B:B,' General Stock Summary View  '!C419,'XBS '!L:L,' General Stock Summary View  '!B419)</f>
        <v>0</v>
      </c>
      <c r="AC419" s="3">
        <f>SUMIFS('PowerApp_Physical count'!H:H,'PowerApp_Physical count'!B:B,' General Stock Summary View  '!$AB$2,'PowerApp_Physical count'!C:C,' General Stock Summary View  '!C419,'PowerApp_Physical count'!A:A,' General Stock Summary View  '!B419)</f>
        <v>0</v>
      </c>
      <c r="AD419" s="6">
        <f t="shared" si="65"/>
        <v>0</v>
      </c>
      <c r="AE419" s="7">
        <f t="shared" si="66"/>
        <v>18.899999999999999</v>
      </c>
      <c r="AF419" s="8">
        <f t="shared" si="67"/>
        <v>0</v>
      </c>
      <c r="AG419" s="112"/>
    </row>
    <row r="420" spans="2:33" s="113" customFormat="1" ht="61.15">
      <c r="B420" s="117" t="s">
        <v>388</v>
      </c>
      <c r="C420" s="111" t="s">
        <v>373</v>
      </c>
      <c r="D420" s="11">
        <f>SUMIFS('XBS '!T:T,'XBS '!C:C,' General Stock Summary View  '!C420,'XBS '!L:L,' General Stock Summary View  '!B420)</f>
        <v>1.5166666666666666</v>
      </c>
      <c r="E420" s="2">
        <f>SUMIFS('Blocked for Processing'!P:P,'Blocked for Processing'!I:I,' General Stock Summary View  '!B420,'Blocked for Processing'!C:C,' General Stock Summary View  '!C420)</f>
        <v>0</v>
      </c>
      <c r="F420" s="122">
        <f t="shared" si="56"/>
        <v>1.5166666666666666</v>
      </c>
      <c r="G420" s="148">
        <f>SUMIFS('XBS '!T:T,'XBS '!H:H,' General Stock Summary View  '!$G$2,'XBS '!L:L,' General Stock Summary View  '!B420,'XBS '!C:C,' General Stock Summary View  '!C420)</f>
        <v>1.5166666666666666</v>
      </c>
      <c r="H420" s="3">
        <f>SUMIFS('PowerApp_Physical count'!H:H,'PowerApp_Physical count'!B:B,' General Stock Summary View  '!$G$2,'PowerApp_Physical count'!C:C,' General Stock Summary View  '!C420,'PowerApp_Physical count'!A:A,' General Stock Summary View  '!B420)</f>
        <v>1.5166666666666666</v>
      </c>
      <c r="I420" s="154">
        <f t="shared" si="69"/>
        <v>0</v>
      </c>
      <c r="J420" s="11">
        <f>SUMIFS('XBS '!T:T,'XBS '!H:H,' General Stock Summary View  '!$J$2,'XBS '!L:L,' General Stock Summary View  '!B420,'XBS '!C:C,' General Stock Summary View  '!C420)</f>
        <v>0</v>
      </c>
      <c r="K420" s="157">
        <f>SUMIFS('PowerApp_Physical count'!H:H,'PowerApp_Physical count'!B:B,' General Stock Summary View  '!$J$2,'PowerApp_Physical count'!C:C,' General Stock Summary View  '!C420,'PowerApp_Physical count'!A:A,' General Stock Summary View  '!B420)</f>
        <v>0</v>
      </c>
      <c r="L420" s="127">
        <f t="shared" si="57"/>
        <v>0</v>
      </c>
      <c r="M420" s="126">
        <f t="shared" si="58"/>
        <v>1.5166666666666666</v>
      </c>
      <c r="N420" s="11">
        <f t="shared" si="59"/>
        <v>1.5166666666666666</v>
      </c>
      <c r="O420" s="144">
        <f t="shared" si="60"/>
        <v>0</v>
      </c>
      <c r="P420" s="2">
        <f>SUMIFS('XBS '!T:T,'XBS '!H:H,' General Stock Summary View  '!$P$2,'XBS '!L:L,' General Stock Summary View  '!B420,'XBS '!C:C,' General Stock Summary View  '!C420)</f>
        <v>0</v>
      </c>
      <c r="Q420" s="3">
        <f>SUMIFS('PowerApp_Physical count'!H:H,'PowerApp_Physical count'!B:B,' General Stock Summary View  '!$P$2,'PowerApp_Physical count'!C:C,' General Stock Summary View  '!C420,'PowerApp_Physical count'!A:A,' General Stock Summary View  '!B420)</f>
        <v>0</v>
      </c>
      <c r="R420" s="4">
        <f t="shared" si="61"/>
        <v>0</v>
      </c>
      <c r="S420" s="5">
        <f>SUMIFS('XBS '!T:T,'XBS '!L:L,' General Stock Summary View  '!B420,'XBS '!H:H,' General Stock Summary View  '!$S$2,'XBS '!C:C,' General Stock Summary View  '!C420)</f>
        <v>0</v>
      </c>
      <c r="T420" s="3">
        <f>SUMIFS('PowerApp_Physical count'!H:H,'PowerApp_Physical count'!B:B,' General Stock Summary View  '!$S$2,'PowerApp_Physical count'!C:C,' General Stock Summary View  '!C420,'PowerApp_Physical count'!A:A,' General Stock Summary View  '!B420)</f>
        <v>0</v>
      </c>
      <c r="U420" s="4">
        <f t="shared" si="62"/>
        <v>0</v>
      </c>
      <c r="V420" s="2">
        <f>SUMIFS('XBS '!T:T,'XBS '!H:H,' General Stock Summary View  '!$V$2,'XBS '!B:B,' General Stock Summary View  '!C420,'XBS '!L:L,' General Stock Summary View  '!B420)</f>
        <v>0</v>
      </c>
      <c r="W420" s="3">
        <f>SUMIFS('PowerApp_Physical count'!H:H,'PowerApp_Physical count'!B:B,' General Stock Summary View  '!$V$2,'PowerApp_Physical count'!C:C,' General Stock Summary View  '!C420,'PowerApp_Physical count'!A:A,' General Stock Summary View  '!B420)</f>
        <v>0</v>
      </c>
      <c r="X420" s="4">
        <f t="shared" si="63"/>
        <v>0</v>
      </c>
      <c r="Y420" s="5">
        <f>SUMIFS('XBS '!T:T,'XBS '!H:H,' General Stock Summary View  '!$Y$2,'XBS '!B:B,' General Stock Summary View  '!C420,'XBS '!L:L,' General Stock Summary View  '!B420)</f>
        <v>0</v>
      </c>
      <c r="Z420" s="3">
        <f>SUMIFS('PowerApp_Physical count'!H:H,'PowerApp_Physical count'!B:B,' General Stock Summary View  '!$Y$2,'PowerApp_Physical count'!C:C,' General Stock Summary View  '!C420,'PowerApp_Physical count'!A:A,' General Stock Summary View  '!B420)</f>
        <v>0</v>
      </c>
      <c r="AA420" s="4">
        <f t="shared" si="64"/>
        <v>0</v>
      </c>
      <c r="AB420" s="5">
        <f>SUMIFS('XBS '!T:T,'XBS '!H:H,' General Stock Summary View  '!$AB$2,'XBS '!B:B,' General Stock Summary View  '!C420,'XBS '!L:L,' General Stock Summary View  '!B420)</f>
        <v>0</v>
      </c>
      <c r="AC420" s="3">
        <f>SUMIFS('PowerApp_Physical count'!H:H,'PowerApp_Physical count'!B:B,' General Stock Summary View  '!$AB$2,'PowerApp_Physical count'!C:C,' General Stock Summary View  '!C420,'PowerApp_Physical count'!A:A,' General Stock Summary View  '!B420)</f>
        <v>0</v>
      </c>
      <c r="AD420" s="6">
        <f t="shared" si="65"/>
        <v>0</v>
      </c>
      <c r="AE420" s="7">
        <f t="shared" si="66"/>
        <v>1.5166666666666666</v>
      </c>
      <c r="AF420" s="8">
        <f t="shared" si="67"/>
        <v>0</v>
      </c>
      <c r="AG420" s="112"/>
    </row>
    <row r="421" spans="2:33" s="113" customFormat="1" ht="61.15">
      <c r="B421" s="117" t="s">
        <v>389</v>
      </c>
      <c r="C421" s="111" t="s">
        <v>373</v>
      </c>
      <c r="D421" s="11">
        <f>SUMIFS('XBS '!T:T,'XBS '!C:C,' General Stock Summary View  '!C421,'XBS '!L:L,' General Stock Summary View  '!B421)</f>
        <v>2.5666666666666669</v>
      </c>
      <c r="E421" s="2">
        <f>SUMIFS('Blocked for Processing'!P:P,'Blocked for Processing'!I:I,' General Stock Summary View  '!B421,'Blocked for Processing'!C:C,' General Stock Summary View  '!C421)</f>
        <v>0</v>
      </c>
      <c r="F421" s="122">
        <f t="shared" si="56"/>
        <v>2.5666666666666669</v>
      </c>
      <c r="G421" s="148">
        <f>SUMIFS('XBS '!T:T,'XBS '!H:H,' General Stock Summary View  '!$G$2,'XBS '!L:L,' General Stock Summary View  '!B421,'XBS '!C:C,' General Stock Summary View  '!C421)</f>
        <v>2.5666666666666669</v>
      </c>
      <c r="H421" s="3">
        <f>SUMIFS('PowerApp_Physical count'!H:H,'PowerApp_Physical count'!B:B,' General Stock Summary View  '!$G$2,'PowerApp_Physical count'!C:C,' General Stock Summary View  '!C421,'PowerApp_Physical count'!A:A,' General Stock Summary View  '!B421)</f>
        <v>2.5666666666666669</v>
      </c>
      <c r="I421" s="154">
        <f t="shared" si="69"/>
        <v>0</v>
      </c>
      <c r="J421" s="11">
        <f>SUMIFS('XBS '!T:T,'XBS '!H:H,' General Stock Summary View  '!$J$2,'XBS '!L:L,' General Stock Summary View  '!B421,'XBS '!C:C,' General Stock Summary View  '!C421)</f>
        <v>0</v>
      </c>
      <c r="K421" s="157">
        <f>SUMIFS('PowerApp_Physical count'!H:H,'PowerApp_Physical count'!B:B,' General Stock Summary View  '!$J$2,'PowerApp_Physical count'!C:C,' General Stock Summary View  '!C421,'PowerApp_Physical count'!A:A,' General Stock Summary View  '!B421)</f>
        <v>0</v>
      </c>
      <c r="L421" s="127">
        <f t="shared" si="57"/>
        <v>0</v>
      </c>
      <c r="M421" s="126">
        <f t="shared" si="58"/>
        <v>2.5666666666666669</v>
      </c>
      <c r="N421" s="11">
        <f t="shared" si="59"/>
        <v>2.5666666666666669</v>
      </c>
      <c r="O421" s="144">
        <f t="shared" si="60"/>
        <v>0</v>
      </c>
      <c r="P421" s="2">
        <f>SUMIFS('XBS '!T:T,'XBS '!H:H,' General Stock Summary View  '!$P$2,'XBS '!L:L,' General Stock Summary View  '!B421,'XBS '!C:C,' General Stock Summary View  '!C421)</f>
        <v>0</v>
      </c>
      <c r="Q421" s="3">
        <f>SUMIFS('PowerApp_Physical count'!H:H,'PowerApp_Physical count'!B:B,' General Stock Summary View  '!$P$2,'PowerApp_Physical count'!C:C,' General Stock Summary View  '!C421,'PowerApp_Physical count'!A:A,' General Stock Summary View  '!B421)</f>
        <v>0</v>
      </c>
      <c r="R421" s="4">
        <f t="shared" si="61"/>
        <v>0</v>
      </c>
      <c r="S421" s="5">
        <f>SUMIFS('XBS '!T:T,'XBS '!L:L,' General Stock Summary View  '!B421,'XBS '!H:H,' General Stock Summary View  '!$S$2,'XBS '!C:C,' General Stock Summary View  '!C421)</f>
        <v>0</v>
      </c>
      <c r="T421" s="3">
        <f>SUMIFS('PowerApp_Physical count'!H:H,'PowerApp_Physical count'!B:B,' General Stock Summary View  '!$S$2,'PowerApp_Physical count'!C:C,' General Stock Summary View  '!C421,'PowerApp_Physical count'!A:A,' General Stock Summary View  '!B421)</f>
        <v>0</v>
      </c>
      <c r="U421" s="4">
        <f t="shared" si="62"/>
        <v>0</v>
      </c>
      <c r="V421" s="2">
        <f>SUMIFS('XBS '!T:T,'XBS '!H:H,' General Stock Summary View  '!$V$2,'XBS '!B:B,' General Stock Summary View  '!C421,'XBS '!L:L,' General Stock Summary View  '!B421)</f>
        <v>0</v>
      </c>
      <c r="W421" s="3">
        <f>SUMIFS('PowerApp_Physical count'!H:H,'PowerApp_Physical count'!B:B,' General Stock Summary View  '!$V$2,'PowerApp_Physical count'!C:C,' General Stock Summary View  '!C421,'PowerApp_Physical count'!A:A,' General Stock Summary View  '!B421)</f>
        <v>0</v>
      </c>
      <c r="X421" s="4">
        <f t="shared" si="63"/>
        <v>0</v>
      </c>
      <c r="Y421" s="5">
        <f>SUMIFS('XBS '!T:T,'XBS '!H:H,' General Stock Summary View  '!$Y$2,'XBS '!B:B,' General Stock Summary View  '!C421,'XBS '!L:L,' General Stock Summary View  '!B421)</f>
        <v>0</v>
      </c>
      <c r="Z421" s="3">
        <f>SUMIFS('PowerApp_Physical count'!H:H,'PowerApp_Physical count'!B:B,' General Stock Summary View  '!$Y$2,'PowerApp_Physical count'!C:C,' General Stock Summary View  '!C421,'PowerApp_Physical count'!A:A,' General Stock Summary View  '!B421)</f>
        <v>0</v>
      </c>
      <c r="AA421" s="4">
        <f t="shared" si="64"/>
        <v>0</v>
      </c>
      <c r="AB421" s="5">
        <f>SUMIFS('XBS '!T:T,'XBS '!H:H,' General Stock Summary View  '!$AB$2,'XBS '!B:B,' General Stock Summary View  '!C421,'XBS '!L:L,' General Stock Summary View  '!B421)</f>
        <v>0</v>
      </c>
      <c r="AC421" s="3">
        <f>SUMIFS('PowerApp_Physical count'!H:H,'PowerApp_Physical count'!B:B,' General Stock Summary View  '!$AB$2,'PowerApp_Physical count'!C:C,' General Stock Summary View  '!C421,'PowerApp_Physical count'!A:A,' General Stock Summary View  '!B421)</f>
        <v>0</v>
      </c>
      <c r="AD421" s="6">
        <f t="shared" si="65"/>
        <v>0</v>
      </c>
      <c r="AE421" s="7">
        <f t="shared" si="66"/>
        <v>2.5666666666666669</v>
      </c>
      <c r="AF421" s="8">
        <f t="shared" si="67"/>
        <v>0</v>
      </c>
      <c r="AG421" s="112"/>
    </row>
    <row r="422" spans="2:33" s="113" customFormat="1" ht="61.15">
      <c r="B422" s="117" t="s">
        <v>280</v>
      </c>
      <c r="C422" s="111" t="s">
        <v>373</v>
      </c>
      <c r="D422" s="11">
        <f>SUMIFS('XBS '!T:T,'XBS '!C:C,' General Stock Summary View  '!C422,'XBS '!L:L,' General Stock Summary View  '!B422)</f>
        <v>2.2666666666666666</v>
      </c>
      <c r="E422" s="2">
        <f>SUMIFS('Blocked for Processing'!P:P,'Blocked for Processing'!I:I,' General Stock Summary View  '!B422,'Blocked for Processing'!C:C,' General Stock Summary View  '!C422)</f>
        <v>0</v>
      </c>
      <c r="F422" s="122">
        <f t="shared" si="56"/>
        <v>2.2666666666666666</v>
      </c>
      <c r="G422" s="148">
        <f>SUMIFS('XBS '!T:T,'XBS '!H:H,' General Stock Summary View  '!$G$2,'XBS '!L:L,' General Stock Summary View  '!B422,'XBS '!C:C,' General Stock Summary View  '!C422)</f>
        <v>2.2666666666666666</v>
      </c>
      <c r="H422" s="3">
        <f>SUMIFS('PowerApp_Physical count'!H:H,'PowerApp_Physical count'!B:B,' General Stock Summary View  '!$G$2,'PowerApp_Physical count'!C:C,' General Stock Summary View  '!C422,'PowerApp_Physical count'!A:A,' General Stock Summary View  '!B422)</f>
        <v>2.2666666666666666</v>
      </c>
      <c r="I422" s="154">
        <f t="shared" si="69"/>
        <v>0</v>
      </c>
      <c r="J422" s="11">
        <f>SUMIFS('XBS '!T:T,'XBS '!H:H,' General Stock Summary View  '!$J$2,'XBS '!L:L,' General Stock Summary View  '!B422,'XBS '!C:C,' General Stock Summary View  '!C422)</f>
        <v>0</v>
      </c>
      <c r="K422" s="157">
        <f>SUMIFS('PowerApp_Physical count'!H:H,'PowerApp_Physical count'!B:B,' General Stock Summary View  '!$J$2,'PowerApp_Physical count'!C:C,' General Stock Summary View  '!C422,'PowerApp_Physical count'!A:A,' General Stock Summary View  '!B422)</f>
        <v>0</v>
      </c>
      <c r="L422" s="127">
        <f t="shared" si="57"/>
        <v>0</v>
      </c>
      <c r="M422" s="126">
        <f t="shared" si="58"/>
        <v>2.2666666666666666</v>
      </c>
      <c r="N422" s="11">
        <f t="shared" si="59"/>
        <v>2.2666666666666666</v>
      </c>
      <c r="O422" s="144">
        <f t="shared" si="60"/>
        <v>0</v>
      </c>
      <c r="P422" s="2">
        <f>SUMIFS('XBS '!T:T,'XBS '!H:H,' General Stock Summary View  '!$P$2,'XBS '!L:L,' General Stock Summary View  '!B422,'XBS '!C:C,' General Stock Summary View  '!C422)</f>
        <v>0</v>
      </c>
      <c r="Q422" s="3">
        <f>SUMIFS('PowerApp_Physical count'!H:H,'PowerApp_Physical count'!B:B,' General Stock Summary View  '!$P$2,'PowerApp_Physical count'!C:C,' General Stock Summary View  '!C422,'PowerApp_Physical count'!A:A,' General Stock Summary View  '!B422)</f>
        <v>0</v>
      </c>
      <c r="R422" s="4">
        <f t="shared" si="61"/>
        <v>0</v>
      </c>
      <c r="S422" s="5">
        <f>SUMIFS('XBS '!T:T,'XBS '!L:L,' General Stock Summary View  '!B422,'XBS '!H:H,' General Stock Summary View  '!$S$2,'XBS '!C:C,' General Stock Summary View  '!C422)</f>
        <v>0</v>
      </c>
      <c r="T422" s="3">
        <f>SUMIFS('PowerApp_Physical count'!H:H,'PowerApp_Physical count'!B:B,' General Stock Summary View  '!$S$2,'PowerApp_Physical count'!C:C,' General Stock Summary View  '!C422,'PowerApp_Physical count'!A:A,' General Stock Summary View  '!B422)</f>
        <v>0</v>
      </c>
      <c r="U422" s="4">
        <f t="shared" si="62"/>
        <v>0</v>
      </c>
      <c r="V422" s="2">
        <f>SUMIFS('XBS '!T:T,'XBS '!H:H,' General Stock Summary View  '!$V$2,'XBS '!B:B,' General Stock Summary View  '!C422,'XBS '!L:L,' General Stock Summary View  '!B422)</f>
        <v>0</v>
      </c>
      <c r="W422" s="3">
        <f>SUMIFS('PowerApp_Physical count'!H:H,'PowerApp_Physical count'!B:B,' General Stock Summary View  '!$V$2,'PowerApp_Physical count'!C:C,' General Stock Summary View  '!C422,'PowerApp_Physical count'!A:A,' General Stock Summary View  '!B422)</f>
        <v>0</v>
      </c>
      <c r="X422" s="4">
        <f t="shared" si="63"/>
        <v>0</v>
      </c>
      <c r="Y422" s="5">
        <f>SUMIFS('XBS '!T:T,'XBS '!H:H,' General Stock Summary View  '!$Y$2,'XBS '!B:B,' General Stock Summary View  '!C422,'XBS '!L:L,' General Stock Summary View  '!B422)</f>
        <v>0</v>
      </c>
      <c r="Z422" s="3">
        <f>SUMIFS('PowerApp_Physical count'!H:H,'PowerApp_Physical count'!B:B,' General Stock Summary View  '!$Y$2,'PowerApp_Physical count'!C:C,' General Stock Summary View  '!C422,'PowerApp_Physical count'!A:A,' General Stock Summary View  '!B422)</f>
        <v>0</v>
      </c>
      <c r="AA422" s="4">
        <f t="shared" si="64"/>
        <v>0</v>
      </c>
      <c r="AB422" s="5">
        <f>SUMIFS('XBS '!T:T,'XBS '!H:H,' General Stock Summary View  '!$AB$2,'XBS '!B:B,' General Stock Summary View  '!C422,'XBS '!L:L,' General Stock Summary View  '!B422)</f>
        <v>0</v>
      </c>
      <c r="AC422" s="3">
        <f>SUMIFS('PowerApp_Physical count'!H:H,'PowerApp_Physical count'!B:B,' General Stock Summary View  '!$AB$2,'PowerApp_Physical count'!C:C,' General Stock Summary View  '!C422,'PowerApp_Physical count'!A:A,' General Stock Summary View  '!B422)</f>
        <v>0</v>
      </c>
      <c r="AD422" s="6">
        <f t="shared" si="65"/>
        <v>0</v>
      </c>
      <c r="AE422" s="7">
        <f t="shared" si="66"/>
        <v>2.2666666666666666</v>
      </c>
      <c r="AF422" s="8">
        <f t="shared" si="67"/>
        <v>0</v>
      </c>
      <c r="AG422" s="112"/>
    </row>
    <row r="423" spans="2:33" s="113" customFormat="1" ht="61.15">
      <c r="B423" s="117" t="s">
        <v>390</v>
      </c>
      <c r="C423" s="111" t="s">
        <v>373</v>
      </c>
      <c r="D423" s="11">
        <f>SUMIFS('XBS '!T:T,'XBS '!C:C,' General Stock Summary View  '!C423,'XBS '!L:L,' General Stock Summary View  '!B423)</f>
        <v>39.233333333333334</v>
      </c>
      <c r="E423" s="2">
        <f>SUMIFS('Blocked for Processing'!P:P,'Blocked for Processing'!I:I,' General Stock Summary View  '!B423,'Blocked for Processing'!C:C,' General Stock Summary View  '!C423)</f>
        <v>0</v>
      </c>
      <c r="F423" s="122">
        <f t="shared" si="56"/>
        <v>39.233333333333334</v>
      </c>
      <c r="G423" s="148">
        <f>SUMIFS('XBS '!T:T,'XBS '!H:H,' General Stock Summary View  '!$G$2,'XBS '!L:L,' General Stock Summary View  '!B423,'XBS '!C:C,' General Stock Summary View  '!C423)</f>
        <v>39.233333333333334</v>
      </c>
      <c r="H423" s="3">
        <f>SUMIFS('PowerApp_Physical count'!H:H,'PowerApp_Physical count'!B:B,' General Stock Summary View  '!$G$2,'PowerApp_Physical count'!C:C,' General Stock Summary View  '!C423,'PowerApp_Physical count'!A:A,' General Stock Summary View  '!B423)</f>
        <v>39.233333333333334</v>
      </c>
      <c r="I423" s="154">
        <f t="shared" si="69"/>
        <v>0</v>
      </c>
      <c r="J423" s="11">
        <f>SUMIFS('XBS '!T:T,'XBS '!H:H,' General Stock Summary View  '!$J$2,'XBS '!L:L,' General Stock Summary View  '!B423,'XBS '!C:C,' General Stock Summary View  '!C423)</f>
        <v>0</v>
      </c>
      <c r="K423" s="157">
        <f>SUMIFS('PowerApp_Physical count'!H:H,'PowerApp_Physical count'!B:B,' General Stock Summary View  '!$J$2,'PowerApp_Physical count'!C:C,' General Stock Summary View  '!C423,'PowerApp_Physical count'!A:A,' General Stock Summary View  '!B423)</f>
        <v>0</v>
      </c>
      <c r="L423" s="127">
        <f t="shared" si="57"/>
        <v>0</v>
      </c>
      <c r="M423" s="126">
        <f t="shared" si="58"/>
        <v>39.233333333333334</v>
      </c>
      <c r="N423" s="11">
        <f t="shared" si="59"/>
        <v>39.233333333333334</v>
      </c>
      <c r="O423" s="144">
        <f t="shared" si="60"/>
        <v>0</v>
      </c>
      <c r="P423" s="2">
        <f>SUMIFS('XBS '!T:T,'XBS '!H:H,' General Stock Summary View  '!$P$2,'XBS '!L:L,' General Stock Summary View  '!B423,'XBS '!C:C,' General Stock Summary View  '!C423)</f>
        <v>0</v>
      </c>
      <c r="Q423" s="3">
        <f>SUMIFS('PowerApp_Physical count'!H:H,'PowerApp_Physical count'!B:B,' General Stock Summary View  '!$P$2,'PowerApp_Physical count'!C:C,' General Stock Summary View  '!C423,'PowerApp_Physical count'!A:A,' General Stock Summary View  '!B423)</f>
        <v>0</v>
      </c>
      <c r="R423" s="4">
        <f t="shared" si="61"/>
        <v>0</v>
      </c>
      <c r="S423" s="5">
        <f>SUMIFS('XBS '!T:T,'XBS '!L:L,' General Stock Summary View  '!B423,'XBS '!H:H,' General Stock Summary View  '!$S$2,'XBS '!C:C,' General Stock Summary View  '!C423)</f>
        <v>0</v>
      </c>
      <c r="T423" s="3">
        <f>SUMIFS('PowerApp_Physical count'!H:H,'PowerApp_Physical count'!B:B,' General Stock Summary View  '!$S$2,'PowerApp_Physical count'!C:C,' General Stock Summary View  '!C423,'PowerApp_Physical count'!A:A,' General Stock Summary View  '!B423)</f>
        <v>0</v>
      </c>
      <c r="U423" s="4">
        <f t="shared" si="62"/>
        <v>0</v>
      </c>
      <c r="V423" s="2">
        <f>SUMIFS('XBS '!T:T,'XBS '!H:H,' General Stock Summary View  '!$V$2,'XBS '!B:B,' General Stock Summary View  '!C423,'XBS '!L:L,' General Stock Summary View  '!B423)</f>
        <v>0</v>
      </c>
      <c r="W423" s="3">
        <f>SUMIFS('PowerApp_Physical count'!H:H,'PowerApp_Physical count'!B:B,' General Stock Summary View  '!$V$2,'PowerApp_Physical count'!C:C,' General Stock Summary View  '!C423,'PowerApp_Physical count'!A:A,' General Stock Summary View  '!B423)</f>
        <v>0</v>
      </c>
      <c r="X423" s="4">
        <f t="shared" si="63"/>
        <v>0</v>
      </c>
      <c r="Y423" s="5">
        <f>SUMIFS('XBS '!T:T,'XBS '!H:H,' General Stock Summary View  '!$Y$2,'XBS '!B:B,' General Stock Summary View  '!C423,'XBS '!L:L,' General Stock Summary View  '!B423)</f>
        <v>0</v>
      </c>
      <c r="Z423" s="3">
        <f>SUMIFS('PowerApp_Physical count'!H:H,'PowerApp_Physical count'!B:B,' General Stock Summary View  '!$Y$2,'PowerApp_Physical count'!C:C,' General Stock Summary View  '!C423,'PowerApp_Physical count'!A:A,' General Stock Summary View  '!B423)</f>
        <v>0</v>
      </c>
      <c r="AA423" s="4">
        <f t="shared" si="64"/>
        <v>0</v>
      </c>
      <c r="AB423" s="5">
        <f>SUMIFS('XBS '!T:T,'XBS '!H:H,' General Stock Summary View  '!$AB$2,'XBS '!B:B,' General Stock Summary View  '!C423,'XBS '!L:L,' General Stock Summary View  '!B423)</f>
        <v>0</v>
      </c>
      <c r="AC423" s="3">
        <f>SUMIFS('PowerApp_Physical count'!H:H,'PowerApp_Physical count'!B:B,' General Stock Summary View  '!$AB$2,'PowerApp_Physical count'!C:C,' General Stock Summary View  '!C423,'PowerApp_Physical count'!A:A,' General Stock Summary View  '!B423)</f>
        <v>0</v>
      </c>
      <c r="AD423" s="6">
        <f t="shared" si="65"/>
        <v>0</v>
      </c>
      <c r="AE423" s="7">
        <f t="shared" si="66"/>
        <v>39.233333333333334</v>
      </c>
      <c r="AF423" s="8">
        <f t="shared" si="67"/>
        <v>0</v>
      </c>
      <c r="AG423" s="112"/>
    </row>
    <row r="424" spans="2:33" s="113" customFormat="1" ht="61.15">
      <c r="B424" s="117" t="s">
        <v>292</v>
      </c>
      <c r="C424" s="111" t="s">
        <v>373</v>
      </c>
      <c r="D424" s="11">
        <f>SUMIFS('XBS '!T:T,'XBS '!C:C,' General Stock Summary View  '!C424,'XBS '!L:L,' General Stock Summary View  '!B424)</f>
        <v>48.45</v>
      </c>
      <c r="E424" s="2">
        <f>SUMIFS('Blocked for Processing'!P:P,'Blocked for Processing'!I:I,' General Stock Summary View  '!B424,'Blocked for Processing'!C:C,' General Stock Summary View  '!C424)</f>
        <v>0</v>
      </c>
      <c r="F424" s="122">
        <f t="shared" si="56"/>
        <v>48.45</v>
      </c>
      <c r="G424" s="148">
        <f>SUMIFS('XBS '!T:T,'XBS '!H:H,' General Stock Summary View  '!$G$2,'XBS '!L:L,' General Stock Summary View  '!B424,'XBS '!C:C,' General Stock Summary View  '!C424)</f>
        <v>48.45</v>
      </c>
      <c r="H424" s="3">
        <f>SUMIFS('PowerApp_Physical count'!H:H,'PowerApp_Physical count'!B:B,' General Stock Summary View  '!$G$2,'PowerApp_Physical count'!C:C,' General Stock Summary View  '!C424,'PowerApp_Physical count'!A:A,' General Stock Summary View  '!B424)</f>
        <v>48.45</v>
      </c>
      <c r="I424" s="154">
        <f t="shared" si="69"/>
        <v>0</v>
      </c>
      <c r="J424" s="11">
        <f>SUMIFS('XBS '!T:T,'XBS '!H:H,' General Stock Summary View  '!$J$2,'XBS '!L:L,' General Stock Summary View  '!B424,'XBS '!C:C,' General Stock Summary View  '!C424)</f>
        <v>0</v>
      </c>
      <c r="K424" s="157">
        <f>SUMIFS('PowerApp_Physical count'!H:H,'PowerApp_Physical count'!B:B,' General Stock Summary View  '!$J$2,'PowerApp_Physical count'!C:C,' General Stock Summary View  '!C424,'PowerApp_Physical count'!A:A,' General Stock Summary View  '!B424)</f>
        <v>0</v>
      </c>
      <c r="L424" s="127">
        <f t="shared" si="57"/>
        <v>0</v>
      </c>
      <c r="M424" s="126">
        <f t="shared" si="58"/>
        <v>48.45</v>
      </c>
      <c r="N424" s="11">
        <f t="shared" si="59"/>
        <v>48.45</v>
      </c>
      <c r="O424" s="144">
        <f t="shared" si="60"/>
        <v>0</v>
      </c>
      <c r="P424" s="2">
        <f>SUMIFS('XBS '!T:T,'XBS '!H:H,' General Stock Summary View  '!$P$2,'XBS '!L:L,' General Stock Summary View  '!B424,'XBS '!C:C,' General Stock Summary View  '!C424)</f>
        <v>0</v>
      </c>
      <c r="Q424" s="3">
        <f>SUMIFS('PowerApp_Physical count'!H:H,'PowerApp_Physical count'!B:B,' General Stock Summary View  '!$P$2,'PowerApp_Physical count'!C:C,' General Stock Summary View  '!C424,'PowerApp_Physical count'!A:A,' General Stock Summary View  '!B424)</f>
        <v>0</v>
      </c>
      <c r="R424" s="4">
        <f t="shared" si="61"/>
        <v>0</v>
      </c>
      <c r="S424" s="5">
        <f>SUMIFS('XBS '!T:T,'XBS '!L:L,' General Stock Summary View  '!B424,'XBS '!H:H,' General Stock Summary View  '!$S$2,'XBS '!C:C,' General Stock Summary View  '!C424)</f>
        <v>0</v>
      </c>
      <c r="T424" s="3">
        <f>SUMIFS('PowerApp_Physical count'!H:H,'PowerApp_Physical count'!B:B,' General Stock Summary View  '!$S$2,'PowerApp_Physical count'!C:C,' General Stock Summary View  '!C424,'PowerApp_Physical count'!A:A,' General Stock Summary View  '!B424)</f>
        <v>0</v>
      </c>
      <c r="U424" s="4">
        <f t="shared" si="62"/>
        <v>0</v>
      </c>
      <c r="V424" s="2">
        <f>SUMIFS('XBS '!T:T,'XBS '!H:H,' General Stock Summary View  '!$V$2,'XBS '!B:B,' General Stock Summary View  '!C424,'XBS '!L:L,' General Stock Summary View  '!B424)</f>
        <v>0</v>
      </c>
      <c r="W424" s="3">
        <f>SUMIFS('PowerApp_Physical count'!H:H,'PowerApp_Physical count'!B:B,' General Stock Summary View  '!$V$2,'PowerApp_Physical count'!C:C,' General Stock Summary View  '!C424,'PowerApp_Physical count'!A:A,' General Stock Summary View  '!B424)</f>
        <v>0</v>
      </c>
      <c r="X424" s="4">
        <f t="shared" si="63"/>
        <v>0</v>
      </c>
      <c r="Y424" s="5">
        <f>SUMIFS('XBS '!T:T,'XBS '!H:H,' General Stock Summary View  '!$Y$2,'XBS '!B:B,' General Stock Summary View  '!C424,'XBS '!L:L,' General Stock Summary View  '!B424)</f>
        <v>0</v>
      </c>
      <c r="Z424" s="3">
        <f>SUMIFS('PowerApp_Physical count'!H:H,'PowerApp_Physical count'!B:B,' General Stock Summary View  '!$Y$2,'PowerApp_Physical count'!C:C,' General Stock Summary View  '!C424,'PowerApp_Physical count'!A:A,' General Stock Summary View  '!B424)</f>
        <v>0</v>
      </c>
      <c r="AA424" s="4">
        <f t="shared" si="64"/>
        <v>0</v>
      </c>
      <c r="AB424" s="5">
        <f>SUMIFS('XBS '!T:T,'XBS '!H:H,' General Stock Summary View  '!$AB$2,'XBS '!B:B,' General Stock Summary View  '!C424,'XBS '!L:L,' General Stock Summary View  '!B424)</f>
        <v>0</v>
      </c>
      <c r="AC424" s="3">
        <f>SUMIFS('PowerApp_Physical count'!H:H,'PowerApp_Physical count'!B:B,' General Stock Summary View  '!$AB$2,'PowerApp_Physical count'!C:C,' General Stock Summary View  '!C424,'PowerApp_Physical count'!A:A,' General Stock Summary View  '!B424)</f>
        <v>0</v>
      </c>
      <c r="AD424" s="6">
        <f t="shared" si="65"/>
        <v>0</v>
      </c>
      <c r="AE424" s="7">
        <f t="shared" si="66"/>
        <v>48.45</v>
      </c>
      <c r="AF424" s="8">
        <f t="shared" si="67"/>
        <v>0</v>
      </c>
      <c r="AG424" s="112"/>
    </row>
    <row r="425" spans="2:33" s="113" customFormat="1" ht="61.15">
      <c r="B425" s="117" t="s">
        <v>284</v>
      </c>
      <c r="C425" s="111" t="s">
        <v>373</v>
      </c>
      <c r="D425" s="11">
        <f>SUMIFS('XBS '!T:T,'XBS '!C:C,' General Stock Summary View  '!C425,'XBS '!L:L,' General Stock Summary View  '!B425)</f>
        <v>21.866666666666667</v>
      </c>
      <c r="E425" s="2">
        <f>SUMIFS('Blocked for Processing'!P:P,'Blocked for Processing'!I:I,' General Stock Summary View  '!B425,'Blocked for Processing'!C:C,' General Stock Summary View  '!C425)</f>
        <v>0</v>
      </c>
      <c r="F425" s="122">
        <f t="shared" si="56"/>
        <v>21.866666666666667</v>
      </c>
      <c r="G425" s="148">
        <f>SUMIFS('XBS '!T:T,'XBS '!H:H,' General Stock Summary View  '!$G$2,'XBS '!L:L,' General Stock Summary View  '!B425,'XBS '!C:C,' General Stock Summary View  '!C425)</f>
        <v>21.866666666666667</v>
      </c>
      <c r="H425" s="3">
        <f>SUMIFS('PowerApp_Physical count'!H:H,'PowerApp_Physical count'!B:B,' General Stock Summary View  '!$G$2,'PowerApp_Physical count'!C:C,' General Stock Summary View  '!C425,'PowerApp_Physical count'!A:A,' General Stock Summary View  '!B425)</f>
        <v>21.866666666666667</v>
      </c>
      <c r="I425" s="154">
        <f t="shared" si="69"/>
        <v>0</v>
      </c>
      <c r="J425" s="11">
        <f>SUMIFS('XBS '!T:T,'XBS '!H:H,' General Stock Summary View  '!$J$2,'XBS '!L:L,' General Stock Summary View  '!B425,'XBS '!C:C,' General Stock Summary View  '!C425)</f>
        <v>0</v>
      </c>
      <c r="K425" s="157">
        <f>SUMIFS('PowerApp_Physical count'!H:H,'PowerApp_Physical count'!B:B,' General Stock Summary View  '!$J$2,'PowerApp_Physical count'!C:C,' General Stock Summary View  '!C425,'PowerApp_Physical count'!A:A,' General Stock Summary View  '!B425)</f>
        <v>0</v>
      </c>
      <c r="L425" s="127">
        <f t="shared" si="57"/>
        <v>0</v>
      </c>
      <c r="M425" s="126">
        <f t="shared" si="58"/>
        <v>21.866666666666667</v>
      </c>
      <c r="N425" s="11">
        <f t="shared" si="59"/>
        <v>21.866666666666667</v>
      </c>
      <c r="O425" s="144">
        <f t="shared" si="60"/>
        <v>0</v>
      </c>
      <c r="P425" s="2">
        <f>SUMIFS('XBS '!T:T,'XBS '!H:H,' General Stock Summary View  '!$P$2,'XBS '!L:L,' General Stock Summary View  '!B425,'XBS '!C:C,' General Stock Summary View  '!C425)</f>
        <v>0</v>
      </c>
      <c r="Q425" s="3">
        <f>SUMIFS('PowerApp_Physical count'!H:H,'PowerApp_Physical count'!B:B,' General Stock Summary View  '!$P$2,'PowerApp_Physical count'!C:C,' General Stock Summary View  '!C425,'PowerApp_Physical count'!A:A,' General Stock Summary View  '!B425)</f>
        <v>0</v>
      </c>
      <c r="R425" s="4">
        <f t="shared" si="61"/>
        <v>0</v>
      </c>
      <c r="S425" s="5">
        <f>SUMIFS('XBS '!T:T,'XBS '!L:L,' General Stock Summary View  '!B425,'XBS '!H:H,' General Stock Summary View  '!$S$2,'XBS '!C:C,' General Stock Summary View  '!C425)</f>
        <v>0</v>
      </c>
      <c r="T425" s="3">
        <f>SUMIFS('PowerApp_Physical count'!H:H,'PowerApp_Physical count'!B:B,' General Stock Summary View  '!$S$2,'PowerApp_Physical count'!C:C,' General Stock Summary View  '!C425,'PowerApp_Physical count'!A:A,' General Stock Summary View  '!B425)</f>
        <v>0</v>
      </c>
      <c r="U425" s="4">
        <f t="shared" si="62"/>
        <v>0</v>
      </c>
      <c r="V425" s="2">
        <f>SUMIFS('XBS '!T:T,'XBS '!H:H,' General Stock Summary View  '!$V$2,'XBS '!B:B,' General Stock Summary View  '!C425,'XBS '!L:L,' General Stock Summary View  '!B425)</f>
        <v>0</v>
      </c>
      <c r="W425" s="3">
        <f>SUMIFS('PowerApp_Physical count'!H:H,'PowerApp_Physical count'!B:B,' General Stock Summary View  '!$V$2,'PowerApp_Physical count'!C:C,' General Stock Summary View  '!C425,'PowerApp_Physical count'!A:A,' General Stock Summary View  '!B425)</f>
        <v>0</v>
      </c>
      <c r="X425" s="4">
        <f t="shared" si="63"/>
        <v>0</v>
      </c>
      <c r="Y425" s="5">
        <f>SUMIFS('XBS '!T:T,'XBS '!H:H,' General Stock Summary View  '!$Y$2,'XBS '!B:B,' General Stock Summary View  '!C425,'XBS '!L:L,' General Stock Summary View  '!B425)</f>
        <v>0</v>
      </c>
      <c r="Z425" s="3">
        <f>SUMIFS('PowerApp_Physical count'!H:H,'PowerApp_Physical count'!B:B,' General Stock Summary View  '!$Y$2,'PowerApp_Physical count'!C:C,' General Stock Summary View  '!C425,'PowerApp_Physical count'!A:A,' General Stock Summary View  '!B425)</f>
        <v>0</v>
      </c>
      <c r="AA425" s="4">
        <f t="shared" si="64"/>
        <v>0</v>
      </c>
      <c r="AB425" s="5">
        <f>SUMIFS('XBS '!T:T,'XBS '!H:H,' General Stock Summary View  '!$AB$2,'XBS '!B:B,' General Stock Summary View  '!C425,'XBS '!L:L,' General Stock Summary View  '!B425)</f>
        <v>0</v>
      </c>
      <c r="AC425" s="3">
        <f>SUMIFS('PowerApp_Physical count'!H:H,'PowerApp_Physical count'!B:B,' General Stock Summary View  '!$AB$2,'PowerApp_Physical count'!C:C,' General Stock Summary View  '!C425,'PowerApp_Physical count'!A:A,' General Stock Summary View  '!B425)</f>
        <v>0</v>
      </c>
      <c r="AD425" s="6">
        <f t="shared" si="65"/>
        <v>0</v>
      </c>
      <c r="AE425" s="7">
        <f t="shared" si="66"/>
        <v>21.866666666666667</v>
      </c>
      <c r="AF425" s="8">
        <f t="shared" si="67"/>
        <v>0</v>
      </c>
      <c r="AG425" s="112"/>
    </row>
    <row r="426" spans="2:33" s="113" customFormat="1" ht="61.15">
      <c r="B426" s="117" t="s">
        <v>283</v>
      </c>
      <c r="C426" s="111" t="s">
        <v>373</v>
      </c>
      <c r="D426" s="11">
        <f>SUMIFS('XBS '!T:T,'XBS '!C:C,' General Stock Summary View  '!C426,'XBS '!L:L,' General Stock Summary View  '!B426)</f>
        <v>10.45</v>
      </c>
      <c r="E426" s="2">
        <f>SUMIFS('Blocked for Processing'!P:P,'Blocked for Processing'!I:I,' General Stock Summary View  '!B426,'Blocked for Processing'!C:C,' General Stock Summary View  '!C426)</f>
        <v>0</v>
      </c>
      <c r="F426" s="122">
        <f t="shared" si="56"/>
        <v>10.45</v>
      </c>
      <c r="G426" s="148">
        <f>SUMIFS('XBS '!T:T,'XBS '!H:H,' General Stock Summary View  '!$G$2,'XBS '!L:L,' General Stock Summary View  '!B426,'XBS '!C:C,' General Stock Summary View  '!C426)</f>
        <v>10.45</v>
      </c>
      <c r="H426" s="3">
        <f>SUMIFS('PowerApp_Physical count'!H:H,'PowerApp_Physical count'!B:B,' General Stock Summary View  '!$G$2,'PowerApp_Physical count'!C:C,' General Stock Summary View  '!C426,'PowerApp_Physical count'!A:A,' General Stock Summary View  '!B426)</f>
        <v>10.45</v>
      </c>
      <c r="I426" s="154">
        <f t="shared" si="69"/>
        <v>0</v>
      </c>
      <c r="J426" s="11">
        <f>SUMIFS('XBS '!T:T,'XBS '!H:H,' General Stock Summary View  '!$J$2,'XBS '!L:L,' General Stock Summary View  '!B426,'XBS '!C:C,' General Stock Summary View  '!C426)</f>
        <v>0</v>
      </c>
      <c r="K426" s="157">
        <f>SUMIFS('PowerApp_Physical count'!H:H,'PowerApp_Physical count'!B:B,' General Stock Summary View  '!$J$2,'PowerApp_Physical count'!C:C,' General Stock Summary View  '!C426,'PowerApp_Physical count'!A:A,' General Stock Summary View  '!B426)</f>
        <v>0</v>
      </c>
      <c r="L426" s="127">
        <f t="shared" si="57"/>
        <v>0</v>
      </c>
      <c r="M426" s="126">
        <f t="shared" si="58"/>
        <v>10.45</v>
      </c>
      <c r="N426" s="11">
        <f t="shared" si="59"/>
        <v>10.45</v>
      </c>
      <c r="O426" s="144">
        <f t="shared" si="60"/>
        <v>0</v>
      </c>
      <c r="P426" s="2">
        <f>SUMIFS('XBS '!T:T,'XBS '!H:H,' General Stock Summary View  '!$P$2,'XBS '!L:L,' General Stock Summary View  '!B426,'XBS '!C:C,' General Stock Summary View  '!C426)</f>
        <v>0</v>
      </c>
      <c r="Q426" s="3">
        <f>SUMIFS('PowerApp_Physical count'!H:H,'PowerApp_Physical count'!B:B,' General Stock Summary View  '!$P$2,'PowerApp_Physical count'!C:C,' General Stock Summary View  '!C426,'PowerApp_Physical count'!A:A,' General Stock Summary View  '!B426)</f>
        <v>0</v>
      </c>
      <c r="R426" s="4">
        <f t="shared" si="61"/>
        <v>0</v>
      </c>
      <c r="S426" s="5">
        <f>SUMIFS('XBS '!T:T,'XBS '!L:L,' General Stock Summary View  '!B426,'XBS '!H:H,' General Stock Summary View  '!$S$2,'XBS '!C:C,' General Stock Summary View  '!C426)</f>
        <v>0</v>
      </c>
      <c r="T426" s="3">
        <f>SUMIFS('PowerApp_Physical count'!H:H,'PowerApp_Physical count'!B:B,' General Stock Summary View  '!$S$2,'PowerApp_Physical count'!C:C,' General Stock Summary View  '!C426,'PowerApp_Physical count'!A:A,' General Stock Summary View  '!B426)</f>
        <v>0</v>
      </c>
      <c r="U426" s="4">
        <f t="shared" si="62"/>
        <v>0</v>
      </c>
      <c r="V426" s="2">
        <f>SUMIFS('XBS '!T:T,'XBS '!H:H,' General Stock Summary View  '!$V$2,'XBS '!B:B,' General Stock Summary View  '!C426,'XBS '!L:L,' General Stock Summary View  '!B426)</f>
        <v>0</v>
      </c>
      <c r="W426" s="3">
        <f>SUMIFS('PowerApp_Physical count'!H:H,'PowerApp_Physical count'!B:B,' General Stock Summary View  '!$V$2,'PowerApp_Physical count'!C:C,' General Stock Summary View  '!C426,'PowerApp_Physical count'!A:A,' General Stock Summary View  '!B426)</f>
        <v>0</v>
      </c>
      <c r="X426" s="4">
        <f t="shared" si="63"/>
        <v>0</v>
      </c>
      <c r="Y426" s="5">
        <f>SUMIFS('XBS '!T:T,'XBS '!H:H,' General Stock Summary View  '!$Y$2,'XBS '!B:B,' General Stock Summary View  '!C426,'XBS '!L:L,' General Stock Summary View  '!B426)</f>
        <v>0</v>
      </c>
      <c r="Z426" s="3">
        <f>SUMIFS('PowerApp_Physical count'!H:H,'PowerApp_Physical count'!B:B,' General Stock Summary View  '!$Y$2,'PowerApp_Physical count'!C:C,' General Stock Summary View  '!C426,'PowerApp_Physical count'!A:A,' General Stock Summary View  '!B426)</f>
        <v>0</v>
      </c>
      <c r="AA426" s="4">
        <f t="shared" si="64"/>
        <v>0</v>
      </c>
      <c r="AB426" s="5">
        <f>SUMIFS('XBS '!T:T,'XBS '!H:H,' General Stock Summary View  '!$AB$2,'XBS '!B:B,' General Stock Summary View  '!C426,'XBS '!L:L,' General Stock Summary View  '!B426)</f>
        <v>0</v>
      </c>
      <c r="AC426" s="3">
        <f>SUMIFS('PowerApp_Physical count'!H:H,'PowerApp_Physical count'!B:B,' General Stock Summary View  '!$AB$2,'PowerApp_Physical count'!C:C,' General Stock Summary View  '!C426,'PowerApp_Physical count'!A:A,' General Stock Summary View  '!B426)</f>
        <v>0</v>
      </c>
      <c r="AD426" s="6">
        <f t="shared" si="65"/>
        <v>0</v>
      </c>
      <c r="AE426" s="7">
        <f t="shared" si="66"/>
        <v>10.45</v>
      </c>
      <c r="AF426" s="8">
        <f t="shared" si="67"/>
        <v>0</v>
      </c>
      <c r="AG426" s="112"/>
    </row>
    <row r="427" spans="2:33" s="113" customFormat="1" ht="61.15">
      <c r="B427" s="117" t="s">
        <v>391</v>
      </c>
      <c r="C427" s="111" t="s">
        <v>373</v>
      </c>
      <c r="D427" s="11">
        <f>SUMIFS('XBS '!T:T,'XBS '!C:C,' General Stock Summary View  '!C427,'XBS '!L:L,' General Stock Summary View  '!B427)</f>
        <v>3.7333333333333334</v>
      </c>
      <c r="E427" s="2">
        <f>SUMIFS('Blocked for Processing'!P:P,'Blocked for Processing'!I:I,' General Stock Summary View  '!B427,'Blocked for Processing'!C:C,' General Stock Summary View  '!C427)</f>
        <v>0</v>
      </c>
      <c r="F427" s="122">
        <f t="shared" si="56"/>
        <v>3.7333333333333334</v>
      </c>
      <c r="G427" s="148">
        <f>SUMIFS('XBS '!T:T,'XBS '!H:H,' General Stock Summary View  '!$G$2,'XBS '!L:L,' General Stock Summary View  '!B427,'XBS '!C:C,' General Stock Summary View  '!C427)</f>
        <v>3.7333333333333334</v>
      </c>
      <c r="H427" s="3">
        <f>SUMIFS('PowerApp_Physical count'!H:H,'PowerApp_Physical count'!B:B,' General Stock Summary View  '!$G$2,'PowerApp_Physical count'!C:C,' General Stock Summary View  '!C427,'PowerApp_Physical count'!A:A,' General Stock Summary View  '!B427)</f>
        <v>3.7333333333333334</v>
      </c>
      <c r="I427" s="154">
        <f t="shared" si="69"/>
        <v>0</v>
      </c>
      <c r="J427" s="11">
        <f>SUMIFS('XBS '!T:T,'XBS '!H:H,' General Stock Summary View  '!$J$2,'XBS '!L:L,' General Stock Summary View  '!B427,'XBS '!C:C,' General Stock Summary View  '!C427)</f>
        <v>0</v>
      </c>
      <c r="K427" s="157">
        <f>SUMIFS('PowerApp_Physical count'!H:H,'PowerApp_Physical count'!B:B,' General Stock Summary View  '!$J$2,'PowerApp_Physical count'!C:C,' General Stock Summary View  '!C427,'PowerApp_Physical count'!A:A,' General Stock Summary View  '!B427)</f>
        <v>0</v>
      </c>
      <c r="L427" s="127">
        <f t="shared" si="57"/>
        <v>0</v>
      </c>
      <c r="M427" s="126">
        <f t="shared" si="58"/>
        <v>3.7333333333333334</v>
      </c>
      <c r="N427" s="11">
        <f t="shared" si="59"/>
        <v>3.7333333333333334</v>
      </c>
      <c r="O427" s="144">
        <f t="shared" si="60"/>
        <v>0</v>
      </c>
      <c r="P427" s="2">
        <f>SUMIFS('XBS '!T:T,'XBS '!H:H,' General Stock Summary View  '!$P$2,'XBS '!L:L,' General Stock Summary View  '!B427,'XBS '!C:C,' General Stock Summary View  '!C427)</f>
        <v>0</v>
      </c>
      <c r="Q427" s="3">
        <f>SUMIFS('PowerApp_Physical count'!H:H,'PowerApp_Physical count'!B:B,' General Stock Summary View  '!$P$2,'PowerApp_Physical count'!C:C,' General Stock Summary View  '!C427,'PowerApp_Physical count'!A:A,' General Stock Summary View  '!B427)</f>
        <v>0</v>
      </c>
      <c r="R427" s="4">
        <f t="shared" si="61"/>
        <v>0</v>
      </c>
      <c r="S427" s="5">
        <f>SUMIFS('XBS '!T:T,'XBS '!L:L,' General Stock Summary View  '!B427,'XBS '!H:H,' General Stock Summary View  '!$S$2,'XBS '!C:C,' General Stock Summary View  '!C427)</f>
        <v>0</v>
      </c>
      <c r="T427" s="3">
        <f>SUMIFS('PowerApp_Physical count'!H:H,'PowerApp_Physical count'!B:B,' General Stock Summary View  '!$S$2,'PowerApp_Physical count'!C:C,' General Stock Summary View  '!C427,'PowerApp_Physical count'!A:A,' General Stock Summary View  '!B427)</f>
        <v>0</v>
      </c>
      <c r="U427" s="4">
        <f t="shared" si="62"/>
        <v>0</v>
      </c>
      <c r="V427" s="2">
        <f>SUMIFS('XBS '!T:T,'XBS '!H:H,' General Stock Summary View  '!$V$2,'XBS '!B:B,' General Stock Summary View  '!C427,'XBS '!L:L,' General Stock Summary View  '!B427)</f>
        <v>0</v>
      </c>
      <c r="W427" s="3">
        <f>SUMIFS('PowerApp_Physical count'!H:H,'PowerApp_Physical count'!B:B,' General Stock Summary View  '!$V$2,'PowerApp_Physical count'!C:C,' General Stock Summary View  '!C427,'PowerApp_Physical count'!A:A,' General Stock Summary View  '!B427)</f>
        <v>0</v>
      </c>
      <c r="X427" s="4">
        <f t="shared" si="63"/>
        <v>0</v>
      </c>
      <c r="Y427" s="5">
        <f>SUMIFS('XBS '!T:T,'XBS '!H:H,' General Stock Summary View  '!$Y$2,'XBS '!B:B,' General Stock Summary View  '!C427,'XBS '!L:L,' General Stock Summary View  '!B427)</f>
        <v>0</v>
      </c>
      <c r="Z427" s="3">
        <f>SUMIFS('PowerApp_Physical count'!H:H,'PowerApp_Physical count'!B:B,' General Stock Summary View  '!$Y$2,'PowerApp_Physical count'!C:C,' General Stock Summary View  '!C427,'PowerApp_Physical count'!A:A,' General Stock Summary View  '!B427)</f>
        <v>0</v>
      </c>
      <c r="AA427" s="4">
        <f t="shared" si="64"/>
        <v>0</v>
      </c>
      <c r="AB427" s="5">
        <f>SUMIFS('XBS '!T:T,'XBS '!H:H,' General Stock Summary View  '!$AB$2,'XBS '!B:B,' General Stock Summary View  '!C427,'XBS '!L:L,' General Stock Summary View  '!B427)</f>
        <v>0</v>
      </c>
      <c r="AC427" s="3">
        <f>SUMIFS('PowerApp_Physical count'!H:H,'PowerApp_Physical count'!B:B,' General Stock Summary View  '!$AB$2,'PowerApp_Physical count'!C:C,' General Stock Summary View  '!C427,'PowerApp_Physical count'!A:A,' General Stock Summary View  '!B427)</f>
        <v>0</v>
      </c>
      <c r="AD427" s="6">
        <f t="shared" si="65"/>
        <v>0</v>
      </c>
      <c r="AE427" s="7">
        <f t="shared" si="66"/>
        <v>3.7333333333333334</v>
      </c>
      <c r="AF427" s="8">
        <f t="shared" si="67"/>
        <v>0</v>
      </c>
      <c r="AG427" s="112"/>
    </row>
    <row r="428" spans="2:33" s="113" customFormat="1" ht="61.15">
      <c r="B428" s="117" t="s">
        <v>296</v>
      </c>
      <c r="C428" s="111" t="s">
        <v>373</v>
      </c>
      <c r="D428" s="11">
        <f>SUMIFS('XBS '!T:T,'XBS '!C:C,' General Stock Summary View  '!C428,'XBS '!L:L,' General Stock Summary View  '!B428)</f>
        <v>7.3166666666666664</v>
      </c>
      <c r="E428" s="2">
        <f>SUMIFS('Blocked for Processing'!P:P,'Blocked for Processing'!I:I,' General Stock Summary View  '!B428,'Blocked for Processing'!C:C,' General Stock Summary View  '!C428)</f>
        <v>0</v>
      </c>
      <c r="F428" s="122">
        <f t="shared" si="56"/>
        <v>7.3166666666666664</v>
      </c>
      <c r="G428" s="148">
        <f>SUMIFS('XBS '!T:T,'XBS '!H:H,' General Stock Summary View  '!$G$2,'XBS '!L:L,' General Stock Summary View  '!B428,'XBS '!C:C,' General Stock Summary View  '!C428)</f>
        <v>7.3166666666666664</v>
      </c>
      <c r="H428" s="3">
        <f>SUMIFS('PowerApp_Physical count'!H:H,'PowerApp_Physical count'!B:B,' General Stock Summary View  '!$G$2,'PowerApp_Physical count'!C:C,' General Stock Summary View  '!C428,'PowerApp_Physical count'!A:A,' General Stock Summary View  '!B428)</f>
        <v>7.3166666666666664</v>
      </c>
      <c r="I428" s="154">
        <f t="shared" si="69"/>
        <v>0</v>
      </c>
      <c r="J428" s="11">
        <f>SUMIFS('XBS '!T:T,'XBS '!H:H,' General Stock Summary View  '!$J$2,'XBS '!L:L,' General Stock Summary View  '!B428,'XBS '!C:C,' General Stock Summary View  '!C428)</f>
        <v>0</v>
      </c>
      <c r="K428" s="157">
        <f>SUMIFS('PowerApp_Physical count'!H:H,'PowerApp_Physical count'!B:B,' General Stock Summary View  '!$J$2,'PowerApp_Physical count'!C:C,' General Stock Summary View  '!C428,'PowerApp_Physical count'!A:A,' General Stock Summary View  '!B428)</f>
        <v>0</v>
      </c>
      <c r="L428" s="127">
        <f t="shared" si="57"/>
        <v>0</v>
      </c>
      <c r="M428" s="126">
        <f t="shared" si="58"/>
        <v>7.3166666666666664</v>
      </c>
      <c r="N428" s="11">
        <f t="shared" si="59"/>
        <v>7.3166666666666664</v>
      </c>
      <c r="O428" s="144">
        <f t="shared" si="60"/>
        <v>0</v>
      </c>
      <c r="P428" s="2">
        <f>SUMIFS('XBS '!T:T,'XBS '!H:H,' General Stock Summary View  '!$P$2,'XBS '!L:L,' General Stock Summary View  '!B428,'XBS '!C:C,' General Stock Summary View  '!C428)</f>
        <v>0</v>
      </c>
      <c r="Q428" s="3">
        <f>SUMIFS('PowerApp_Physical count'!H:H,'PowerApp_Physical count'!B:B,' General Stock Summary View  '!$P$2,'PowerApp_Physical count'!C:C,' General Stock Summary View  '!C428,'PowerApp_Physical count'!A:A,' General Stock Summary View  '!B428)</f>
        <v>0</v>
      </c>
      <c r="R428" s="4">
        <f t="shared" si="61"/>
        <v>0</v>
      </c>
      <c r="S428" s="5">
        <f>SUMIFS('XBS '!T:T,'XBS '!L:L,' General Stock Summary View  '!B428,'XBS '!H:H,' General Stock Summary View  '!$S$2,'XBS '!C:C,' General Stock Summary View  '!C428)</f>
        <v>0</v>
      </c>
      <c r="T428" s="3">
        <f>SUMIFS('PowerApp_Physical count'!H:H,'PowerApp_Physical count'!B:B,' General Stock Summary View  '!$S$2,'PowerApp_Physical count'!C:C,' General Stock Summary View  '!C428,'PowerApp_Physical count'!A:A,' General Stock Summary View  '!B428)</f>
        <v>0</v>
      </c>
      <c r="U428" s="4">
        <f t="shared" si="62"/>
        <v>0</v>
      </c>
      <c r="V428" s="2">
        <f>SUMIFS('XBS '!T:T,'XBS '!H:H,' General Stock Summary View  '!$V$2,'XBS '!B:B,' General Stock Summary View  '!C428,'XBS '!L:L,' General Stock Summary View  '!B428)</f>
        <v>0</v>
      </c>
      <c r="W428" s="3">
        <f>SUMIFS('PowerApp_Physical count'!H:H,'PowerApp_Physical count'!B:B,' General Stock Summary View  '!$V$2,'PowerApp_Physical count'!C:C,' General Stock Summary View  '!C428,'PowerApp_Physical count'!A:A,' General Stock Summary View  '!B428)</f>
        <v>0</v>
      </c>
      <c r="X428" s="4">
        <f t="shared" si="63"/>
        <v>0</v>
      </c>
      <c r="Y428" s="5">
        <f>SUMIFS('XBS '!T:T,'XBS '!H:H,' General Stock Summary View  '!$Y$2,'XBS '!B:B,' General Stock Summary View  '!C428,'XBS '!L:L,' General Stock Summary View  '!B428)</f>
        <v>0</v>
      </c>
      <c r="Z428" s="3">
        <f>SUMIFS('PowerApp_Physical count'!H:H,'PowerApp_Physical count'!B:B,' General Stock Summary View  '!$Y$2,'PowerApp_Physical count'!C:C,' General Stock Summary View  '!C428,'PowerApp_Physical count'!A:A,' General Stock Summary View  '!B428)</f>
        <v>0</v>
      </c>
      <c r="AA428" s="4">
        <f t="shared" si="64"/>
        <v>0</v>
      </c>
      <c r="AB428" s="5">
        <f>SUMIFS('XBS '!T:T,'XBS '!H:H,' General Stock Summary View  '!$AB$2,'XBS '!B:B,' General Stock Summary View  '!C428,'XBS '!L:L,' General Stock Summary View  '!B428)</f>
        <v>0</v>
      </c>
      <c r="AC428" s="3">
        <f>SUMIFS('PowerApp_Physical count'!H:H,'PowerApp_Physical count'!B:B,' General Stock Summary View  '!$AB$2,'PowerApp_Physical count'!C:C,' General Stock Summary View  '!C428,'PowerApp_Physical count'!A:A,' General Stock Summary View  '!B428)</f>
        <v>0</v>
      </c>
      <c r="AD428" s="6">
        <f t="shared" si="65"/>
        <v>0</v>
      </c>
      <c r="AE428" s="7">
        <f t="shared" si="66"/>
        <v>7.3166666666666664</v>
      </c>
      <c r="AF428" s="8">
        <f t="shared" si="67"/>
        <v>0</v>
      </c>
      <c r="AG428" s="112"/>
    </row>
    <row r="429" spans="2:33" s="113" customFormat="1" ht="61.15">
      <c r="B429" s="117" t="s">
        <v>297</v>
      </c>
      <c r="C429" s="111" t="s">
        <v>373</v>
      </c>
      <c r="D429" s="11">
        <f>SUMIFS('XBS '!T:T,'XBS '!C:C,' General Stock Summary View  '!C429,'XBS '!L:L,' General Stock Summary View  '!B429)</f>
        <v>15.866666666666667</v>
      </c>
      <c r="E429" s="2">
        <f>SUMIFS('Blocked for Processing'!P:P,'Blocked for Processing'!I:I,' General Stock Summary View  '!B429,'Blocked for Processing'!C:C,' General Stock Summary View  '!C429)</f>
        <v>0</v>
      </c>
      <c r="F429" s="122">
        <f t="shared" si="56"/>
        <v>15.866666666666667</v>
      </c>
      <c r="G429" s="148">
        <f>SUMIFS('XBS '!T:T,'XBS '!H:H,' General Stock Summary View  '!$G$2,'XBS '!L:L,' General Stock Summary View  '!B429,'XBS '!C:C,' General Stock Summary View  '!C429)</f>
        <v>15.866666666666667</v>
      </c>
      <c r="H429" s="3">
        <f>SUMIFS('PowerApp_Physical count'!H:H,'PowerApp_Physical count'!B:B,' General Stock Summary View  '!$G$2,'PowerApp_Physical count'!C:C,' General Stock Summary View  '!C429,'PowerApp_Physical count'!A:A,' General Stock Summary View  '!B429)</f>
        <v>15.866666666666667</v>
      </c>
      <c r="I429" s="154">
        <f t="shared" si="69"/>
        <v>0</v>
      </c>
      <c r="J429" s="11">
        <f>SUMIFS('XBS '!T:T,'XBS '!H:H,' General Stock Summary View  '!$J$2,'XBS '!L:L,' General Stock Summary View  '!B429,'XBS '!C:C,' General Stock Summary View  '!C429)</f>
        <v>0</v>
      </c>
      <c r="K429" s="157">
        <f>SUMIFS('PowerApp_Physical count'!H:H,'PowerApp_Physical count'!B:B,' General Stock Summary View  '!$J$2,'PowerApp_Physical count'!C:C,' General Stock Summary View  '!C429,'PowerApp_Physical count'!A:A,' General Stock Summary View  '!B429)</f>
        <v>0</v>
      </c>
      <c r="L429" s="127">
        <f t="shared" si="57"/>
        <v>0</v>
      </c>
      <c r="M429" s="126">
        <f t="shared" si="58"/>
        <v>15.866666666666667</v>
      </c>
      <c r="N429" s="11">
        <f t="shared" si="59"/>
        <v>15.866666666666667</v>
      </c>
      <c r="O429" s="144">
        <f t="shared" si="60"/>
        <v>0</v>
      </c>
      <c r="P429" s="2">
        <f>SUMIFS('XBS '!T:T,'XBS '!H:H,' General Stock Summary View  '!$P$2,'XBS '!L:L,' General Stock Summary View  '!B429,'XBS '!C:C,' General Stock Summary View  '!C429)</f>
        <v>0</v>
      </c>
      <c r="Q429" s="3">
        <f>SUMIFS('PowerApp_Physical count'!H:H,'PowerApp_Physical count'!B:B,' General Stock Summary View  '!$P$2,'PowerApp_Physical count'!C:C,' General Stock Summary View  '!C429,'PowerApp_Physical count'!A:A,' General Stock Summary View  '!B429)</f>
        <v>0</v>
      </c>
      <c r="R429" s="4">
        <f t="shared" si="61"/>
        <v>0</v>
      </c>
      <c r="S429" s="5">
        <f>SUMIFS('XBS '!T:T,'XBS '!L:L,' General Stock Summary View  '!B429,'XBS '!H:H,' General Stock Summary View  '!$S$2,'XBS '!C:C,' General Stock Summary View  '!C429)</f>
        <v>0</v>
      </c>
      <c r="T429" s="3">
        <f>SUMIFS('PowerApp_Physical count'!H:H,'PowerApp_Physical count'!B:B,' General Stock Summary View  '!$S$2,'PowerApp_Physical count'!C:C,' General Stock Summary View  '!C429,'PowerApp_Physical count'!A:A,' General Stock Summary View  '!B429)</f>
        <v>0</v>
      </c>
      <c r="U429" s="4">
        <f t="shared" si="62"/>
        <v>0</v>
      </c>
      <c r="V429" s="2">
        <f>SUMIFS('XBS '!T:T,'XBS '!H:H,' General Stock Summary View  '!$V$2,'XBS '!B:B,' General Stock Summary View  '!C429,'XBS '!L:L,' General Stock Summary View  '!B429)</f>
        <v>0</v>
      </c>
      <c r="W429" s="3">
        <f>SUMIFS('PowerApp_Physical count'!H:H,'PowerApp_Physical count'!B:B,' General Stock Summary View  '!$V$2,'PowerApp_Physical count'!C:C,' General Stock Summary View  '!C429,'PowerApp_Physical count'!A:A,' General Stock Summary View  '!B429)</f>
        <v>0</v>
      </c>
      <c r="X429" s="4">
        <f t="shared" si="63"/>
        <v>0</v>
      </c>
      <c r="Y429" s="5">
        <f>SUMIFS('XBS '!T:T,'XBS '!H:H,' General Stock Summary View  '!$Y$2,'XBS '!B:B,' General Stock Summary View  '!C429,'XBS '!L:L,' General Stock Summary View  '!B429)</f>
        <v>0</v>
      </c>
      <c r="Z429" s="3">
        <f>SUMIFS('PowerApp_Physical count'!H:H,'PowerApp_Physical count'!B:B,' General Stock Summary View  '!$Y$2,'PowerApp_Physical count'!C:C,' General Stock Summary View  '!C429,'PowerApp_Physical count'!A:A,' General Stock Summary View  '!B429)</f>
        <v>0</v>
      </c>
      <c r="AA429" s="4">
        <f t="shared" si="64"/>
        <v>0</v>
      </c>
      <c r="AB429" s="5">
        <f>SUMIFS('XBS '!T:T,'XBS '!H:H,' General Stock Summary View  '!$AB$2,'XBS '!B:B,' General Stock Summary View  '!C429,'XBS '!L:L,' General Stock Summary View  '!B429)</f>
        <v>0</v>
      </c>
      <c r="AC429" s="3">
        <f>SUMIFS('PowerApp_Physical count'!H:H,'PowerApp_Physical count'!B:B,' General Stock Summary View  '!$AB$2,'PowerApp_Physical count'!C:C,' General Stock Summary View  '!C429,'PowerApp_Physical count'!A:A,' General Stock Summary View  '!B429)</f>
        <v>0</v>
      </c>
      <c r="AD429" s="6">
        <f t="shared" si="65"/>
        <v>0</v>
      </c>
      <c r="AE429" s="7">
        <f t="shared" si="66"/>
        <v>15.866666666666667</v>
      </c>
      <c r="AF429" s="8">
        <f t="shared" si="67"/>
        <v>0</v>
      </c>
      <c r="AG429" s="112"/>
    </row>
    <row r="430" spans="2:33" s="113" customFormat="1" ht="61.15">
      <c r="B430" s="117" t="s">
        <v>288</v>
      </c>
      <c r="C430" s="111" t="s">
        <v>373</v>
      </c>
      <c r="D430" s="11">
        <f>SUMIFS('XBS '!T:T,'XBS '!C:C,' General Stock Summary View  '!C430,'XBS '!L:L,' General Stock Summary View  '!B430)</f>
        <v>28.516666666666666</v>
      </c>
      <c r="E430" s="2">
        <f>SUMIFS('Blocked for Processing'!P:P,'Blocked for Processing'!I:I,' General Stock Summary View  '!B430,'Blocked for Processing'!C:C,' General Stock Summary View  '!C430)</f>
        <v>0</v>
      </c>
      <c r="F430" s="122">
        <f t="shared" si="56"/>
        <v>28.516666666666666</v>
      </c>
      <c r="G430" s="148">
        <f>SUMIFS('XBS '!T:T,'XBS '!H:H,' General Stock Summary View  '!$G$2,'XBS '!L:L,' General Stock Summary View  '!B430,'XBS '!C:C,' General Stock Summary View  '!C430)</f>
        <v>28.516666666666666</v>
      </c>
      <c r="H430" s="3">
        <f>SUMIFS('PowerApp_Physical count'!H:H,'PowerApp_Physical count'!B:B,' General Stock Summary View  '!$G$2,'PowerApp_Physical count'!C:C,' General Stock Summary View  '!C430,'PowerApp_Physical count'!A:A,' General Stock Summary View  '!B430)</f>
        <v>28.516666666666666</v>
      </c>
      <c r="I430" s="154">
        <f t="shared" si="69"/>
        <v>0</v>
      </c>
      <c r="J430" s="11">
        <f>SUMIFS('XBS '!T:T,'XBS '!H:H,' General Stock Summary View  '!$J$2,'XBS '!L:L,' General Stock Summary View  '!B430,'XBS '!C:C,' General Stock Summary View  '!C430)</f>
        <v>0</v>
      </c>
      <c r="K430" s="157">
        <f>SUMIFS('PowerApp_Physical count'!H:H,'PowerApp_Physical count'!B:B,' General Stock Summary View  '!$J$2,'PowerApp_Physical count'!C:C,' General Stock Summary View  '!C430,'PowerApp_Physical count'!A:A,' General Stock Summary View  '!B430)</f>
        <v>0</v>
      </c>
      <c r="L430" s="127">
        <f t="shared" si="57"/>
        <v>0</v>
      </c>
      <c r="M430" s="126">
        <f t="shared" si="58"/>
        <v>28.516666666666666</v>
      </c>
      <c r="N430" s="11">
        <f t="shared" si="59"/>
        <v>28.516666666666666</v>
      </c>
      <c r="O430" s="144">
        <f t="shared" si="60"/>
        <v>0</v>
      </c>
      <c r="P430" s="2">
        <f>SUMIFS('XBS '!T:T,'XBS '!H:H,' General Stock Summary View  '!$P$2,'XBS '!L:L,' General Stock Summary View  '!B430,'XBS '!C:C,' General Stock Summary View  '!C430)</f>
        <v>0</v>
      </c>
      <c r="Q430" s="3">
        <f>SUMIFS('PowerApp_Physical count'!H:H,'PowerApp_Physical count'!B:B,' General Stock Summary View  '!$P$2,'PowerApp_Physical count'!C:C,' General Stock Summary View  '!C430,'PowerApp_Physical count'!A:A,' General Stock Summary View  '!B430)</f>
        <v>0</v>
      </c>
      <c r="R430" s="4">
        <f t="shared" si="61"/>
        <v>0</v>
      </c>
      <c r="S430" s="5">
        <f>SUMIFS('XBS '!T:T,'XBS '!L:L,' General Stock Summary View  '!B430,'XBS '!H:H,' General Stock Summary View  '!$S$2,'XBS '!C:C,' General Stock Summary View  '!C430)</f>
        <v>0</v>
      </c>
      <c r="T430" s="3">
        <f>SUMIFS('PowerApp_Physical count'!H:H,'PowerApp_Physical count'!B:B,' General Stock Summary View  '!$S$2,'PowerApp_Physical count'!C:C,' General Stock Summary View  '!C430,'PowerApp_Physical count'!A:A,' General Stock Summary View  '!B430)</f>
        <v>0</v>
      </c>
      <c r="U430" s="4">
        <f t="shared" si="62"/>
        <v>0</v>
      </c>
      <c r="V430" s="2">
        <f>SUMIFS('XBS '!T:T,'XBS '!H:H,' General Stock Summary View  '!$V$2,'XBS '!B:B,' General Stock Summary View  '!C430,'XBS '!L:L,' General Stock Summary View  '!B430)</f>
        <v>0</v>
      </c>
      <c r="W430" s="3">
        <f>SUMIFS('PowerApp_Physical count'!H:H,'PowerApp_Physical count'!B:B,' General Stock Summary View  '!$V$2,'PowerApp_Physical count'!C:C,' General Stock Summary View  '!C430,'PowerApp_Physical count'!A:A,' General Stock Summary View  '!B430)</f>
        <v>0</v>
      </c>
      <c r="X430" s="4">
        <f t="shared" si="63"/>
        <v>0</v>
      </c>
      <c r="Y430" s="5">
        <f>SUMIFS('XBS '!T:T,'XBS '!H:H,' General Stock Summary View  '!$Y$2,'XBS '!B:B,' General Stock Summary View  '!C430,'XBS '!L:L,' General Stock Summary View  '!B430)</f>
        <v>0</v>
      </c>
      <c r="Z430" s="3">
        <f>SUMIFS('PowerApp_Physical count'!H:H,'PowerApp_Physical count'!B:B,' General Stock Summary View  '!$Y$2,'PowerApp_Physical count'!C:C,' General Stock Summary View  '!C430,'PowerApp_Physical count'!A:A,' General Stock Summary View  '!B430)</f>
        <v>0</v>
      </c>
      <c r="AA430" s="4">
        <f t="shared" si="64"/>
        <v>0</v>
      </c>
      <c r="AB430" s="5">
        <f>SUMIFS('XBS '!T:T,'XBS '!H:H,' General Stock Summary View  '!$AB$2,'XBS '!B:B,' General Stock Summary View  '!C430,'XBS '!L:L,' General Stock Summary View  '!B430)</f>
        <v>0</v>
      </c>
      <c r="AC430" s="3">
        <f>SUMIFS('PowerApp_Physical count'!H:H,'PowerApp_Physical count'!B:B,' General Stock Summary View  '!$AB$2,'PowerApp_Physical count'!C:C,' General Stock Summary View  '!C430,'PowerApp_Physical count'!A:A,' General Stock Summary View  '!B430)</f>
        <v>0</v>
      </c>
      <c r="AD430" s="6">
        <f t="shared" si="65"/>
        <v>0</v>
      </c>
      <c r="AE430" s="7">
        <f t="shared" si="66"/>
        <v>28.516666666666666</v>
      </c>
      <c r="AF430" s="8">
        <f t="shared" si="67"/>
        <v>0</v>
      </c>
      <c r="AG430" s="112"/>
    </row>
    <row r="431" spans="2:33" s="113" customFormat="1" ht="61.15">
      <c r="B431" s="117" t="s">
        <v>286</v>
      </c>
      <c r="C431" s="111" t="s">
        <v>373</v>
      </c>
      <c r="D431" s="11">
        <f>SUMIFS('XBS '!T:T,'XBS '!C:C,' General Stock Summary View  '!C431,'XBS '!L:L,' General Stock Summary View  '!B431)</f>
        <v>20.866666666666667</v>
      </c>
      <c r="E431" s="2">
        <f>SUMIFS('Blocked for Processing'!P:P,'Blocked for Processing'!I:I,' General Stock Summary View  '!B431,'Blocked for Processing'!C:C,' General Stock Summary View  '!C431)</f>
        <v>0</v>
      </c>
      <c r="F431" s="122">
        <f t="shared" si="56"/>
        <v>20.866666666666667</v>
      </c>
      <c r="G431" s="148">
        <f>SUMIFS('XBS '!T:T,'XBS '!H:H,' General Stock Summary View  '!$G$2,'XBS '!L:L,' General Stock Summary View  '!B431,'XBS '!C:C,' General Stock Summary View  '!C431)</f>
        <v>20.866666666666667</v>
      </c>
      <c r="H431" s="3">
        <f>SUMIFS('PowerApp_Physical count'!H:H,'PowerApp_Physical count'!B:B,' General Stock Summary View  '!$G$2,'PowerApp_Physical count'!C:C,' General Stock Summary View  '!C431,'PowerApp_Physical count'!A:A,' General Stock Summary View  '!B431)</f>
        <v>20.866666666666667</v>
      </c>
      <c r="I431" s="154">
        <f t="shared" si="69"/>
        <v>0</v>
      </c>
      <c r="J431" s="11">
        <f>SUMIFS('XBS '!T:T,'XBS '!H:H,' General Stock Summary View  '!$J$2,'XBS '!L:L,' General Stock Summary View  '!B431,'XBS '!C:C,' General Stock Summary View  '!C431)</f>
        <v>0</v>
      </c>
      <c r="K431" s="157">
        <f>SUMIFS('PowerApp_Physical count'!H:H,'PowerApp_Physical count'!B:B,' General Stock Summary View  '!$J$2,'PowerApp_Physical count'!C:C,' General Stock Summary View  '!C431,'PowerApp_Physical count'!A:A,' General Stock Summary View  '!B431)</f>
        <v>0</v>
      </c>
      <c r="L431" s="127">
        <f t="shared" si="57"/>
        <v>0</v>
      </c>
      <c r="M431" s="126">
        <f t="shared" si="58"/>
        <v>20.866666666666667</v>
      </c>
      <c r="N431" s="11">
        <f t="shared" si="59"/>
        <v>20.866666666666667</v>
      </c>
      <c r="O431" s="144">
        <f t="shared" si="60"/>
        <v>0</v>
      </c>
      <c r="P431" s="2">
        <f>SUMIFS('XBS '!T:T,'XBS '!H:H,' General Stock Summary View  '!$P$2,'XBS '!L:L,' General Stock Summary View  '!B431,'XBS '!C:C,' General Stock Summary View  '!C431)</f>
        <v>0</v>
      </c>
      <c r="Q431" s="3">
        <f>SUMIFS('PowerApp_Physical count'!H:H,'PowerApp_Physical count'!B:B,' General Stock Summary View  '!$P$2,'PowerApp_Physical count'!C:C,' General Stock Summary View  '!C431,'PowerApp_Physical count'!A:A,' General Stock Summary View  '!B431)</f>
        <v>0</v>
      </c>
      <c r="R431" s="4">
        <f t="shared" si="61"/>
        <v>0</v>
      </c>
      <c r="S431" s="5">
        <f>SUMIFS('XBS '!T:T,'XBS '!L:L,' General Stock Summary View  '!B431,'XBS '!H:H,' General Stock Summary View  '!$S$2,'XBS '!C:C,' General Stock Summary View  '!C431)</f>
        <v>0</v>
      </c>
      <c r="T431" s="3">
        <f>SUMIFS('PowerApp_Physical count'!H:H,'PowerApp_Physical count'!B:B,' General Stock Summary View  '!$S$2,'PowerApp_Physical count'!C:C,' General Stock Summary View  '!C431,'PowerApp_Physical count'!A:A,' General Stock Summary View  '!B431)</f>
        <v>0</v>
      </c>
      <c r="U431" s="4">
        <f t="shared" si="62"/>
        <v>0</v>
      </c>
      <c r="V431" s="2">
        <f>SUMIFS('XBS '!T:T,'XBS '!H:H,' General Stock Summary View  '!$V$2,'XBS '!B:B,' General Stock Summary View  '!C431,'XBS '!L:L,' General Stock Summary View  '!B431)</f>
        <v>0</v>
      </c>
      <c r="W431" s="3">
        <f>SUMIFS('PowerApp_Physical count'!H:H,'PowerApp_Physical count'!B:B,' General Stock Summary View  '!$V$2,'PowerApp_Physical count'!C:C,' General Stock Summary View  '!C431,'PowerApp_Physical count'!A:A,' General Stock Summary View  '!B431)</f>
        <v>0</v>
      </c>
      <c r="X431" s="4">
        <f t="shared" si="63"/>
        <v>0</v>
      </c>
      <c r="Y431" s="5">
        <f>SUMIFS('XBS '!T:T,'XBS '!H:H,' General Stock Summary View  '!$Y$2,'XBS '!B:B,' General Stock Summary View  '!C431,'XBS '!L:L,' General Stock Summary View  '!B431)</f>
        <v>0</v>
      </c>
      <c r="Z431" s="3">
        <f>SUMIFS('PowerApp_Physical count'!H:H,'PowerApp_Physical count'!B:B,' General Stock Summary View  '!$Y$2,'PowerApp_Physical count'!C:C,' General Stock Summary View  '!C431,'PowerApp_Physical count'!A:A,' General Stock Summary View  '!B431)</f>
        <v>0</v>
      </c>
      <c r="AA431" s="4">
        <f t="shared" si="64"/>
        <v>0</v>
      </c>
      <c r="AB431" s="5">
        <f>SUMIFS('XBS '!T:T,'XBS '!H:H,' General Stock Summary View  '!$AB$2,'XBS '!B:B,' General Stock Summary View  '!C431,'XBS '!L:L,' General Stock Summary View  '!B431)</f>
        <v>0</v>
      </c>
      <c r="AC431" s="3">
        <f>SUMIFS('PowerApp_Physical count'!H:H,'PowerApp_Physical count'!B:B,' General Stock Summary View  '!$AB$2,'PowerApp_Physical count'!C:C,' General Stock Summary View  '!C431,'PowerApp_Physical count'!A:A,' General Stock Summary View  '!B431)</f>
        <v>0</v>
      </c>
      <c r="AD431" s="6">
        <f t="shared" si="65"/>
        <v>0</v>
      </c>
      <c r="AE431" s="7">
        <f t="shared" si="66"/>
        <v>20.866666666666667</v>
      </c>
      <c r="AF431" s="8">
        <f t="shared" si="67"/>
        <v>0</v>
      </c>
      <c r="AG431" s="112"/>
    </row>
    <row r="432" spans="2:33" s="113" customFormat="1" ht="61.15">
      <c r="B432" s="117" t="s">
        <v>392</v>
      </c>
      <c r="C432" s="111" t="s">
        <v>373</v>
      </c>
      <c r="D432" s="11">
        <f>SUMIFS('XBS '!T:T,'XBS '!C:C,' General Stock Summary View  '!C432,'XBS '!L:L,' General Stock Summary View  '!B432)</f>
        <v>4.4833333333333334</v>
      </c>
      <c r="E432" s="2">
        <f>SUMIFS('Blocked for Processing'!P:P,'Blocked for Processing'!I:I,' General Stock Summary View  '!B432,'Blocked for Processing'!C:C,' General Stock Summary View  '!C432)</f>
        <v>0</v>
      </c>
      <c r="F432" s="122">
        <f t="shared" ref="F432:F535" si="70">SUM(D432:E432)</f>
        <v>4.4833333333333334</v>
      </c>
      <c r="G432" s="148">
        <f>SUMIFS('XBS '!T:T,'XBS '!H:H,' General Stock Summary View  '!$G$2,'XBS '!L:L,' General Stock Summary View  '!B432,'XBS '!C:C,' General Stock Summary View  '!C432)</f>
        <v>4.4833333333333334</v>
      </c>
      <c r="H432" s="3">
        <f>SUMIFS('PowerApp_Physical count'!H:H,'PowerApp_Physical count'!B:B,' General Stock Summary View  '!$G$2,'PowerApp_Physical count'!C:C,' General Stock Summary View  '!C432,'PowerApp_Physical count'!A:A,' General Stock Summary View  '!B432)</f>
        <v>4.4833333333333334</v>
      </c>
      <c r="I432" s="154">
        <f t="shared" si="69"/>
        <v>0</v>
      </c>
      <c r="J432" s="11">
        <f>SUMIFS('XBS '!T:T,'XBS '!H:H,' General Stock Summary View  '!$J$2,'XBS '!L:L,' General Stock Summary View  '!B432,'XBS '!C:C,' General Stock Summary View  '!C432)</f>
        <v>0</v>
      </c>
      <c r="K432" s="157">
        <f>SUMIFS('PowerApp_Physical count'!H:H,'PowerApp_Physical count'!B:B,' General Stock Summary View  '!$J$2,'PowerApp_Physical count'!C:C,' General Stock Summary View  '!C432,'PowerApp_Physical count'!A:A,' General Stock Summary View  '!B432)</f>
        <v>0</v>
      </c>
      <c r="L432" s="127">
        <f t="shared" ref="L432:L535" si="71">K432-J432</f>
        <v>0</v>
      </c>
      <c r="M432" s="126">
        <f t="shared" ref="M432:M535" si="72">J432+G432+E432</f>
        <v>4.4833333333333334</v>
      </c>
      <c r="N432" s="11">
        <f t="shared" ref="N432:N535" si="73">K432+H432</f>
        <v>4.4833333333333334</v>
      </c>
      <c r="O432" s="144">
        <f t="shared" ref="O432:O535" si="74">N432-M432</f>
        <v>0</v>
      </c>
      <c r="P432" s="2">
        <f>SUMIFS('XBS '!T:T,'XBS '!H:H,' General Stock Summary View  '!$P$2,'XBS '!L:L,' General Stock Summary View  '!B432,'XBS '!C:C,' General Stock Summary View  '!C432)</f>
        <v>0</v>
      </c>
      <c r="Q432" s="3">
        <f>SUMIFS('PowerApp_Physical count'!H:H,'PowerApp_Physical count'!B:B,' General Stock Summary View  '!$P$2,'PowerApp_Physical count'!C:C,' General Stock Summary View  '!C432,'PowerApp_Physical count'!A:A,' General Stock Summary View  '!B432)</f>
        <v>0</v>
      </c>
      <c r="R432" s="4">
        <f t="shared" ref="R432:R535" si="75">Q432-P432</f>
        <v>0</v>
      </c>
      <c r="S432" s="5">
        <f>SUMIFS('XBS '!T:T,'XBS '!L:L,' General Stock Summary View  '!B432,'XBS '!H:H,' General Stock Summary View  '!$S$2,'XBS '!C:C,' General Stock Summary View  '!C432)</f>
        <v>0</v>
      </c>
      <c r="T432" s="3">
        <f>SUMIFS('PowerApp_Physical count'!H:H,'PowerApp_Physical count'!B:B,' General Stock Summary View  '!$S$2,'PowerApp_Physical count'!C:C,' General Stock Summary View  '!C432,'PowerApp_Physical count'!A:A,' General Stock Summary View  '!B432)</f>
        <v>0</v>
      </c>
      <c r="U432" s="4">
        <f t="shared" ref="U432:U535" si="76">T432-S432</f>
        <v>0</v>
      </c>
      <c r="V432" s="2">
        <f>SUMIFS('XBS '!T:T,'XBS '!H:H,' General Stock Summary View  '!$V$2,'XBS '!B:B,' General Stock Summary View  '!C432,'XBS '!L:L,' General Stock Summary View  '!B432)</f>
        <v>0</v>
      </c>
      <c r="W432" s="3">
        <f>SUMIFS('PowerApp_Physical count'!H:H,'PowerApp_Physical count'!B:B,' General Stock Summary View  '!$V$2,'PowerApp_Physical count'!C:C,' General Stock Summary View  '!C432,'PowerApp_Physical count'!A:A,' General Stock Summary View  '!B432)</f>
        <v>0</v>
      </c>
      <c r="X432" s="4">
        <f t="shared" ref="X432:X535" si="77">W432-V432</f>
        <v>0</v>
      </c>
      <c r="Y432" s="5">
        <f>SUMIFS('XBS '!T:T,'XBS '!H:H,' General Stock Summary View  '!$Y$2,'XBS '!B:B,' General Stock Summary View  '!C432,'XBS '!L:L,' General Stock Summary View  '!B432)</f>
        <v>0</v>
      </c>
      <c r="Z432" s="3">
        <f>SUMIFS('PowerApp_Physical count'!H:H,'PowerApp_Physical count'!B:B,' General Stock Summary View  '!$Y$2,'PowerApp_Physical count'!C:C,' General Stock Summary View  '!C432,'PowerApp_Physical count'!A:A,' General Stock Summary View  '!B432)</f>
        <v>0</v>
      </c>
      <c r="AA432" s="4">
        <f t="shared" ref="AA432:AA535" si="78">Z432-Y432</f>
        <v>0</v>
      </c>
      <c r="AB432" s="5">
        <f>SUMIFS('XBS '!T:T,'XBS '!H:H,' General Stock Summary View  '!$AB$2,'XBS '!B:B,' General Stock Summary View  '!C432,'XBS '!L:L,' General Stock Summary View  '!B432)</f>
        <v>0</v>
      </c>
      <c r="AC432" s="3">
        <f>SUMIFS('PowerApp_Physical count'!H:H,'PowerApp_Physical count'!B:B,' General Stock Summary View  '!$AB$2,'PowerApp_Physical count'!C:C,' General Stock Summary View  '!C432,'PowerApp_Physical count'!A:A,' General Stock Summary View  '!B432)</f>
        <v>0</v>
      </c>
      <c r="AD432" s="6">
        <f t="shared" ref="AD432:AD535" si="79">AC432-AB432</f>
        <v>0</v>
      </c>
      <c r="AE432" s="7">
        <f t="shared" ref="AE432:AE535" si="80">SUM(H432,Q432,T432,W432,Z432,AC432+K432)</f>
        <v>4.4833333333333334</v>
      </c>
      <c r="AF432" s="8">
        <f t="shared" ref="AF432:AF535" si="81">AE432-F432</f>
        <v>0</v>
      </c>
      <c r="AG432" s="112"/>
    </row>
    <row r="433" spans="2:33" s="113" customFormat="1" ht="61.15">
      <c r="B433" s="117" t="s">
        <v>287</v>
      </c>
      <c r="C433" s="111" t="s">
        <v>373</v>
      </c>
      <c r="D433" s="11">
        <f>SUMIFS('XBS '!T:T,'XBS '!C:C,' General Stock Summary View  '!C433,'XBS '!L:L,' General Stock Summary View  '!B433)</f>
        <v>13.783333333333333</v>
      </c>
      <c r="E433" s="2">
        <f>SUMIFS('Blocked for Processing'!P:P,'Blocked for Processing'!I:I,' General Stock Summary View  '!B433,'Blocked for Processing'!C:C,' General Stock Summary View  '!C433)</f>
        <v>0</v>
      </c>
      <c r="F433" s="122">
        <f t="shared" si="70"/>
        <v>13.783333333333333</v>
      </c>
      <c r="G433" s="148">
        <f>SUMIFS('XBS '!T:T,'XBS '!H:H,' General Stock Summary View  '!$G$2,'XBS '!L:L,' General Stock Summary View  '!B433,'XBS '!C:C,' General Stock Summary View  '!C433)</f>
        <v>13.783333333333333</v>
      </c>
      <c r="H433" s="3">
        <f>SUMIFS('PowerApp_Physical count'!H:H,'PowerApp_Physical count'!B:B,' General Stock Summary View  '!$G$2,'PowerApp_Physical count'!C:C,' General Stock Summary View  '!C433,'PowerApp_Physical count'!A:A,' General Stock Summary View  '!B433)</f>
        <v>13.783333333333333</v>
      </c>
      <c r="I433" s="154">
        <f t="shared" si="69"/>
        <v>0</v>
      </c>
      <c r="J433" s="11">
        <f>SUMIFS('XBS '!T:T,'XBS '!H:H,' General Stock Summary View  '!$J$2,'XBS '!L:L,' General Stock Summary View  '!B433,'XBS '!C:C,' General Stock Summary View  '!C433)</f>
        <v>0</v>
      </c>
      <c r="K433" s="157">
        <f>SUMIFS('PowerApp_Physical count'!H:H,'PowerApp_Physical count'!B:B,' General Stock Summary View  '!$J$2,'PowerApp_Physical count'!C:C,' General Stock Summary View  '!C433,'PowerApp_Physical count'!A:A,' General Stock Summary View  '!B433)</f>
        <v>0</v>
      </c>
      <c r="L433" s="127">
        <f t="shared" si="71"/>
        <v>0</v>
      </c>
      <c r="M433" s="126">
        <f t="shared" si="72"/>
        <v>13.783333333333333</v>
      </c>
      <c r="N433" s="11">
        <f t="shared" si="73"/>
        <v>13.783333333333333</v>
      </c>
      <c r="O433" s="144">
        <f t="shared" si="74"/>
        <v>0</v>
      </c>
      <c r="P433" s="2">
        <f>SUMIFS('XBS '!T:T,'XBS '!H:H,' General Stock Summary View  '!$P$2,'XBS '!L:L,' General Stock Summary View  '!B433,'XBS '!C:C,' General Stock Summary View  '!C433)</f>
        <v>0</v>
      </c>
      <c r="Q433" s="3">
        <f>SUMIFS('PowerApp_Physical count'!H:H,'PowerApp_Physical count'!B:B,' General Stock Summary View  '!$P$2,'PowerApp_Physical count'!C:C,' General Stock Summary View  '!C433,'PowerApp_Physical count'!A:A,' General Stock Summary View  '!B433)</f>
        <v>0</v>
      </c>
      <c r="R433" s="4">
        <f t="shared" si="75"/>
        <v>0</v>
      </c>
      <c r="S433" s="5">
        <f>SUMIFS('XBS '!T:T,'XBS '!L:L,' General Stock Summary View  '!B433,'XBS '!H:H,' General Stock Summary View  '!$S$2,'XBS '!C:C,' General Stock Summary View  '!C433)</f>
        <v>0</v>
      </c>
      <c r="T433" s="3">
        <f>SUMIFS('PowerApp_Physical count'!H:H,'PowerApp_Physical count'!B:B,' General Stock Summary View  '!$S$2,'PowerApp_Physical count'!C:C,' General Stock Summary View  '!C433,'PowerApp_Physical count'!A:A,' General Stock Summary View  '!B433)</f>
        <v>0</v>
      </c>
      <c r="U433" s="4">
        <f t="shared" si="76"/>
        <v>0</v>
      </c>
      <c r="V433" s="2">
        <f>SUMIFS('XBS '!T:T,'XBS '!H:H,' General Stock Summary View  '!$V$2,'XBS '!B:B,' General Stock Summary View  '!C433,'XBS '!L:L,' General Stock Summary View  '!B433)</f>
        <v>0</v>
      </c>
      <c r="W433" s="3">
        <f>SUMIFS('PowerApp_Physical count'!H:H,'PowerApp_Physical count'!B:B,' General Stock Summary View  '!$V$2,'PowerApp_Physical count'!C:C,' General Stock Summary View  '!C433,'PowerApp_Physical count'!A:A,' General Stock Summary View  '!B433)</f>
        <v>0</v>
      </c>
      <c r="X433" s="4">
        <f t="shared" si="77"/>
        <v>0</v>
      </c>
      <c r="Y433" s="5">
        <f>SUMIFS('XBS '!T:T,'XBS '!H:H,' General Stock Summary View  '!$Y$2,'XBS '!B:B,' General Stock Summary View  '!C433,'XBS '!L:L,' General Stock Summary View  '!B433)</f>
        <v>0</v>
      </c>
      <c r="Z433" s="3">
        <f>SUMIFS('PowerApp_Physical count'!H:H,'PowerApp_Physical count'!B:B,' General Stock Summary View  '!$Y$2,'PowerApp_Physical count'!C:C,' General Stock Summary View  '!C433,'PowerApp_Physical count'!A:A,' General Stock Summary View  '!B433)</f>
        <v>0</v>
      </c>
      <c r="AA433" s="4">
        <f t="shared" si="78"/>
        <v>0</v>
      </c>
      <c r="AB433" s="5">
        <f>SUMIFS('XBS '!T:T,'XBS '!H:H,' General Stock Summary View  '!$AB$2,'XBS '!B:B,' General Stock Summary View  '!C433,'XBS '!L:L,' General Stock Summary View  '!B433)</f>
        <v>0</v>
      </c>
      <c r="AC433" s="3">
        <f>SUMIFS('PowerApp_Physical count'!H:H,'PowerApp_Physical count'!B:B,' General Stock Summary View  '!$AB$2,'PowerApp_Physical count'!C:C,' General Stock Summary View  '!C433,'PowerApp_Physical count'!A:A,' General Stock Summary View  '!B433)</f>
        <v>0</v>
      </c>
      <c r="AD433" s="6">
        <f t="shared" si="79"/>
        <v>0</v>
      </c>
      <c r="AE433" s="7">
        <f t="shared" si="80"/>
        <v>13.783333333333333</v>
      </c>
      <c r="AF433" s="8">
        <f t="shared" si="81"/>
        <v>0</v>
      </c>
      <c r="AG433" s="112"/>
    </row>
    <row r="434" spans="2:33" s="113" customFormat="1" ht="61.15">
      <c r="B434" s="117" t="s">
        <v>294</v>
      </c>
      <c r="C434" s="111" t="s">
        <v>373</v>
      </c>
      <c r="D434" s="11">
        <f>SUMIFS('XBS '!T:T,'XBS '!C:C,' General Stock Summary View  '!C434,'XBS '!L:L,' General Stock Summary View  '!B434)</f>
        <v>10.616666666666667</v>
      </c>
      <c r="E434" s="2">
        <f>SUMIFS('Blocked for Processing'!P:P,'Blocked for Processing'!I:I,' General Stock Summary View  '!B434,'Blocked for Processing'!C:C,' General Stock Summary View  '!C434)</f>
        <v>0</v>
      </c>
      <c r="F434" s="122">
        <f t="shared" si="70"/>
        <v>10.616666666666667</v>
      </c>
      <c r="G434" s="148">
        <f>SUMIFS('XBS '!T:T,'XBS '!H:H,' General Stock Summary View  '!$G$2,'XBS '!L:L,' General Stock Summary View  '!B434,'XBS '!C:C,' General Stock Summary View  '!C434)</f>
        <v>10.616666666666667</v>
      </c>
      <c r="H434" s="3">
        <f>SUMIFS('PowerApp_Physical count'!H:H,'PowerApp_Physical count'!B:B,' General Stock Summary View  '!$G$2,'PowerApp_Physical count'!C:C,' General Stock Summary View  '!C434,'PowerApp_Physical count'!A:A,' General Stock Summary View  '!B434)</f>
        <v>10.616666666666667</v>
      </c>
      <c r="I434" s="154">
        <f t="shared" si="69"/>
        <v>0</v>
      </c>
      <c r="J434" s="11">
        <f>SUMIFS('XBS '!T:T,'XBS '!H:H,' General Stock Summary View  '!$J$2,'XBS '!L:L,' General Stock Summary View  '!B434,'XBS '!C:C,' General Stock Summary View  '!C434)</f>
        <v>0</v>
      </c>
      <c r="K434" s="157">
        <f>SUMIFS('PowerApp_Physical count'!H:H,'PowerApp_Physical count'!B:B,' General Stock Summary View  '!$J$2,'PowerApp_Physical count'!C:C,' General Stock Summary View  '!C434,'PowerApp_Physical count'!A:A,' General Stock Summary View  '!B434)</f>
        <v>0</v>
      </c>
      <c r="L434" s="127">
        <f t="shared" si="71"/>
        <v>0</v>
      </c>
      <c r="M434" s="126">
        <f t="shared" si="72"/>
        <v>10.616666666666667</v>
      </c>
      <c r="N434" s="11">
        <f t="shared" si="73"/>
        <v>10.616666666666667</v>
      </c>
      <c r="O434" s="144">
        <f t="shared" si="74"/>
        <v>0</v>
      </c>
      <c r="P434" s="2">
        <f>SUMIFS('XBS '!T:T,'XBS '!H:H,' General Stock Summary View  '!$P$2,'XBS '!L:L,' General Stock Summary View  '!B434,'XBS '!C:C,' General Stock Summary View  '!C434)</f>
        <v>0</v>
      </c>
      <c r="Q434" s="3">
        <f>SUMIFS('PowerApp_Physical count'!H:H,'PowerApp_Physical count'!B:B,' General Stock Summary View  '!$P$2,'PowerApp_Physical count'!C:C,' General Stock Summary View  '!C434,'PowerApp_Physical count'!A:A,' General Stock Summary View  '!B434)</f>
        <v>0</v>
      </c>
      <c r="R434" s="4">
        <f t="shared" si="75"/>
        <v>0</v>
      </c>
      <c r="S434" s="5">
        <f>SUMIFS('XBS '!T:T,'XBS '!L:L,' General Stock Summary View  '!B434,'XBS '!H:H,' General Stock Summary View  '!$S$2,'XBS '!C:C,' General Stock Summary View  '!C434)</f>
        <v>0</v>
      </c>
      <c r="T434" s="3">
        <f>SUMIFS('PowerApp_Physical count'!H:H,'PowerApp_Physical count'!B:B,' General Stock Summary View  '!$S$2,'PowerApp_Physical count'!C:C,' General Stock Summary View  '!C434,'PowerApp_Physical count'!A:A,' General Stock Summary View  '!B434)</f>
        <v>0</v>
      </c>
      <c r="U434" s="4">
        <f t="shared" si="76"/>
        <v>0</v>
      </c>
      <c r="V434" s="2">
        <f>SUMIFS('XBS '!T:T,'XBS '!H:H,' General Stock Summary View  '!$V$2,'XBS '!B:B,' General Stock Summary View  '!C434,'XBS '!L:L,' General Stock Summary View  '!B434)</f>
        <v>0</v>
      </c>
      <c r="W434" s="3">
        <f>SUMIFS('PowerApp_Physical count'!H:H,'PowerApp_Physical count'!B:B,' General Stock Summary View  '!$V$2,'PowerApp_Physical count'!C:C,' General Stock Summary View  '!C434,'PowerApp_Physical count'!A:A,' General Stock Summary View  '!B434)</f>
        <v>0</v>
      </c>
      <c r="X434" s="4">
        <f t="shared" si="77"/>
        <v>0</v>
      </c>
      <c r="Y434" s="5">
        <f>SUMIFS('XBS '!T:T,'XBS '!H:H,' General Stock Summary View  '!$Y$2,'XBS '!B:B,' General Stock Summary View  '!C434,'XBS '!L:L,' General Stock Summary View  '!B434)</f>
        <v>0</v>
      </c>
      <c r="Z434" s="3">
        <f>SUMIFS('PowerApp_Physical count'!H:H,'PowerApp_Physical count'!B:B,' General Stock Summary View  '!$Y$2,'PowerApp_Physical count'!C:C,' General Stock Summary View  '!C434,'PowerApp_Physical count'!A:A,' General Stock Summary View  '!B434)</f>
        <v>0</v>
      </c>
      <c r="AA434" s="4">
        <f t="shared" si="78"/>
        <v>0</v>
      </c>
      <c r="AB434" s="5">
        <f>SUMIFS('XBS '!T:T,'XBS '!H:H,' General Stock Summary View  '!$AB$2,'XBS '!B:B,' General Stock Summary View  '!C434,'XBS '!L:L,' General Stock Summary View  '!B434)</f>
        <v>0</v>
      </c>
      <c r="AC434" s="3">
        <f>SUMIFS('PowerApp_Physical count'!H:H,'PowerApp_Physical count'!B:B,' General Stock Summary View  '!$AB$2,'PowerApp_Physical count'!C:C,' General Stock Summary View  '!C434,'PowerApp_Physical count'!A:A,' General Stock Summary View  '!B434)</f>
        <v>0</v>
      </c>
      <c r="AD434" s="6">
        <f t="shared" si="79"/>
        <v>0</v>
      </c>
      <c r="AE434" s="7">
        <f t="shared" si="80"/>
        <v>10.616666666666667</v>
      </c>
      <c r="AF434" s="8">
        <f t="shared" si="81"/>
        <v>0</v>
      </c>
      <c r="AG434" s="112"/>
    </row>
    <row r="435" spans="2:33" s="113" customFormat="1" ht="61.15">
      <c r="B435" s="117" t="s">
        <v>293</v>
      </c>
      <c r="C435" s="111" t="s">
        <v>373</v>
      </c>
      <c r="D435" s="11">
        <f>SUMIFS('XBS '!T:T,'XBS '!C:C,' General Stock Summary View  '!C435,'XBS '!L:L,' General Stock Summary View  '!B435)</f>
        <v>20.283333333333335</v>
      </c>
      <c r="E435" s="2">
        <f>SUMIFS('Blocked for Processing'!P:P,'Blocked for Processing'!I:I,' General Stock Summary View  '!B435,'Blocked for Processing'!C:C,' General Stock Summary View  '!C435)</f>
        <v>0</v>
      </c>
      <c r="F435" s="122">
        <f t="shared" si="70"/>
        <v>20.283333333333335</v>
      </c>
      <c r="G435" s="148">
        <f>SUMIFS('XBS '!T:T,'XBS '!H:H,' General Stock Summary View  '!$G$2,'XBS '!L:L,' General Stock Summary View  '!B435,'XBS '!C:C,' General Stock Summary View  '!C435)</f>
        <v>20.283333333333335</v>
      </c>
      <c r="H435" s="3">
        <f>SUMIFS('PowerApp_Physical count'!H:H,'PowerApp_Physical count'!B:B,' General Stock Summary View  '!$G$2,'PowerApp_Physical count'!C:C,' General Stock Summary View  '!C435,'PowerApp_Physical count'!A:A,' General Stock Summary View  '!B435)</f>
        <v>20.283333333333335</v>
      </c>
      <c r="I435" s="154">
        <f t="shared" si="69"/>
        <v>0</v>
      </c>
      <c r="J435" s="11">
        <f>SUMIFS('XBS '!T:T,'XBS '!H:H,' General Stock Summary View  '!$J$2,'XBS '!L:L,' General Stock Summary View  '!B435,'XBS '!C:C,' General Stock Summary View  '!C435)</f>
        <v>0</v>
      </c>
      <c r="K435" s="157">
        <f>SUMIFS('PowerApp_Physical count'!H:H,'PowerApp_Physical count'!B:B,' General Stock Summary View  '!$J$2,'PowerApp_Physical count'!C:C,' General Stock Summary View  '!C435,'PowerApp_Physical count'!A:A,' General Stock Summary View  '!B435)</f>
        <v>0</v>
      </c>
      <c r="L435" s="127">
        <f t="shared" si="71"/>
        <v>0</v>
      </c>
      <c r="M435" s="126">
        <f t="shared" si="72"/>
        <v>20.283333333333335</v>
      </c>
      <c r="N435" s="11">
        <f t="shared" si="73"/>
        <v>20.283333333333335</v>
      </c>
      <c r="O435" s="144">
        <f t="shared" si="74"/>
        <v>0</v>
      </c>
      <c r="P435" s="2">
        <f>SUMIFS('XBS '!T:T,'XBS '!H:H,' General Stock Summary View  '!$P$2,'XBS '!L:L,' General Stock Summary View  '!B435,'XBS '!C:C,' General Stock Summary View  '!C435)</f>
        <v>0</v>
      </c>
      <c r="Q435" s="3">
        <f>SUMIFS('PowerApp_Physical count'!H:H,'PowerApp_Physical count'!B:B,' General Stock Summary View  '!$P$2,'PowerApp_Physical count'!C:C,' General Stock Summary View  '!C435,'PowerApp_Physical count'!A:A,' General Stock Summary View  '!B435)</f>
        <v>0</v>
      </c>
      <c r="R435" s="4">
        <f t="shared" si="75"/>
        <v>0</v>
      </c>
      <c r="S435" s="5">
        <f>SUMIFS('XBS '!T:T,'XBS '!L:L,' General Stock Summary View  '!B435,'XBS '!H:H,' General Stock Summary View  '!$S$2,'XBS '!C:C,' General Stock Summary View  '!C435)</f>
        <v>0</v>
      </c>
      <c r="T435" s="3">
        <f>SUMIFS('PowerApp_Physical count'!H:H,'PowerApp_Physical count'!B:B,' General Stock Summary View  '!$S$2,'PowerApp_Physical count'!C:C,' General Stock Summary View  '!C435,'PowerApp_Physical count'!A:A,' General Stock Summary View  '!B435)</f>
        <v>0</v>
      </c>
      <c r="U435" s="4">
        <f t="shared" si="76"/>
        <v>0</v>
      </c>
      <c r="V435" s="2">
        <f>SUMIFS('XBS '!T:T,'XBS '!H:H,' General Stock Summary View  '!$V$2,'XBS '!B:B,' General Stock Summary View  '!C435,'XBS '!L:L,' General Stock Summary View  '!B435)</f>
        <v>0</v>
      </c>
      <c r="W435" s="3">
        <f>SUMIFS('PowerApp_Physical count'!H:H,'PowerApp_Physical count'!B:B,' General Stock Summary View  '!$V$2,'PowerApp_Physical count'!C:C,' General Stock Summary View  '!C435,'PowerApp_Physical count'!A:A,' General Stock Summary View  '!B435)</f>
        <v>0</v>
      </c>
      <c r="X435" s="4">
        <f t="shared" si="77"/>
        <v>0</v>
      </c>
      <c r="Y435" s="5">
        <f>SUMIFS('XBS '!T:T,'XBS '!H:H,' General Stock Summary View  '!$Y$2,'XBS '!B:B,' General Stock Summary View  '!C435,'XBS '!L:L,' General Stock Summary View  '!B435)</f>
        <v>0</v>
      </c>
      <c r="Z435" s="3">
        <f>SUMIFS('PowerApp_Physical count'!H:H,'PowerApp_Physical count'!B:B,' General Stock Summary View  '!$Y$2,'PowerApp_Physical count'!C:C,' General Stock Summary View  '!C435,'PowerApp_Physical count'!A:A,' General Stock Summary View  '!B435)</f>
        <v>0</v>
      </c>
      <c r="AA435" s="4">
        <f t="shared" si="78"/>
        <v>0</v>
      </c>
      <c r="AB435" s="5">
        <f>SUMIFS('XBS '!T:T,'XBS '!H:H,' General Stock Summary View  '!$AB$2,'XBS '!B:B,' General Stock Summary View  '!C435,'XBS '!L:L,' General Stock Summary View  '!B435)</f>
        <v>0</v>
      </c>
      <c r="AC435" s="3">
        <f>SUMIFS('PowerApp_Physical count'!H:H,'PowerApp_Physical count'!B:B,' General Stock Summary View  '!$AB$2,'PowerApp_Physical count'!C:C,' General Stock Summary View  '!C435,'PowerApp_Physical count'!A:A,' General Stock Summary View  '!B435)</f>
        <v>0</v>
      </c>
      <c r="AD435" s="6">
        <f t="shared" si="79"/>
        <v>0</v>
      </c>
      <c r="AE435" s="7">
        <f t="shared" si="80"/>
        <v>20.283333333333335</v>
      </c>
      <c r="AF435" s="8">
        <f t="shared" si="81"/>
        <v>0</v>
      </c>
      <c r="AG435" s="112"/>
    </row>
    <row r="436" spans="2:33" s="113" customFormat="1" ht="61.15">
      <c r="B436" s="117" t="s">
        <v>393</v>
      </c>
      <c r="C436" s="111" t="s">
        <v>394</v>
      </c>
      <c r="D436" s="11">
        <f>SUMIFS('XBS '!T:T,'XBS '!C:C,' General Stock Summary View  '!C436,'XBS '!L:L,' General Stock Summary View  '!B436)</f>
        <v>38.931666666666665</v>
      </c>
      <c r="E436" s="2">
        <f>SUMIFS('Blocked for Processing'!P:P,'Blocked for Processing'!I:I,' General Stock Summary View  '!B436,'Blocked for Processing'!C:C,' General Stock Summary View  '!C436)</f>
        <v>0</v>
      </c>
      <c r="F436" s="122">
        <f t="shared" si="70"/>
        <v>38.931666666666665</v>
      </c>
      <c r="G436" s="148">
        <f>SUMIFS('XBS '!T:T,'XBS '!H:H,' General Stock Summary View  '!$G$2,'XBS '!L:L,' General Stock Summary View  '!B436,'XBS '!C:C,' General Stock Summary View  '!C436)</f>
        <v>38.931666666666665</v>
      </c>
      <c r="H436" s="3">
        <f>SUMIFS('PowerApp_Physical count'!H:H,'PowerApp_Physical count'!B:B,' General Stock Summary View  '!$G$2,'PowerApp_Physical count'!C:C,' General Stock Summary View  '!C436,'PowerApp_Physical count'!A:A,' General Stock Summary View  '!B436)</f>
        <v>38.866666666666667</v>
      </c>
      <c r="I436" s="154">
        <f t="shared" si="69"/>
        <v>-6.4999999999997726E-2</v>
      </c>
      <c r="J436" s="11">
        <f>SUMIFS('XBS '!T:T,'XBS '!H:H,' General Stock Summary View  '!$J$2,'XBS '!L:L,' General Stock Summary View  '!B436,'XBS '!C:C,' General Stock Summary View  '!C436)</f>
        <v>0</v>
      </c>
      <c r="K436" s="157">
        <f>SUMIFS('PowerApp_Physical count'!H:H,'PowerApp_Physical count'!B:B,' General Stock Summary View  '!$J$2,'PowerApp_Physical count'!C:C,' General Stock Summary View  '!C436,'PowerApp_Physical count'!A:A,' General Stock Summary View  '!B436)</f>
        <v>0</v>
      </c>
      <c r="L436" s="127">
        <f t="shared" si="71"/>
        <v>0</v>
      </c>
      <c r="M436" s="126">
        <f t="shared" si="72"/>
        <v>38.931666666666665</v>
      </c>
      <c r="N436" s="11">
        <f t="shared" si="73"/>
        <v>38.866666666666667</v>
      </c>
      <c r="O436" s="144">
        <f t="shared" si="74"/>
        <v>-6.4999999999997726E-2</v>
      </c>
      <c r="P436" s="2">
        <f>SUMIFS('XBS '!T:T,'XBS '!H:H,' General Stock Summary View  '!$P$2,'XBS '!L:L,' General Stock Summary View  '!B436,'XBS '!C:C,' General Stock Summary View  '!C436)</f>
        <v>0</v>
      </c>
      <c r="Q436" s="3">
        <f>SUMIFS('PowerApp_Physical count'!H:H,'PowerApp_Physical count'!B:B,' General Stock Summary View  '!$P$2,'PowerApp_Physical count'!C:C,' General Stock Summary View  '!C436,'PowerApp_Physical count'!A:A,' General Stock Summary View  '!B436)</f>
        <v>0</v>
      </c>
      <c r="R436" s="4">
        <f t="shared" si="75"/>
        <v>0</v>
      </c>
      <c r="S436" s="5">
        <f>SUMIFS('XBS '!T:T,'XBS '!L:L,' General Stock Summary View  '!B436,'XBS '!H:H,' General Stock Summary View  '!$S$2,'XBS '!C:C,' General Stock Summary View  '!C436)</f>
        <v>0</v>
      </c>
      <c r="T436" s="3">
        <f>SUMIFS('PowerApp_Physical count'!H:H,'PowerApp_Physical count'!B:B,' General Stock Summary View  '!$S$2,'PowerApp_Physical count'!C:C,' General Stock Summary View  '!C436,'PowerApp_Physical count'!A:A,' General Stock Summary View  '!B436)</f>
        <v>0</v>
      </c>
      <c r="U436" s="4">
        <f t="shared" si="76"/>
        <v>0</v>
      </c>
      <c r="V436" s="2">
        <f>SUMIFS('XBS '!T:T,'XBS '!H:H,' General Stock Summary View  '!$V$2,'XBS '!B:B,' General Stock Summary View  '!C436,'XBS '!L:L,' General Stock Summary View  '!B436)</f>
        <v>0</v>
      </c>
      <c r="W436" s="3">
        <f>SUMIFS('PowerApp_Physical count'!H:H,'PowerApp_Physical count'!B:B,' General Stock Summary View  '!$V$2,'PowerApp_Physical count'!C:C,' General Stock Summary View  '!C436,'PowerApp_Physical count'!A:A,' General Stock Summary View  '!B436)</f>
        <v>0</v>
      </c>
      <c r="X436" s="4">
        <f t="shared" si="77"/>
        <v>0</v>
      </c>
      <c r="Y436" s="5">
        <f>SUMIFS('XBS '!T:T,'XBS '!H:H,' General Stock Summary View  '!$Y$2,'XBS '!B:B,' General Stock Summary View  '!C436,'XBS '!L:L,' General Stock Summary View  '!B436)</f>
        <v>0</v>
      </c>
      <c r="Z436" s="3">
        <f>SUMIFS('PowerApp_Physical count'!H:H,'PowerApp_Physical count'!B:B,' General Stock Summary View  '!$Y$2,'PowerApp_Physical count'!C:C,' General Stock Summary View  '!C436,'PowerApp_Physical count'!A:A,' General Stock Summary View  '!B436)</f>
        <v>0</v>
      </c>
      <c r="AA436" s="4">
        <f t="shared" si="78"/>
        <v>0</v>
      </c>
      <c r="AB436" s="5">
        <f>SUMIFS('XBS '!T:T,'XBS '!H:H,' General Stock Summary View  '!$AB$2,'XBS '!B:B,' General Stock Summary View  '!C436,'XBS '!L:L,' General Stock Summary View  '!B436)</f>
        <v>0</v>
      </c>
      <c r="AC436" s="3">
        <f>SUMIFS('PowerApp_Physical count'!H:H,'PowerApp_Physical count'!B:B,' General Stock Summary View  '!$AB$2,'PowerApp_Physical count'!C:C,' General Stock Summary View  '!C436,'PowerApp_Physical count'!A:A,' General Stock Summary View  '!B436)</f>
        <v>0</v>
      </c>
      <c r="AD436" s="6">
        <f t="shared" si="79"/>
        <v>0</v>
      </c>
      <c r="AE436" s="7">
        <f t="shared" si="80"/>
        <v>38.866666666666667</v>
      </c>
      <c r="AF436" s="8">
        <f t="shared" si="81"/>
        <v>-6.4999999999997726E-2</v>
      </c>
      <c r="AG436" s="112"/>
    </row>
    <row r="437" spans="2:33" s="113" customFormat="1" ht="61.15">
      <c r="B437" s="117" t="s">
        <v>395</v>
      </c>
      <c r="C437" s="111" t="s">
        <v>394</v>
      </c>
      <c r="D437" s="11">
        <f>SUMIFS('XBS '!T:T,'XBS '!C:C,' General Stock Summary View  '!C437,'XBS '!L:L,' General Stock Summary View  '!B437)</f>
        <v>5.4766666666666675</v>
      </c>
      <c r="E437" s="2">
        <f>SUMIFS('Blocked for Processing'!P:P,'Blocked for Processing'!I:I,' General Stock Summary View  '!B437,'Blocked for Processing'!C:C,' General Stock Summary View  '!C437)</f>
        <v>0</v>
      </c>
      <c r="F437" s="122">
        <f t="shared" si="70"/>
        <v>5.4766666666666675</v>
      </c>
      <c r="G437" s="148">
        <f>SUMIFS('XBS '!T:T,'XBS '!H:H,' General Stock Summary View  '!$G$2,'XBS '!L:L,' General Stock Summary View  '!B437,'XBS '!C:C,' General Stock Summary View  '!C437)</f>
        <v>5.4766666666666675</v>
      </c>
      <c r="H437" s="3">
        <f>SUMIFS('PowerApp_Physical count'!H:H,'PowerApp_Physical count'!B:B,' General Stock Summary View  '!$G$2,'PowerApp_Physical count'!C:C,' General Stock Summary View  '!C437,'PowerApp_Physical count'!A:A,' General Stock Summary View  '!B437)</f>
        <v>4.6166666666666663</v>
      </c>
      <c r="I437" s="154">
        <f t="shared" si="69"/>
        <v>-0.86000000000000121</v>
      </c>
      <c r="J437" s="11">
        <f>SUMIFS('XBS '!T:T,'XBS '!H:H,' General Stock Summary View  '!$J$2,'XBS '!L:L,' General Stock Summary View  '!B437,'XBS '!C:C,' General Stock Summary View  '!C437)</f>
        <v>0</v>
      </c>
      <c r="K437" s="157">
        <f>SUMIFS('PowerApp_Physical count'!H:H,'PowerApp_Physical count'!B:B,' General Stock Summary View  '!$J$2,'PowerApp_Physical count'!C:C,' General Stock Summary View  '!C437,'PowerApp_Physical count'!A:A,' General Stock Summary View  '!B437)</f>
        <v>0</v>
      </c>
      <c r="L437" s="127">
        <f t="shared" si="71"/>
        <v>0</v>
      </c>
      <c r="M437" s="126">
        <f t="shared" si="72"/>
        <v>5.4766666666666675</v>
      </c>
      <c r="N437" s="11">
        <f t="shared" si="73"/>
        <v>4.6166666666666663</v>
      </c>
      <c r="O437" s="144">
        <f t="shared" si="74"/>
        <v>-0.86000000000000121</v>
      </c>
      <c r="P437" s="2">
        <f>SUMIFS('XBS '!T:T,'XBS '!H:H,' General Stock Summary View  '!$P$2,'XBS '!L:L,' General Stock Summary View  '!B437,'XBS '!C:C,' General Stock Summary View  '!C437)</f>
        <v>0</v>
      </c>
      <c r="Q437" s="3">
        <f>SUMIFS('PowerApp_Physical count'!H:H,'PowerApp_Physical count'!B:B,' General Stock Summary View  '!$P$2,'PowerApp_Physical count'!C:C,' General Stock Summary View  '!C437,'PowerApp_Physical count'!A:A,' General Stock Summary View  '!B437)</f>
        <v>0</v>
      </c>
      <c r="R437" s="4">
        <f t="shared" si="75"/>
        <v>0</v>
      </c>
      <c r="S437" s="5">
        <f>SUMIFS('XBS '!T:T,'XBS '!L:L,' General Stock Summary View  '!B437,'XBS '!H:H,' General Stock Summary View  '!$S$2,'XBS '!C:C,' General Stock Summary View  '!C437)</f>
        <v>0</v>
      </c>
      <c r="T437" s="3">
        <f>SUMIFS('PowerApp_Physical count'!H:H,'PowerApp_Physical count'!B:B,' General Stock Summary View  '!$S$2,'PowerApp_Physical count'!C:C,' General Stock Summary View  '!C437,'PowerApp_Physical count'!A:A,' General Stock Summary View  '!B437)</f>
        <v>0</v>
      </c>
      <c r="U437" s="4">
        <f t="shared" si="76"/>
        <v>0</v>
      </c>
      <c r="V437" s="2">
        <f>SUMIFS('XBS '!T:T,'XBS '!H:H,' General Stock Summary View  '!$V$2,'XBS '!B:B,' General Stock Summary View  '!C437,'XBS '!L:L,' General Stock Summary View  '!B437)</f>
        <v>0</v>
      </c>
      <c r="W437" s="3">
        <f>SUMIFS('PowerApp_Physical count'!H:H,'PowerApp_Physical count'!B:B,' General Stock Summary View  '!$V$2,'PowerApp_Physical count'!C:C,' General Stock Summary View  '!C437,'PowerApp_Physical count'!A:A,' General Stock Summary View  '!B437)</f>
        <v>0</v>
      </c>
      <c r="X437" s="4">
        <f t="shared" si="77"/>
        <v>0</v>
      </c>
      <c r="Y437" s="5">
        <f>SUMIFS('XBS '!T:T,'XBS '!H:H,' General Stock Summary View  '!$Y$2,'XBS '!B:B,' General Stock Summary View  '!C437,'XBS '!L:L,' General Stock Summary View  '!B437)</f>
        <v>0</v>
      </c>
      <c r="Z437" s="3">
        <f>SUMIFS('PowerApp_Physical count'!H:H,'PowerApp_Physical count'!B:B,' General Stock Summary View  '!$Y$2,'PowerApp_Physical count'!C:C,' General Stock Summary View  '!C437,'PowerApp_Physical count'!A:A,' General Stock Summary View  '!B437)</f>
        <v>0</v>
      </c>
      <c r="AA437" s="4">
        <f t="shared" si="78"/>
        <v>0</v>
      </c>
      <c r="AB437" s="5">
        <f>SUMIFS('XBS '!T:T,'XBS '!H:H,' General Stock Summary View  '!$AB$2,'XBS '!B:B,' General Stock Summary View  '!C437,'XBS '!L:L,' General Stock Summary View  '!B437)</f>
        <v>0</v>
      </c>
      <c r="AC437" s="3">
        <f>SUMIFS('PowerApp_Physical count'!H:H,'PowerApp_Physical count'!B:B,' General Stock Summary View  '!$AB$2,'PowerApp_Physical count'!C:C,' General Stock Summary View  '!C437,'PowerApp_Physical count'!A:A,' General Stock Summary View  '!B437)</f>
        <v>0</v>
      </c>
      <c r="AD437" s="6">
        <f t="shared" si="79"/>
        <v>0</v>
      </c>
      <c r="AE437" s="7">
        <f t="shared" si="80"/>
        <v>4.6166666666666663</v>
      </c>
      <c r="AF437" s="8">
        <f t="shared" si="81"/>
        <v>-0.86000000000000121</v>
      </c>
      <c r="AG437" s="112"/>
    </row>
    <row r="438" spans="2:33" s="113" customFormat="1" ht="61.15">
      <c r="B438" s="117" t="s">
        <v>396</v>
      </c>
      <c r="C438" s="111" t="s">
        <v>394</v>
      </c>
      <c r="D438" s="11">
        <f>SUMIFS('XBS '!T:T,'XBS '!C:C,' General Stock Summary View  '!C438,'XBS '!L:L,' General Stock Summary View  '!B438)</f>
        <v>4.8666666666666663</v>
      </c>
      <c r="E438" s="2">
        <f>SUMIFS('Blocked for Processing'!P:P,'Blocked for Processing'!I:I,' General Stock Summary View  '!B438,'Blocked for Processing'!C:C,' General Stock Summary View  '!C438)</f>
        <v>0</v>
      </c>
      <c r="F438" s="122">
        <f t="shared" si="70"/>
        <v>4.8666666666666663</v>
      </c>
      <c r="G438" s="148">
        <f>SUMIFS('XBS '!T:T,'XBS '!H:H,' General Stock Summary View  '!$G$2,'XBS '!L:L,' General Stock Summary View  '!B438,'XBS '!C:C,' General Stock Summary View  '!C438)</f>
        <v>0</v>
      </c>
      <c r="H438" s="3">
        <f>SUMIFS('PowerApp_Physical count'!H:H,'PowerApp_Physical count'!B:B,' General Stock Summary View  '!$G$2,'PowerApp_Physical count'!C:C,' General Stock Summary View  '!C438,'PowerApp_Physical count'!A:A,' General Stock Summary View  '!B438)</f>
        <v>0</v>
      </c>
      <c r="I438" s="154">
        <f t="shared" si="69"/>
        <v>0</v>
      </c>
      <c r="J438" s="11">
        <f>SUMIFS('XBS '!T:T,'XBS '!H:H,' General Stock Summary View  '!$J$2,'XBS '!L:L,' General Stock Summary View  '!B438,'XBS '!C:C,' General Stock Summary View  '!C438)</f>
        <v>0</v>
      </c>
      <c r="K438" s="157">
        <f>SUMIFS('PowerApp_Physical count'!H:H,'PowerApp_Physical count'!B:B,' General Stock Summary View  '!$J$2,'PowerApp_Physical count'!C:C,' General Stock Summary View  '!C438,'PowerApp_Physical count'!A:A,' General Stock Summary View  '!B438)</f>
        <v>0</v>
      </c>
      <c r="L438" s="127">
        <f t="shared" si="71"/>
        <v>0</v>
      </c>
      <c r="M438" s="126">
        <f t="shared" si="72"/>
        <v>0</v>
      </c>
      <c r="N438" s="11">
        <f t="shared" si="73"/>
        <v>0</v>
      </c>
      <c r="O438" s="144">
        <f t="shared" si="74"/>
        <v>0</v>
      </c>
      <c r="P438" s="2">
        <f>SUMIFS('XBS '!T:T,'XBS '!H:H,' General Stock Summary View  '!$P$2,'XBS '!L:L,' General Stock Summary View  '!B438,'XBS '!C:C,' General Stock Summary View  '!C438)</f>
        <v>4.8666666666666663</v>
      </c>
      <c r="Q438" s="3">
        <f>SUMIFS('PowerApp_Physical count'!H:H,'PowerApp_Physical count'!B:B,' General Stock Summary View  '!$P$2,'PowerApp_Physical count'!C:C,' General Stock Summary View  '!C438,'PowerApp_Physical count'!A:A,' General Stock Summary View  '!B438)</f>
        <v>0</v>
      </c>
      <c r="R438" s="4">
        <f t="shared" si="75"/>
        <v>-4.8666666666666663</v>
      </c>
      <c r="S438" s="5">
        <f>SUMIFS('XBS '!T:T,'XBS '!L:L,' General Stock Summary View  '!B438,'XBS '!H:H,' General Stock Summary View  '!$S$2,'XBS '!C:C,' General Stock Summary View  '!C438)</f>
        <v>0</v>
      </c>
      <c r="T438" s="3">
        <f>SUMIFS('PowerApp_Physical count'!H:H,'PowerApp_Physical count'!B:B,' General Stock Summary View  '!$S$2,'PowerApp_Physical count'!C:C,' General Stock Summary View  '!C438,'PowerApp_Physical count'!A:A,' General Stock Summary View  '!B438)</f>
        <v>0</v>
      </c>
      <c r="U438" s="4">
        <f t="shared" si="76"/>
        <v>0</v>
      </c>
      <c r="V438" s="2">
        <f>SUMIFS('XBS '!T:T,'XBS '!H:H,' General Stock Summary View  '!$V$2,'XBS '!B:B,' General Stock Summary View  '!C438,'XBS '!L:L,' General Stock Summary View  '!B438)</f>
        <v>0</v>
      </c>
      <c r="W438" s="3">
        <f>SUMIFS('PowerApp_Physical count'!H:H,'PowerApp_Physical count'!B:B,' General Stock Summary View  '!$V$2,'PowerApp_Physical count'!C:C,' General Stock Summary View  '!C438,'PowerApp_Physical count'!A:A,' General Stock Summary View  '!B438)</f>
        <v>0</v>
      </c>
      <c r="X438" s="4">
        <f t="shared" si="77"/>
        <v>0</v>
      </c>
      <c r="Y438" s="5">
        <f>SUMIFS('XBS '!T:T,'XBS '!H:H,' General Stock Summary View  '!$Y$2,'XBS '!B:B,' General Stock Summary View  '!C438,'XBS '!L:L,' General Stock Summary View  '!B438)</f>
        <v>0</v>
      </c>
      <c r="Z438" s="3">
        <f>SUMIFS('PowerApp_Physical count'!H:H,'PowerApp_Physical count'!B:B,' General Stock Summary View  '!$Y$2,'PowerApp_Physical count'!C:C,' General Stock Summary View  '!C438,'PowerApp_Physical count'!A:A,' General Stock Summary View  '!B438)</f>
        <v>0</v>
      </c>
      <c r="AA438" s="4">
        <f t="shared" si="78"/>
        <v>0</v>
      </c>
      <c r="AB438" s="5">
        <f>SUMIFS('XBS '!T:T,'XBS '!H:H,' General Stock Summary View  '!$AB$2,'XBS '!B:B,' General Stock Summary View  '!C438,'XBS '!L:L,' General Stock Summary View  '!B438)</f>
        <v>0</v>
      </c>
      <c r="AC438" s="3">
        <f>SUMIFS('PowerApp_Physical count'!H:H,'PowerApp_Physical count'!B:B,' General Stock Summary View  '!$AB$2,'PowerApp_Physical count'!C:C,' General Stock Summary View  '!C438,'PowerApp_Physical count'!A:A,' General Stock Summary View  '!B438)</f>
        <v>0</v>
      </c>
      <c r="AD438" s="6">
        <f t="shared" si="79"/>
        <v>0</v>
      </c>
      <c r="AE438" s="7">
        <f t="shared" si="80"/>
        <v>0</v>
      </c>
      <c r="AF438" s="8">
        <f t="shared" si="81"/>
        <v>-4.8666666666666663</v>
      </c>
      <c r="AG438" s="112"/>
    </row>
    <row r="439" spans="2:33" s="113" customFormat="1" ht="61.15">
      <c r="B439" s="117" t="s">
        <v>397</v>
      </c>
      <c r="C439" s="111" t="s">
        <v>394</v>
      </c>
      <c r="D439" s="11">
        <f>SUMIFS('XBS '!T:T,'XBS '!C:C,' General Stock Summary View  '!C439,'XBS '!L:L,' General Stock Summary View  '!B439)</f>
        <v>8.8000000000000007</v>
      </c>
      <c r="E439" s="2">
        <f>SUMIFS('Blocked for Processing'!P:P,'Blocked for Processing'!I:I,' General Stock Summary View  '!B439,'Blocked for Processing'!C:C,' General Stock Summary View  '!C439)</f>
        <v>0</v>
      </c>
      <c r="F439" s="122">
        <f t="shared" si="70"/>
        <v>8.8000000000000007</v>
      </c>
      <c r="G439" s="148">
        <f>SUMIFS('XBS '!T:T,'XBS '!H:H,' General Stock Summary View  '!$G$2,'XBS '!L:L,' General Stock Summary View  '!B439,'XBS '!C:C,' General Stock Summary View  '!C439)</f>
        <v>0</v>
      </c>
      <c r="H439" s="3">
        <f>SUMIFS('PowerApp_Physical count'!H:H,'PowerApp_Physical count'!B:B,' General Stock Summary View  '!$G$2,'PowerApp_Physical count'!C:C,' General Stock Summary View  '!C439,'PowerApp_Physical count'!A:A,' General Stock Summary View  '!B439)</f>
        <v>0</v>
      </c>
      <c r="I439" s="154">
        <f t="shared" si="69"/>
        <v>0</v>
      </c>
      <c r="J439" s="11">
        <f>SUMIFS('XBS '!T:T,'XBS '!H:H,' General Stock Summary View  '!$J$2,'XBS '!L:L,' General Stock Summary View  '!B439,'XBS '!C:C,' General Stock Summary View  '!C439)</f>
        <v>0</v>
      </c>
      <c r="K439" s="157">
        <f>SUMIFS('PowerApp_Physical count'!H:H,'PowerApp_Physical count'!B:B,' General Stock Summary View  '!$J$2,'PowerApp_Physical count'!C:C,' General Stock Summary View  '!C439,'PowerApp_Physical count'!A:A,' General Stock Summary View  '!B439)</f>
        <v>0</v>
      </c>
      <c r="L439" s="127">
        <f t="shared" si="71"/>
        <v>0</v>
      </c>
      <c r="M439" s="126">
        <f t="shared" si="72"/>
        <v>0</v>
      </c>
      <c r="N439" s="11">
        <f t="shared" si="73"/>
        <v>0</v>
      </c>
      <c r="O439" s="144">
        <f t="shared" si="74"/>
        <v>0</v>
      </c>
      <c r="P439" s="2">
        <f>SUMIFS('XBS '!T:T,'XBS '!H:H,' General Stock Summary View  '!$P$2,'XBS '!L:L,' General Stock Summary View  '!B439,'XBS '!C:C,' General Stock Summary View  '!C439)</f>
        <v>8.8000000000000007</v>
      </c>
      <c r="Q439" s="3">
        <f>SUMIFS('PowerApp_Physical count'!H:H,'PowerApp_Physical count'!B:B,' General Stock Summary View  '!$P$2,'PowerApp_Physical count'!C:C,' General Stock Summary View  '!C439,'PowerApp_Physical count'!A:A,' General Stock Summary View  '!B439)</f>
        <v>0</v>
      </c>
      <c r="R439" s="4">
        <f t="shared" si="75"/>
        <v>-8.8000000000000007</v>
      </c>
      <c r="S439" s="5">
        <f>SUMIFS('XBS '!T:T,'XBS '!L:L,' General Stock Summary View  '!B439,'XBS '!H:H,' General Stock Summary View  '!$S$2,'XBS '!C:C,' General Stock Summary View  '!C439)</f>
        <v>0</v>
      </c>
      <c r="T439" s="3">
        <f>SUMIFS('PowerApp_Physical count'!H:H,'PowerApp_Physical count'!B:B,' General Stock Summary View  '!$S$2,'PowerApp_Physical count'!C:C,' General Stock Summary View  '!C439,'PowerApp_Physical count'!A:A,' General Stock Summary View  '!B439)</f>
        <v>0</v>
      </c>
      <c r="U439" s="4">
        <f t="shared" si="76"/>
        <v>0</v>
      </c>
      <c r="V439" s="2">
        <f>SUMIFS('XBS '!T:T,'XBS '!H:H,' General Stock Summary View  '!$V$2,'XBS '!B:B,' General Stock Summary View  '!C439,'XBS '!L:L,' General Stock Summary View  '!B439)</f>
        <v>0</v>
      </c>
      <c r="W439" s="3">
        <f>SUMIFS('PowerApp_Physical count'!H:H,'PowerApp_Physical count'!B:B,' General Stock Summary View  '!$V$2,'PowerApp_Physical count'!C:C,' General Stock Summary View  '!C439,'PowerApp_Physical count'!A:A,' General Stock Summary View  '!B439)</f>
        <v>0</v>
      </c>
      <c r="X439" s="4">
        <f t="shared" si="77"/>
        <v>0</v>
      </c>
      <c r="Y439" s="5">
        <f>SUMIFS('XBS '!T:T,'XBS '!H:H,' General Stock Summary View  '!$Y$2,'XBS '!B:B,' General Stock Summary View  '!C439,'XBS '!L:L,' General Stock Summary View  '!B439)</f>
        <v>0</v>
      </c>
      <c r="Z439" s="3">
        <f>SUMIFS('PowerApp_Physical count'!H:H,'PowerApp_Physical count'!B:B,' General Stock Summary View  '!$Y$2,'PowerApp_Physical count'!C:C,' General Stock Summary View  '!C439,'PowerApp_Physical count'!A:A,' General Stock Summary View  '!B439)</f>
        <v>0</v>
      </c>
      <c r="AA439" s="4">
        <f t="shared" si="78"/>
        <v>0</v>
      </c>
      <c r="AB439" s="5">
        <f>SUMIFS('XBS '!T:T,'XBS '!H:H,' General Stock Summary View  '!$AB$2,'XBS '!B:B,' General Stock Summary View  '!C439,'XBS '!L:L,' General Stock Summary View  '!B439)</f>
        <v>0</v>
      </c>
      <c r="AC439" s="3">
        <f>SUMIFS('PowerApp_Physical count'!H:H,'PowerApp_Physical count'!B:B,' General Stock Summary View  '!$AB$2,'PowerApp_Physical count'!C:C,' General Stock Summary View  '!C439,'PowerApp_Physical count'!A:A,' General Stock Summary View  '!B439)</f>
        <v>0</v>
      </c>
      <c r="AD439" s="6">
        <f t="shared" si="79"/>
        <v>0</v>
      </c>
      <c r="AE439" s="7">
        <f t="shared" si="80"/>
        <v>0</v>
      </c>
      <c r="AF439" s="8">
        <f t="shared" si="81"/>
        <v>-8.8000000000000007</v>
      </c>
      <c r="AG439" s="112"/>
    </row>
    <row r="440" spans="2:33" s="113" customFormat="1" ht="61.15">
      <c r="B440" s="117" t="s">
        <v>398</v>
      </c>
      <c r="C440" s="111" t="s">
        <v>394</v>
      </c>
      <c r="D440" s="11">
        <f>SUMIFS('XBS '!T:T,'XBS '!C:C,' General Stock Summary View  '!C440,'XBS '!L:L,' General Stock Summary View  '!B440)</f>
        <v>8.6</v>
      </c>
      <c r="E440" s="2">
        <f>SUMIFS('Blocked for Processing'!P:P,'Blocked for Processing'!I:I,' General Stock Summary View  '!B440,'Blocked for Processing'!C:C,' General Stock Summary View  '!C440)</f>
        <v>0</v>
      </c>
      <c r="F440" s="122">
        <f t="shared" si="70"/>
        <v>8.6</v>
      </c>
      <c r="G440" s="148">
        <f>SUMIFS('XBS '!T:T,'XBS '!H:H,' General Stock Summary View  '!$G$2,'XBS '!L:L,' General Stock Summary View  '!B440,'XBS '!C:C,' General Stock Summary View  '!C440)</f>
        <v>0</v>
      </c>
      <c r="H440" s="3">
        <f>SUMIFS('PowerApp_Physical count'!H:H,'PowerApp_Physical count'!B:B,' General Stock Summary View  '!$G$2,'PowerApp_Physical count'!C:C,' General Stock Summary View  '!C440,'PowerApp_Physical count'!A:A,' General Stock Summary View  '!B440)</f>
        <v>0</v>
      </c>
      <c r="I440" s="154">
        <f t="shared" si="69"/>
        <v>0</v>
      </c>
      <c r="J440" s="11">
        <f>SUMIFS('XBS '!T:T,'XBS '!H:H,' General Stock Summary View  '!$J$2,'XBS '!L:L,' General Stock Summary View  '!B440,'XBS '!C:C,' General Stock Summary View  '!C440)</f>
        <v>0</v>
      </c>
      <c r="K440" s="157">
        <f>SUMIFS('PowerApp_Physical count'!H:H,'PowerApp_Physical count'!B:B,' General Stock Summary View  '!$J$2,'PowerApp_Physical count'!C:C,' General Stock Summary View  '!C440,'PowerApp_Physical count'!A:A,' General Stock Summary View  '!B440)</f>
        <v>0</v>
      </c>
      <c r="L440" s="127">
        <f t="shared" si="71"/>
        <v>0</v>
      </c>
      <c r="M440" s="126">
        <f t="shared" si="72"/>
        <v>0</v>
      </c>
      <c r="N440" s="11">
        <f t="shared" si="73"/>
        <v>0</v>
      </c>
      <c r="O440" s="144">
        <f t="shared" si="74"/>
        <v>0</v>
      </c>
      <c r="P440" s="2">
        <f>SUMIFS('XBS '!T:T,'XBS '!H:H,' General Stock Summary View  '!$P$2,'XBS '!L:L,' General Stock Summary View  '!B440,'XBS '!C:C,' General Stock Summary View  '!C440)</f>
        <v>0</v>
      </c>
      <c r="Q440" s="3">
        <f>SUMIFS('PowerApp_Physical count'!H:H,'PowerApp_Physical count'!B:B,' General Stock Summary View  '!$P$2,'PowerApp_Physical count'!C:C,' General Stock Summary View  '!C440,'PowerApp_Physical count'!A:A,' General Stock Summary View  '!B440)</f>
        <v>0</v>
      </c>
      <c r="R440" s="4">
        <f t="shared" si="75"/>
        <v>0</v>
      </c>
      <c r="S440" s="5">
        <f>SUMIFS('XBS '!T:T,'XBS '!L:L,' General Stock Summary View  '!B440,'XBS '!H:H,' General Stock Summary View  '!$S$2,'XBS '!C:C,' General Stock Summary View  '!C440)</f>
        <v>0</v>
      </c>
      <c r="T440" s="3">
        <f>SUMIFS('PowerApp_Physical count'!H:H,'PowerApp_Physical count'!B:B,' General Stock Summary View  '!$S$2,'PowerApp_Physical count'!C:C,' General Stock Summary View  '!C440,'PowerApp_Physical count'!A:A,' General Stock Summary View  '!B440)</f>
        <v>0</v>
      </c>
      <c r="U440" s="4">
        <f t="shared" si="76"/>
        <v>0</v>
      </c>
      <c r="V440" s="2">
        <f>SUMIFS('XBS '!T:T,'XBS '!H:H,' General Stock Summary View  '!$V$2,'XBS '!B:B,' General Stock Summary View  '!C440,'XBS '!L:L,' General Stock Summary View  '!B440)</f>
        <v>0</v>
      </c>
      <c r="W440" s="3">
        <f>SUMIFS('PowerApp_Physical count'!H:H,'PowerApp_Physical count'!B:B,' General Stock Summary View  '!$V$2,'PowerApp_Physical count'!C:C,' General Stock Summary View  '!C440,'PowerApp_Physical count'!A:A,' General Stock Summary View  '!B440)</f>
        <v>0</v>
      </c>
      <c r="X440" s="4">
        <f t="shared" si="77"/>
        <v>0</v>
      </c>
      <c r="Y440" s="5">
        <f>SUMIFS('XBS '!T:T,'XBS '!H:H,' General Stock Summary View  '!$Y$2,'XBS '!B:B,' General Stock Summary View  '!C440,'XBS '!L:L,' General Stock Summary View  '!B440)</f>
        <v>0</v>
      </c>
      <c r="Z440" s="3">
        <f>SUMIFS('PowerApp_Physical count'!H:H,'PowerApp_Physical count'!B:B,' General Stock Summary View  '!$Y$2,'PowerApp_Physical count'!C:C,' General Stock Summary View  '!C440,'PowerApp_Physical count'!A:A,' General Stock Summary View  '!B440)</f>
        <v>0</v>
      </c>
      <c r="AA440" s="4">
        <f t="shared" si="78"/>
        <v>0</v>
      </c>
      <c r="AB440" s="5">
        <f>SUMIFS('XBS '!T:T,'XBS '!H:H,' General Stock Summary View  '!$AB$2,'XBS '!B:B,' General Stock Summary View  '!C440,'XBS '!L:L,' General Stock Summary View  '!B440)</f>
        <v>8.6</v>
      </c>
      <c r="AC440" s="3">
        <f>SUMIFS('PowerApp_Physical count'!H:H,'PowerApp_Physical count'!B:B,' General Stock Summary View  '!$AB$2,'PowerApp_Physical count'!C:C,' General Stock Summary View  '!C440,'PowerApp_Physical count'!A:A,' General Stock Summary View  '!B440)</f>
        <v>0</v>
      </c>
      <c r="AD440" s="6">
        <f t="shared" si="79"/>
        <v>-8.6</v>
      </c>
      <c r="AE440" s="7">
        <f t="shared" si="80"/>
        <v>0</v>
      </c>
      <c r="AF440" s="8">
        <f t="shared" si="81"/>
        <v>-8.6</v>
      </c>
      <c r="AG440" s="112"/>
    </row>
    <row r="441" spans="2:33" s="113" customFormat="1" ht="61.15">
      <c r="B441" s="117" t="s">
        <v>399</v>
      </c>
      <c r="C441" s="111" t="s">
        <v>394</v>
      </c>
      <c r="D441" s="11">
        <f>SUMIFS('XBS '!T:T,'XBS '!C:C,' General Stock Summary View  '!C441,'XBS '!L:L,' General Stock Summary View  '!B441)</f>
        <v>0.18333333333333332</v>
      </c>
      <c r="E441" s="2">
        <f>SUMIFS('Blocked for Processing'!P:P,'Blocked for Processing'!I:I,' General Stock Summary View  '!B441,'Blocked for Processing'!C:C,' General Stock Summary View  '!C441)</f>
        <v>0</v>
      </c>
      <c r="F441" s="122">
        <f t="shared" si="70"/>
        <v>0.18333333333333332</v>
      </c>
      <c r="G441" s="148">
        <f>SUMIFS('XBS '!T:T,'XBS '!H:H,' General Stock Summary View  '!$G$2,'XBS '!L:L,' General Stock Summary View  '!B441,'XBS '!C:C,' General Stock Summary View  '!C441)</f>
        <v>0</v>
      </c>
      <c r="H441" s="3">
        <f>SUMIFS('PowerApp_Physical count'!H:H,'PowerApp_Physical count'!B:B,' General Stock Summary View  '!$G$2,'PowerApp_Physical count'!C:C,' General Stock Summary View  '!C441,'PowerApp_Physical count'!A:A,' General Stock Summary View  '!B441)</f>
        <v>0</v>
      </c>
      <c r="I441" s="154">
        <f t="shared" si="69"/>
        <v>0</v>
      </c>
      <c r="J441" s="11">
        <f>SUMIFS('XBS '!T:T,'XBS '!H:H,' General Stock Summary View  '!$J$2,'XBS '!L:L,' General Stock Summary View  '!B441,'XBS '!C:C,' General Stock Summary View  '!C441)</f>
        <v>0</v>
      </c>
      <c r="K441" s="157">
        <f>SUMIFS('PowerApp_Physical count'!H:H,'PowerApp_Physical count'!B:B,' General Stock Summary View  '!$J$2,'PowerApp_Physical count'!C:C,' General Stock Summary View  '!C441,'PowerApp_Physical count'!A:A,' General Stock Summary View  '!B441)</f>
        <v>0</v>
      </c>
      <c r="L441" s="127">
        <f t="shared" si="71"/>
        <v>0</v>
      </c>
      <c r="M441" s="126">
        <f t="shared" si="72"/>
        <v>0</v>
      </c>
      <c r="N441" s="11">
        <f t="shared" si="73"/>
        <v>0</v>
      </c>
      <c r="O441" s="144">
        <f t="shared" si="74"/>
        <v>0</v>
      </c>
      <c r="P441" s="2">
        <f>SUMIFS('XBS '!T:T,'XBS '!H:H,' General Stock Summary View  '!$P$2,'XBS '!L:L,' General Stock Summary View  '!B441,'XBS '!C:C,' General Stock Summary View  '!C441)</f>
        <v>0.18333333333333332</v>
      </c>
      <c r="Q441" s="3">
        <f>SUMIFS('PowerApp_Physical count'!H:H,'PowerApp_Physical count'!B:B,' General Stock Summary View  '!$P$2,'PowerApp_Physical count'!C:C,' General Stock Summary View  '!C441,'PowerApp_Physical count'!A:A,' General Stock Summary View  '!B441)</f>
        <v>0</v>
      </c>
      <c r="R441" s="4">
        <f t="shared" si="75"/>
        <v>-0.18333333333333332</v>
      </c>
      <c r="S441" s="5">
        <f>SUMIFS('XBS '!T:T,'XBS '!L:L,' General Stock Summary View  '!B441,'XBS '!H:H,' General Stock Summary View  '!$S$2,'XBS '!C:C,' General Stock Summary View  '!C441)</f>
        <v>0</v>
      </c>
      <c r="T441" s="3">
        <f>SUMIFS('PowerApp_Physical count'!H:H,'PowerApp_Physical count'!B:B,' General Stock Summary View  '!$S$2,'PowerApp_Physical count'!C:C,' General Stock Summary View  '!C441,'PowerApp_Physical count'!A:A,' General Stock Summary View  '!B441)</f>
        <v>0</v>
      </c>
      <c r="U441" s="4">
        <f t="shared" si="76"/>
        <v>0</v>
      </c>
      <c r="V441" s="2">
        <f>SUMIFS('XBS '!T:T,'XBS '!H:H,' General Stock Summary View  '!$V$2,'XBS '!B:B,' General Stock Summary View  '!C441,'XBS '!L:L,' General Stock Summary View  '!B441)</f>
        <v>0</v>
      </c>
      <c r="W441" s="3">
        <f>SUMIFS('PowerApp_Physical count'!H:H,'PowerApp_Physical count'!B:B,' General Stock Summary View  '!$V$2,'PowerApp_Physical count'!C:C,' General Stock Summary View  '!C441,'PowerApp_Physical count'!A:A,' General Stock Summary View  '!B441)</f>
        <v>0</v>
      </c>
      <c r="X441" s="4">
        <f t="shared" si="77"/>
        <v>0</v>
      </c>
      <c r="Y441" s="5">
        <f>SUMIFS('XBS '!T:T,'XBS '!H:H,' General Stock Summary View  '!$Y$2,'XBS '!B:B,' General Stock Summary View  '!C441,'XBS '!L:L,' General Stock Summary View  '!B441)</f>
        <v>0</v>
      </c>
      <c r="Z441" s="3">
        <f>SUMIFS('PowerApp_Physical count'!H:H,'PowerApp_Physical count'!B:B,' General Stock Summary View  '!$Y$2,'PowerApp_Physical count'!C:C,' General Stock Summary View  '!C441,'PowerApp_Physical count'!A:A,' General Stock Summary View  '!B441)</f>
        <v>0</v>
      </c>
      <c r="AA441" s="4">
        <f t="shared" si="78"/>
        <v>0</v>
      </c>
      <c r="AB441" s="5">
        <f>SUMIFS('XBS '!T:T,'XBS '!H:H,' General Stock Summary View  '!$AB$2,'XBS '!B:B,' General Stock Summary View  '!C441,'XBS '!L:L,' General Stock Summary View  '!B441)</f>
        <v>0</v>
      </c>
      <c r="AC441" s="3">
        <f>SUMIFS('PowerApp_Physical count'!H:H,'PowerApp_Physical count'!B:B,' General Stock Summary View  '!$AB$2,'PowerApp_Physical count'!C:C,' General Stock Summary View  '!C441,'PowerApp_Physical count'!A:A,' General Stock Summary View  '!B441)</f>
        <v>0</v>
      </c>
      <c r="AD441" s="6">
        <f t="shared" si="79"/>
        <v>0</v>
      </c>
      <c r="AE441" s="7">
        <f t="shared" si="80"/>
        <v>0</v>
      </c>
      <c r="AF441" s="8">
        <f t="shared" si="81"/>
        <v>-0.18333333333333332</v>
      </c>
      <c r="AG441" s="112"/>
    </row>
    <row r="442" spans="2:33" s="113" customFormat="1" ht="61.15">
      <c r="B442" s="117" t="s">
        <v>45</v>
      </c>
      <c r="C442" s="111" t="s">
        <v>394</v>
      </c>
      <c r="D442" s="11">
        <f>SUMIFS('XBS '!T:T,'XBS '!C:C,' General Stock Summary View  '!C442,'XBS '!L:L,' General Stock Summary View  '!B442)</f>
        <v>3.05</v>
      </c>
      <c r="E442" s="2">
        <f>SUMIFS('Blocked for Processing'!P:P,'Blocked for Processing'!I:I,' General Stock Summary View  '!B442,'Blocked for Processing'!C:C,' General Stock Summary View  '!C442)</f>
        <v>0</v>
      </c>
      <c r="F442" s="122">
        <f t="shared" si="70"/>
        <v>3.05</v>
      </c>
      <c r="G442" s="148">
        <f>SUMIFS('XBS '!T:T,'XBS '!H:H,' General Stock Summary View  '!$G$2,'XBS '!L:L,' General Stock Summary View  '!B442,'XBS '!C:C,' General Stock Summary View  '!C442)</f>
        <v>0</v>
      </c>
      <c r="H442" s="3">
        <f>SUMIFS('PowerApp_Physical count'!H:H,'PowerApp_Physical count'!B:B,' General Stock Summary View  '!$G$2,'PowerApp_Physical count'!C:C,' General Stock Summary View  '!C442,'PowerApp_Physical count'!A:A,' General Stock Summary View  '!B442)</f>
        <v>0</v>
      </c>
      <c r="I442" s="154">
        <f t="shared" si="69"/>
        <v>0</v>
      </c>
      <c r="J442" s="11">
        <f>SUMIFS('XBS '!T:T,'XBS '!H:H,' General Stock Summary View  '!$J$2,'XBS '!L:L,' General Stock Summary View  '!B442,'XBS '!C:C,' General Stock Summary View  '!C442)</f>
        <v>0</v>
      </c>
      <c r="K442" s="157">
        <f>SUMIFS('PowerApp_Physical count'!H:H,'PowerApp_Physical count'!B:B,' General Stock Summary View  '!$J$2,'PowerApp_Physical count'!C:C,' General Stock Summary View  '!C442,'PowerApp_Physical count'!A:A,' General Stock Summary View  '!B442)</f>
        <v>0</v>
      </c>
      <c r="L442" s="127">
        <f t="shared" si="71"/>
        <v>0</v>
      </c>
      <c r="M442" s="126">
        <f t="shared" si="72"/>
        <v>0</v>
      </c>
      <c r="N442" s="11">
        <f t="shared" si="73"/>
        <v>0</v>
      </c>
      <c r="O442" s="144">
        <f t="shared" si="74"/>
        <v>0</v>
      </c>
      <c r="P442" s="2">
        <f>SUMIFS('XBS '!T:T,'XBS '!H:H,' General Stock Summary View  '!$P$2,'XBS '!L:L,' General Stock Summary View  '!B442,'XBS '!C:C,' General Stock Summary View  '!C442)</f>
        <v>3.05</v>
      </c>
      <c r="Q442" s="3">
        <f>SUMIFS('PowerApp_Physical count'!H:H,'PowerApp_Physical count'!B:B,' General Stock Summary View  '!$P$2,'PowerApp_Physical count'!C:C,' General Stock Summary View  '!C442,'PowerApp_Physical count'!A:A,' General Stock Summary View  '!B442)</f>
        <v>0</v>
      </c>
      <c r="R442" s="4">
        <f t="shared" si="75"/>
        <v>-3.05</v>
      </c>
      <c r="S442" s="5">
        <f>SUMIFS('XBS '!T:T,'XBS '!L:L,' General Stock Summary View  '!B442,'XBS '!H:H,' General Stock Summary View  '!$S$2,'XBS '!C:C,' General Stock Summary View  '!C442)</f>
        <v>0</v>
      </c>
      <c r="T442" s="3">
        <f>SUMIFS('PowerApp_Physical count'!H:H,'PowerApp_Physical count'!B:B,' General Stock Summary View  '!$S$2,'PowerApp_Physical count'!C:C,' General Stock Summary View  '!C442,'PowerApp_Physical count'!A:A,' General Stock Summary View  '!B442)</f>
        <v>0</v>
      </c>
      <c r="U442" s="4">
        <f t="shared" si="76"/>
        <v>0</v>
      </c>
      <c r="V442" s="2">
        <f>SUMIFS('XBS '!T:T,'XBS '!H:H,' General Stock Summary View  '!$V$2,'XBS '!B:B,' General Stock Summary View  '!C442,'XBS '!L:L,' General Stock Summary View  '!B442)</f>
        <v>0</v>
      </c>
      <c r="W442" s="3">
        <f>SUMIFS('PowerApp_Physical count'!H:H,'PowerApp_Physical count'!B:B,' General Stock Summary View  '!$V$2,'PowerApp_Physical count'!C:C,' General Stock Summary View  '!C442,'PowerApp_Physical count'!A:A,' General Stock Summary View  '!B442)</f>
        <v>0</v>
      </c>
      <c r="X442" s="4">
        <f t="shared" si="77"/>
        <v>0</v>
      </c>
      <c r="Y442" s="5">
        <f>SUMIFS('XBS '!T:T,'XBS '!H:H,' General Stock Summary View  '!$Y$2,'XBS '!B:B,' General Stock Summary View  '!C442,'XBS '!L:L,' General Stock Summary View  '!B442)</f>
        <v>0</v>
      </c>
      <c r="Z442" s="3">
        <f>SUMIFS('PowerApp_Physical count'!H:H,'PowerApp_Physical count'!B:B,' General Stock Summary View  '!$Y$2,'PowerApp_Physical count'!C:C,' General Stock Summary View  '!C442,'PowerApp_Physical count'!A:A,' General Stock Summary View  '!B442)</f>
        <v>0</v>
      </c>
      <c r="AA442" s="4">
        <f t="shared" si="78"/>
        <v>0</v>
      </c>
      <c r="AB442" s="5">
        <f>SUMIFS('XBS '!T:T,'XBS '!H:H,' General Stock Summary View  '!$AB$2,'XBS '!B:B,' General Stock Summary View  '!C442,'XBS '!L:L,' General Stock Summary View  '!B442)</f>
        <v>0</v>
      </c>
      <c r="AC442" s="3">
        <f>SUMIFS('PowerApp_Physical count'!H:H,'PowerApp_Physical count'!B:B,' General Stock Summary View  '!$AB$2,'PowerApp_Physical count'!C:C,' General Stock Summary View  '!C442,'PowerApp_Physical count'!A:A,' General Stock Summary View  '!B442)</f>
        <v>0</v>
      </c>
      <c r="AD442" s="6">
        <f t="shared" si="79"/>
        <v>0</v>
      </c>
      <c r="AE442" s="7">
        <f t="shared" si="80"/>
        <v>0</v>
      </c>
      <c r="AF442" s="8">
        <f t="shared" si="81"/>
        <v>-3.05</v>
      </c>
      <c r="AG442" s="112"/>
    </row>
    <row r="443" spans="2:33" s="113" customFormat="1" ht="61.15">
      <c r="B443" s="117" t="s">
        <v>81</v>
      </c>
      <c r="C443" s="111" t="s">
        <v>394</v>
      </c>
      <c r="D443" s="11">
        <f>SUMIFS('XBS '!T:T,'XBS '!C:C,' General Stock Summary View  '!C443,'XBS '!L:L,' General Stock Summary View  '!B443)</f>
        <v>8.7666666666666675</v>
      </c>
      <c r="E443" s="2">
        <f>SUMIFS('Blocked for Processing'!P:P,'Blocked for Processing'!I:I,' General Stock Summary View  '!B443,'Blocked for Processing'!C:C,' General Stock Summary View  '!C443)</f>
        <v>0</v>
      </c>
      <c r="F443" s="122">
        <f t="shared" si="70"/>
        <v>8.7666666666666675</v>
      </c>
      <c r="G443" s="148">
        <f>SUMIFS('XBS '!T:T,'XBS '!H:H,' General Stock Summary View  '!$G$2,'XBS '!L:L,' General Stock Summary View  '!B443,'XBS '!C:C,' General Stock Summary View  '!C443)</f>
        <v>0</v>
      </c>
      <c r="H443" s="3">
        <f>SUMIFS('PowerApp_Physical count'!H:H,'PowerApp_Physical count'!B:B,' General Stock Summary View  '!$G$2,'PowerApp_Physical count'!C:C,' General Stock Summary View  '!C443,'PowerApp_Physical count'!A:A,' General Stock Summary View  '!B443)</f>
        <v>0</v>
      </c>
      <c r="I443" s="154">
        <f t="shared" si="69"/>
        <v>0</v>
      </c>
      <c r="J443" s="11">
        <f>SUMIFS('XBS '!T:T,'XBS '!H:H,' General Stock Summary View  '!$J$2,'XBS '!L:L,' General Stock Summary View  '!B443,'XBS '!C:C,' General Stock Summary View  '!C443)</f>
        <v>0</v>
      </c>
      <c r="K443" s="157">
        <f>SUMIFS('PowerApp_Physical count'!H:H,'PowerApp_Physical count'!B:B,' General Stock Summary View  '!$J$2,'PowerApp_Physical count'!C:C,' General Stock Summary View  '!C443,'PowerApp_Physical count'!A:A,' General Stock Summary View  '!B443)</f>
        <v>0</v>
      </c>
      <c r="L443" s="127">
        <f t="shared" si="71"/>
        <v>0</v>
      </c>
      <c r="M443" s="126">
        <f t="shared" si="72"/>
        <v>0</v>
      </c>
      <c r="N443" s="11">
        <f t="shared" si="73"/>
        <v>0</v>
      </c>
      <c r="O443" s="144">
        <f t="shared" si="74"/>
        <v>0</v>
      </c>
      <c r="P443" s="2">
        <f>SUMIFS('XBS '!T:T,'XBS '!H:H,' General Stock Summary View  '!$P$2,'XBS '!L:L,' General Stock Summary View  '!B443,'XBS '!C:C,' General Stock Summary View  '!C443)</f>
        <v>8.7666666666666675</v>
      </c>
      <c r="Q443" s="3">
        <f>SUMIFS('PowerApp_Physical count'!H:H,'PowerApp_Physical count'!B:B,' General Stock Summary View  '!$P$2,'PowerApp_Physical count'!C:C,' General Stock Summary View  '!C443,'PowerApp_Physical count'!A:A,' General Stock Summary View  '!B443)</f>
        <v>0</v>
      </c>
      <c r="R443" s="4">
        <f t="shared" si="75"/>
        <v>-8.7666666666666675</v>
      </c>
      <c r="S443" s="5">
        <f>SUMIFS('XBS '!T:T,'XBS '!L:L,' General Stock Summary View  '!B443,'XBS '!H:H,' General Stock Summary View  '!$S$2,'XBS '!C:C,' General Stock Summary View  '!C443)</f>
        <v>0</v>
      </c>
      <c r="T443" s="3">
        <f>SUMIFS('PowerApp_Physical count'!H:H,'PowerApp_Physical count'!B:B,' General Stock Summary View  '!$S$2,'PowerApp_Physical count'!C:C,' General Stock Summary View  '!C443,'PowerApp_Physical count'!A:A,' General Stock Summary View  '!B443)</f>
        <v>0</v>
      </c>
      <c r="U443" s="4">
        <f t="shared" si="76"/>
        <v>0</v>
      </c>
      <c r="V443" s="2">
        <f>SUMIFS('XBS '!T:T,'XBS '!H:H,' General Stock Summary View  '!$V$2,'XBS '!B:B,' General Stock Summary View  '!C443,'XBS '!L:L,' General Stock Summary View  '!B443)</f>
        <v>0</v>
      </c>
      <c r="W443" s="3">
        <f>SUMIFS('PowerApp_Physical count'!H:H,'PowerApp_Physical count'!B:B,' General Stock Summary View  '!$V$2,'PowerApp_Physical count'!C:C,' General Stock Summary View  '!C443,'PowerApp_Physical count'!A:A,' General Stock Summary View  '!B443)</f>
        <v>0</v>
      </c>
      <c r="X443" s="4">
        <f t="shared" si="77"/>
        <v>0</v>
      </c>
      <c r="Y443" s="5">
        <f>SUMIFS('XBS '!T:T,'XBS '!H:H,' General Stock Summary View  '!$Y$2,'XBS '!B:B,' General Stock Summary View  '!C443,'XBS '!L:L,' General Stock Summary View  '!B443)</f>
        <v>0</v>
      </c>
      <c r="Z443" s="3">
        <f>SUMIFS('PowerApp_Physical count'!H:H,'PowerApp_Physical count'!B:B,' General Stock Summary View  '!$Y$2,'PowerApp_Physical count'!C:C,' General Stock Summary View  '!C443,'PowerApp_Physical count'!A:A,' General Stock Summary View  '!B443)</f>
        <v>0</v>
      </c>
      <c r="AA443" s="4">
        <f t="shared" si="78"/>
        <v>0</v>
      </c>
      <c r="AB443" s="5">
        <f>SUMIFS('XBS '!T:T,'XBS '!H:H,' General Stock Summary View  '!$AB$2,'XBS '!B:B,' General Stock Summary View  '!C443,'XBS '!L:L,' General Stock Summary View  '!B443)</f>
        <v>0</v>
      </c>
      <c r="AC443" s="3">
        <f>SUMIFS('PowerApp_Physical count'!H:H,'PowerApp_Physical count'!B:B,' General Stock Summary View  '!$AB$2,'PowerApp_Physical count'!C:C,' General Stock Summary View  '!C443,'PowerApp_Physical count'!A:A,' General Stock Summary View  '!B443)</f>
        <v>0</v>
      </c>
      <c r="AD443" s="6">
        <f t="shared" si="79"/>
        <v>0</v>
      </c>
      <c r="AE443" s="7">
        <f t="shared" si="80"/>
        <v>0</v>
      </c>
      <c r="AF443" s="8">
        <f t="shared" si="81"/>
        <v>-8.7666666666666675</v>
      </c>
      <c r="AG443" s="112"/>
    </row>
    <row r="444" spans="2:33" s="113" customFormat="1" ht="61.15">
      <c r="B444" s="117" t="s">
        <v>207</v>
      </c>
      <c r="C444" s="111" t="s">
        <v>394</v>
      </c>
      <c r="D444" s="11">
        <f>SUMIFS('XBS '!T:T,'XBS '!C:C,' General Stock Summary View  '!C444,'XBS '!L:L,' General Stock Summary View  '!B444)</f>
        <v>15.766666666666667</v>
      </c>
      <c r="E444" s="2">
        <f>SUMIFS('Blocked for Processing'!P:P,'Blocked for Processing'!I:I,' General Stock Summary View  '!B444,'Blocked for Processing'!C:C,' General Stock Summary View  '!C444)</f>
        <v>0</v>
      </c>
      <c r="F444" s="122">
        <f t="shared" si="70"/>
        <v>15.766666666666667</v>
      </c>
      <c r="G444" s="148">
        <f>SUMIFS('XBS '!T:T,'XBS '!H:H,' General Stock Summary View  '!$G$2,'XBS '!L:L,' General Stock Summary View  '!B444,'XBS '!C:C,' General Stock Summary View  '!C444)</f>
        <v>0</v>
      </c>
      <c r="H444" s="3">
        <f>SUMIFS('PowerApp_Physical count'!H:H,'PowerApp_Physical count'!B:B,' General Stock Summary View  '!$G$2,'PowerApp_Physical count'!C:C,' General Stock Summary View  '!C444,'PowerApp_Physical count'!A:A,' General Stock Summary View  '!B444)</f>
        <v>0</v>
      </c>
      <c r="I444" s="154">
        <f t="shared" si="69"/>
        <v>0</v>
      </c>
      <c r="J444" s="11">
        <f>SUMIFS('XBS '!T:T,'XBS '!H:H,' General Stock Summary View  '!$J$2,'XBS '!L:L,' General Stock Summary View  '!B444,'XBS '!C:C,' General Stock Summary View  '!C444)</f>
        <v>0</v>
      </c>
      <c r="K444" s="157">
        <f>SUMIFS('PowerApp_Physical count'!H:H,'PowerApp_Physical count'!B:B,' General Stock Summary View  '!$J$2,'PowerApp_Physical count'!C:C,' General Stock Summary View  '!C444,'PowerApp_Physical count'!A:A,' General Stock Summary View  '!B444)</f>
        <v>0</v>
      </c>
      <c r="L444" s="127">
        <f t="shared" si="71"/>
        <v>0</v>
      </c>
      <c r="M444" s="126">
        <f t="shared" si="72"/>
        <v>0</v>
      </c>
      <c r="N444" s="11">
        <f t="shared" si="73"/>
        <v>0</v>
      </c>
      <c r="O444" s="144">
        <f t="shared" si="74"/>
        <v>0</v>
      </c>
      <c r="P444" s="2">
        <f>SUMIFS('XBS '!T:T,'XBS '!H:H,' General Stock Summary View  '!$P$2,'XBS '!L:L,' General Stock Summary View  '!B444,'XBS '!C:C,' General Stock Summary View  '!C444)</f>
        <v>15.766666666666667</v>
      </c>
      <c r="Q444" s="3">
        <f>SUMIFS('PowerApp_Physical count'!H:H,'PowerApp_Physical count'!B:B,' General Stock Summary View  '!$P$2,'PowerApp_Physical count'!C:C,' General Stock Summary View  '!C444,'PowerApp_Physical count'!A:A,' General Stock Summary View  '!B444)</f>
        <v>0</v>
      </c>
      <c r="R444" s="4">
        <f t="shared" si="75"/>
        <v>-15.766666666666667</v>
      </c>
      <c r="S444" s="5">
        <f>SUMIFS('XBS '!T:T,'XBS '!L:L,' General Stock Summary View  '!B444,'XBS '!H:H,' General Stock Summary View  '!$S$2,'XBS '!C:C,' General Stock Summary View  '!C444)</f>
        <v>0</v>
      </c>
      <c r="T444" s="3">
        <f>SUMIFS('PowerApp_Physical count'!H:H,'PowerApp_Physical count'!B:B,' General Stock Summary View  '!$S$2,'PowerApp_Physical count'!C:C,' General Stock Summary View  '!C444,'PowerApp_Physical count'!A:A,' General Stock Summary View  '!B444)</f>
        <v>0</v>
      </c>
      <c r="U444" s="4">
        <f t="shared" si="76"/>
        <v>0</v>
      </c>
      <c r="V444" s="2">
        <f>SUMIFS('XBS '!T:T,'XBS '!H:H,' General Stock Summary View  '!$V$2,'XBS '!B:B,' General Stock Summary View  '!C444,'XBS '!L:L,' General Stock Summary View  '!B444)</f>
        <v>0</v>
      </c>
      <c r="W444" s="3">
        <f>SUMIFS('PowerApp_Physical count'!H:H,'PowerApp_Physical count'!B:B,' General Stock Summary View  '!$V$2,'PowerApp_Physical count'!C:C,' General Stock Summary View  '!C444,'PowerApp_Physical count'!A:A,' General Stock Summary View  '!B444)</f>
        <v>0</v>
      </c>
      <c r="X444" s="4">
        <f t="shared" si="77"/>
        <v>0</v>
      </c>
      <c r="Y444" s="5">
        <f>SUMIFS('XBS '!T:T,'XBS '!H:H,' General Stock Summary View  '!$Y$2,'XBS '!B:B,' General Stock Summary View  '!C444,'XBS '!L:L,' General Stock Summary View  '!B444)</f>
        <v>0</v>
      </c>
      <c r="Z444" s="3">
        <f>SUMIFS('PowerApp_Physical count'!H:H,'PowerApp_Physical count'!B:B,' General Stock Summary View  '!$Y$2,'PowerApp_Physical count'!C:C,' General Stock Summary View  '!C444,'PowerApp_Physical count'!A:A,' General Stock Summary View  '!B444)</f>
        <v>0</v>
      </c>
      <c r="AA444" s="4">
        <f t="shared" si="78"/>
        <v>0</v>
      </c>
      <c r="AB444" s="5">
        <f>SUMIFS('XBS '!T:T,'XBS '!H:H,' General Stock Summary View  '!$AB$2,'XBS '!B:B,' General Stock Summary View  '!C444,'XBS '!L:L,' General Stock Summary View  '!B444)</f>
        <v>0</v>
      </c>
      <c r="AC444" s="3">
        <f>SUMIFS('PowerApp_Physical count'!H:H,'PowerApp_Physical count'!B:B,' General Stock Summary View  '!$AB$2,'PowerApp_Physical count'!C:C,' General Stock Summary View  '!C444,'PowerApp_Physical count'!A:A,' General Stock Summary View  '!B444)</f>
        <v>0</v>
      </c>
      <c r="AD444" s="6">
        <f t="shared" si="79"/>
        <v>0</v>
      </c>
      <c r="AE444" s="7">
        <f t="shared" si="80"/>
        <v>0</v>
      </c>
      <c r="AF444" s="8">
        <f t="shared" si="81"/>
        <v>-15.766666666666667</v>
      </c>
      <c r="AG444" s="112"/>
    </row>
    <row r="445" spans="2:33" s="113" customFormat="1" ht="61.15">
      <c r="B445" s="117" t="s">
        <v>400</v>
      </c>
      <c r="C445" s="111" t="s">
        <v>394</v>
      </c>
      <c r="D445" s="11">
        <f>SUMIFS('XBS '!T:T,'XBS '!C:C,' General Stock Summary View  '!C445,'XBS '!L:L,' General Stock Summary View  '!B445)</f>
        <v>6.666666666666667</v>
      </c>
      <c r="E445" s="2">
        <f>SUMIFS('Blocked for Processing'!P:P,'Blocked for Processing'!I:I,' General Stock Summary View  '!B445,'Blocked for Processing'!C:C,' General Stock Summary View  '!C445)</f>
        <v>0</v>
      </c>
      <c r="F445" s="122">
        <f t="shared" si="70"/>
        <v>6.666666666666667</v>
      </c>
      <c r="G445" s="148">
        <f>SUMIFS('XBS '!T:T,'XBS '!H:H,' General Stock Summary View  '!$G$2,'XBS '!L:L,' General Stock Summary View  '!B445,'XBS '!C:C,' General Stock Summary View  '!C445)</f>
        <v>0</v>
      </c>
      <c r="H445" s="3">
        <f>SUMIFS('PowerApp_Physical count'!H:H,'PowerApp_Physical count'!B:B,' General Stock Summary View  '!$G$2,'PowerApp_Physical count'!C:C,' General Stock Summary View  '!C445,'PowerApp_Physical count'!A:A,' General Stock Summary View  '!B445)</f>
        <v>0</v>
      </c>
      <c r="I445" s="154">
        <f t="shared" si="69"/>
        <v>0</v>
      </c>
      <c r="J445" s="11">
        <f>SUMIFS('XBS '!T:T,'XBS '!H:H,' General Stock Summary View  '!$J$2,'XBS '!L:L,' General Stock Summary View  '!B445,'XBS '!C:C,' General Stock Summary View  '!C445)</f>
        <v>0</v>
      </c>
      <c r="K445" s="157">
        <f>SUMIFS('PowerApp_Physical count'!H:H,'PowerApp_Physical count'!B:B,' General Stock Summary View  '!$J$2,'PowerApp_Physical count'!C:C,' General Stock Summary View  '!C445,'PowerApp_Physical count'!A:A,' General Stock Summary View  '!B445)</f>
        <v>0</v>
      </c>
      <c r="L445" s="127">
        <f t="shared" si="71"/>
        <v>0</v>
      </c>
      <c r="M445" s="126">
        <f t="shared" si="72"/>
        <v>0</v>
      </c>
      <c r="N445" s="11">
        <f t="shared" si="73"/>
        <v>0</v>
      </c>
      <c r="O445" s="144">
        <f t="shared" si="74"/>
        <v>0</v>
      </c>
      <c r="P445" s="2">
        <f>SUMIFS('XBS '!T:T,'XBS '!H:H,' General Stock Summary View  '!$P$2,'XBS '!L:L,' General Stock Summary View  '!B445,'XBS '!C:C,' General Stock Summary View  '!C445)</f>
        <v>0</v>
      </c>
      <c r="Q445" s="3">
        <f>SUMIFS('PowerApp_Physical count'!H:H,'PowerApp_Physical count'!B:B,' General Stock Summary View  '!$P$2,'PowerApp_Physical count'!C:C,' General Stock Summary View  '!C445,'PowerApp_Physical count'!A:A,' General Stock Summary View  '!B445)</f>
        <v>0</v>
      </c>
      <c r="R445" s="4">
        <f t="shared" si="75"/>
        <v>0</v>
      </c>
      <c r="S445" s="5">
        <f>SUMIFS('XBS '!T:T,'XBS '!L:L,' General Stock Summary View  '!B445,'XBS '!H:H,' General Stock Summary View  '!$S$2,'XBS '!C:C,' General Stock Summary View  '!C445)</f>
        <v>0</v>
      </c>
      <c r="T445" s="3">
        <f>SUMIFS('PowerApp_Physical count'!H:H,'PowerApp_Physical count'!B:B,' General Stock Summary View  '!$S$2,'PowerApp_Physical count'!C:C,' General Stock Summary View  '!C445,'PowerApp_Physical count'!A:A,' General Stock Summary View  '!B445)</f>
        <v>0</v>
      </c>
      <c r="U445" s="4">
        <f t="shared" si="76"/>
        <v>0</v>
      </c>
      <c r="V445" s="2">
        <f>SUMIFS('XBS '!T:T,'XBS '!H:H,' General Stock Summary View  '!$V$2,'XBS '!B:B,' General Stock Summary View  '!C445,'XBS '!L:L,' General Stock Summary View  '!B445)</f>
        <v>0</v>
      </c>
      <c r="W445" s="3">
        <f>SUMIFS('PowerApp_Physical count'!H:H,'PowerApp_Physical count'!B:B,' General Stock Summary View  '!$V$2,'PowerApp_Physical count'!C:C,' General Stock Summary View  '!C445,'PowerApp_Physical count'!A:A,' General Stock Summary View  '!B445)</f>
        <v>0</v>
      </c>
      <c r="X445" s="4">
        <f t="shared" si="77"/>
        <v>0</v>
      </c>
      <c r="Y445" s="5">
        <f>SUMIFS('XBS '!T:T,'XBS '!H:H,' General Stock Summary View  '!$Y$2,'XBS '!B:B,' General Stock Summary View  '!C445,'XBS '!L:L,' General Stock Summary View  '!B445)</f>
        <v>0</v>
      </c>
      <c r="Z445" s="3">
        <f>SUMIFS('PowerApp_Physical count'!H:H,'PowerApp_Physical count'!B:B,' General Stock Summary View  '!$Y$2,'PowerApp_Physical count'!C:C,' General Stock Summary View  '!C445,'PowerApp_Physical count'!A:A,' General Stock Summary View  '!B445)</f>
        <v>0</v>
      </c>
      <c r="AA445" s="4">
        <f t="shared" si="78"/>
        <v>0</v>
      </c>
      <c r="AB445" s="5">
        <f>SUMIFS('XBS '!T:T,'XBS '!H:H,' General Stock Summary View  '!$AB$2,'XBS '!B:B,' General Stock Summary View  '!C445,'XBS '!L:L,' General Stock Summary View  '!B445)</f>
        <v>6.666666666666667</v>
      </c>
      <c r="AC445" s="3">
        <f>SUMIFS('PowerApp_Physical count'!H:H,'PowerApp_Physical count'!B:B,' General Stock Summary View  '!$AB$2,'PowerApp_Physical count'!C:C,' General Stock Summary View  '!C445,'PowerApp_Physical count'!A:A,' General Stock Summary View  '!B445)</f>
        <v>0</v>
      </c>
      <c r="AD445" s="6">
        <f t="shared" si="79"/>
        <v>-6.666666666666667</v>
      </c>
      <c r="AE445" s="7">
        <f t="shared" si="80"/>
        <v>0</v>
      </c>
      <c r="AF445" s="8">
        <f t="shared" si="81"/>
        <v>-6.666666666666667</v>
      </c>
      <c r="AG445" s="112"/>
    </row>
    <row r="446" spans="2:33" s="113" customFormat="1" ht="61.15">
      <c r="B446" s="117" t="s">
        <v>401</v>
      </c>
      <c r="C446" s="111" t="s">
        <v>394</v>
      </c>
      <c r="D446" s="11">
        <f>SUMIFS('XBS '!T:T,'XBS '!C:C,' General Stock Summary View  '!C446,'XBS '!L:L,' General Stock Summary View  '!B446)</f>
        <v>8.5166666666666675</v>
      </c>
      <c r="E446" s="2">
        <f>SUMIFS('Blocked for Processing'!P:P,'Blocked for Processing'!I:I,' General Stock Summary View  '!B446,'Blocked for Processing'!C:C,' General Stock Summary View  '!C446)</f>
        <v>0</v>
      </c>
      <c r="F446" s="122">
        <f t="shared" si="70"/>
        <v>8.5166666666666675</v>
      </c>
      <c r="G446" s="148">
        <f>SUMIFS('XBS '!T:T,'XBS '!H:H,' General Stock Summary View  '!$G$2,'XBS '!L:L,' General Stock Summary View  '!B446,'XBS '!C:C,' General Stock Summary View  '!C446)</f>
        <v>0</v>
      </c>
      <c r="H446" s="3">
        <f>SUMIFS('PowerApp_Physical count'!H:H,'PowerApp_Physical count'!B:B,' General Stock Summary View  '!$G$2,'PowerApp_Physical count'!C:C,' General Stock Summary View  '!C446,'PowerApp_Physical count'!A:A,' General Stock Summary View  '!B446)</f>
        <v>0</v>
      </c>
      <c r="I446" s="154">
        <f t="shared" si="69"/>
        <v>0</v>
      </c>
      <c r="J446" s="11">
        <f>SUMIFS('XBS '!T:T,'XBS '!H:H,' General Stock Summary View  '!$J$2,'XBS '!L:L,' General Stock Summary View  '!B446,'XBS '!C:C,' General Stock Summary View  '!C446)</f>
        <v>0</v>
      </c>
      <c r="K446" s="157">
        <f>SUMIFS('PowerApp_Physical count'!H:H,'PowerApp_Physical count'!B:B,' General Stock Summary View  '!$J$2,'PowerApp_Physical count'!C:C,' General Stock Summary View  '!C446,'PowerApp_Physical count'!A:A,' General Stock Summary View  '!B446)</f>
        <v>0</v>
      </c>
      <c r="L446" s="127">
        <f t="shared" si="71"/>
        <v>0</v>
      </c>
      <c r="M446" s="126">
        <f t="shared" si="72"/>
        <v>0</v>
      </c>
      <c r="N446" s="11">
        <f t="shared" si="73"/>
        <v>0</v>
      </c>
      <c r="O446" s="144">
        <f t="shared" si="74"/>
        <v>0</v>
      </c>
      <c r="P446" s="2">
        <f>SUMIFS('XBS '!T:T,'XBS '!H:H,' General Stock Summary View  '!$P$2,'XBS '!L:L,' General Stock Summary View  '!B446,'XBS '!C:C,' General Stock Summary View  '!C446)</f>
        <v>0</v>
      </c>
      <c r="Q446" s="3">
        <f>SUMIFS('PowerApp_Physical count'!H:H,'PowerApp_Physical count'!B:B,' General Stock Summary View  '!$P$2,'PowerApp_Physical count'!C:C,' General Stock Summary View  '!C446,'PowerApp_Physical count'!A:A,' General Stock Summary View  '!B446)</f>
        <v>0</v>
      </c>
      <c r="R446" s="4">
        <f t="shared" si="75"/>
        <v>0</v>
      </c>
      <c r="S446" s="5">
        <f>SUMIFS('XBS '!T:T,'XBS '!L:L,' General Stock Summary View  '!B446,'XBS '!H:H,' General Stock Summary View  '!$S$2,'XBS '!C:C,' General Stock Summary View  '!C446)</f>
        <v>0</v>
      </c>
      <c r="T446" s="3">
        <f>SUMIFS('PowerApp_Physical count'!H:H,'PowerApp_Physical count'!B:B,' General Stock Summary View  '!$S$2,'PowerApp_Physical count'!C:C,' General Stock Summary View  '!C446,'PowerApp_Physical count'!A:A,' General Stock Summary View  '!B446)</f>
        <v>0</v>
      </c>
      <c r="U446" s="4">
        <f t="shared" si="76"/>
        <v>0</v>
      </c>
      <c r="V446" s="2">
        <f>SUMIFS('XBS '!T:T,'XBS '!H:H,' General Stock Summary View  '!$V$2,'XBS '!B:B,' General Stock Summary View  '!C446,'XBS '!L:L,' General Stock Summary View  '!B446)</f>
        <v>0</v>
      </c>
      <c r="W446" s="3">
        <f>SUMIFS('PowerApp_Physical count'!H:H,'PowerApp_Physical count'!B:B,' General Stock Summary View  '!$V$2,'PowerApp_Physical count'!C:C,' General Stock Summary View  '!C446,'PowerApp_Physical count'!A:A,' General Stock Summary View  '!B446)</f>
        <v>0</v>
      </c>
      <c r="X446" s="4">
        <f t="shared" si="77"/>
        <v>0</v>
      </c>
      <c r="Y446" s="5">
        <f>SUMIFS('XBS '!T:T,'XBS '!H:H,' General Stock Summary View  '!$Y$2,'XBS '!B:B,' General Stock Summary View  '!C446,'XBS '!L:L,' General Stock Summary View  '!B446)</f>
        <v>8.5166666666666675</v>
      </c>
      <c r="Z446" s="3">
        <f>SUMIFS('PowerApp_Physical count'!H:H,'PowerApp_Physical count'!B:B,' General Stock Summary View  '!$Y$2,'PowerApp_Physical count'!C:C,' General Stock Summary View  '!C446,'PowerApp_Physical count'!A:A,' General Stock Summary View  '!B446)</f>
        <v>0</v>
      </c>
      <c r="AA446" s="4">
        <f t="shared" si="78"/>
        <v>-8.5166666666666675</v>
      </c>
      <c r="AB446" s="5">
        <f>SUMIFS('XBS '!T:T,'XBS '!H:H,' General Stock Summary View  '!$AB$2,'XBS '!B:B,' General Stock Summary View  '!C446,'XBS '!L:L,' General Stock Summary View  '!B446)</f>
        <v>0</v>
      </c>
      <c r="AC446" s="3">
        <f>SUMIFS('PowerApp_Physical count'!H:H,'PowerApp_Physical count'!B:B,' General Stock Summary View  '!$AB$2,'PowerApp_Physical count'!C:C,' General Stock Summary View  '!C446,'PowerApp_Physical count'!A:A,' General Stock Summary View  '!B446)</f>
        <v>0</v>
      </c>
      <c r="AD446" s="6">
        <f t="shared" si="79"/>
        <v>0</v>
      </c>
      <c r="AE446" s="7">
        <f t="shared" si="80"/>
        <v>0</v>
      </c>
      <c r="AF446" s="8">
        <f t="shared" si="81"/>
        <v>-8.5166666666666675</v>
      </c>
      <c r="AG446" s="112"/>
    </row>
    <row r="447" spans="2:33" s="113" customFormat="1" ht="61.15">
      <c r="B447" s="117" t="s">
        <v>102</v>
      </c>
      <c r="C447" s="111" t="s">
        <v>394</v>
      </c>
      <c r="D447" s="11">
        <f>SUMIFS('XBS '!T:T,'XBS '!C:C,' General Stock Summary View  '!C447,'XBS '!L:L,' General Stock Summary View  '!B447)</f>
        <v>3.3833333333333333</v>
      </c>
      <c r="E447" s="2">
        <f>SUMIFS('Blocked for Processing'!P:P,'Blocked for Processing'!I:I,' General Stock Summary View  '!B447,'Blocked for Processing'!C:C,' General Stock Summary View  '!C447)</f>
        <v>0</v>
      </c>
      <c r="F447" s="122">
        <f t="shared" si="70"/>
        <v>3.3833333333333333</v>
      </c>
      <c r="G447" s="148">
        <f>SUMIFS('XBS '!T:T,'XBS '!H:H,' General Stock Summary View  '!$G$2,'XBS '!L:L,' General Stock Summary View  '!B447,'XBS '!C:C,' General Stock Summary View  '!C447)</f>
        <v>0</v>
      </c>
      <c r="H447" s="3">
        <f>SUMIFS('PowerApp_Physical count'!H:H,'PowerApp_Physical count'!B:B,' General Stock Summary View  '!$G$2,'PowerApp_Physical count'!C:C,' General Stock Summary View  '!C447,'PowerApp_Physical count'!A:A,' General Stock Summary View  '!B447)</f>
        <v>0</v>
      </c>
      <c r="I447" s="154">
        <f t="shared" si="69"/>
        <v>0</v>
      </c>
      <c r="J447" s="11">
        <f>SUMIFS('XBS '!T:T,'XBS '!H:H,' General Stock Summary View  '!$J$2,'XBS '!L:L,' General Stock Summary View  '!B447,'XBS '!C:C,' General Stock Summary View  '!C447)</f>
        <v>0</v>
      </c>
      <c r="K447" s="157">
        <f>SUMIFS('PowerApp_Physical count'!H:H,'PowerApp_Physical count'!B:B,' General Stock Summary View  '!$J$2,'PowerApp_Physical count'!C:C,' General Stock Summary View  '!C447,'PowerApp_Physical count'!A:A,' General Stock Summary View  '!B447)</f>
        <v>0</v>
      </c>
      <c r="L447" s="127">
        <f t="shared" si="71"/>
        <v>0</v>
      </c>
      <c r="M447" s="126">
        <f t="shared" si="72"/>
        <v>0</v>
      </c>
      <c r="N447" s="11">
        <f t="shared" si="73"/>
        <v>0</v>
      </c>
      <c r="O447" s="144">
        <f t="shared" si="74"/>
        <v>0</v>
      </c>
      <c r="P447" s="2">
        <f>SUMIFS('XBS '!T:T,'XBS '!H:H,' General Stock Summary View  '!$P$2,'XBS '!L:L,' General Stock Summary View  '!B447,'XBS '!C:C,' General Stock Summary View  '!C447)</f>
        <v>0</v>
      </c>
      <c r="Q447" s="3">
        <f>SUMIFS('PowerApp_Physical count'!H:H,'PowerApp_Physical count'!B:B,' General Stock Summary View  '!$P$2,'PowerApp_Physical count'!C:C,' General Stock Summary View  '!C447,'PowerApp_Physical count'!A:A,' General Stock Summary View  '!B447)</f>
        <v>0</v>
      </c>
      <c r="R447" s="4">
        <f t="shared" si="75"/>
        <v>0</v>
      </c>
      <c r="S447" s="5">
        <f>SUMIFS('XBS '!T:T,'XBS '!L:L,' General Stock Summary View  '!B447,'XBS '!H:H,' General Stock Summary View  '!$S$2,'XBS '!C:C,' General Stock Summary View  '!C447)</f>
        <v>0</v>
      </c>
      <c r="T447" s="3">
        <f>SUMIFS('PowerApp_Physical count'!H:H,'PowerApp_Physical count'!B:B,' General Stock Summary View  '!$S$2,'PowerApp_Physical count'!C:C,' General Stock Summary View  '!C447,'PowerApp_Physical count'!A:A,' General Stock Summary View  '!B447)</f>
        <v>0</v>
      </c>
      <c r="U447" s="4">
        <f t="shared" si="76"/>
        <v>0</v>
      </c>
      <c r="V447" s="2">
        <f>SUMIFS('XBS '!T:T,'XBS '!H:H,' General Stock Summary View  '!$V$2,'XBS '!B:B,' General Stock Summary View  '!C447,'XBS '!L:L,' General Stock Summary View  '!B447)</f>
        <v>0</v>
      </c>
      <c r="W447" s="3">
        <f>SUMIFS('PowerApp_Physical count'!H:H,'PowerApp_Physical count'!B:B,' General Stock Summary View  '!$V$2,'PowerApp_Physical count'!C:C,' General Stock Summary View  '!C447,'PowerApp_Physical count'!A:A,' General Stock Summary View  '!B447)</f>
        <v>0</v>
      </c>
      <c r="X447" s="4">
        <f t="shared" si="77"/>
        <v>0</v>
      </c>
      <c r="Y447" s="5">
        <f>SUMIFS('XBS '!T:T,'XBS '!H:H,' General Stock Summary View  '!$Y$2,'XBS '!B:B,' General Stock Summary View  '!C447,'XBS '!L:L,' General Stock Summary View  '!B447)</f>
        <v>3.3833333333333333</v>
      </c>
      <c r="Z447" s="3">
        <f>SUMIFS('PowerApp_Physical count'!H:H,'PowerApp_Physical count'!B:B,' General Stock Summary View  '!$Y$2,'PowerApp_Physical count'!C:C,' General Stock Summary View  '!C447,'PowerApp_Physical count'!A:A,' General Stock Summary View  '!B447)</f>
        <v>0</v>
      </c>
      <c r="AA447" s="4">
        <f t="shared" si="78"/>
        <v>-3.3833333333333333</v>
      </c>
      <c r="AB447" s="5">
        <f>SUMIFS('XBS '!T:T,'XBS '!H:H,' General Stock Summary View  '!$AB$2,'XBS '!B:B,' General Stock Summary View  '!C447,'XBS '!L:L,' General Stock Summary View  '!B447)</f>
        <v>0</v>
      </c>
      <c r="AC447" s="3">
        <f>SUMIFS('PowerApp_Physical count'!H:H,'PowerApp_Physical count'!B:B,' General Stock Summary View  '!$AB$2,'PowerApp_Physical count'!C:C,' General Stock Summary View  '!C447,'PowerApp_Physical count'!A:A,' General Stock Summary View  '!B447)</f>
        <v>0</v>
      </c>
      <c r="AD447" s="6">
        <f t="shared" si="79"/>
        <v>0</v>
      </c>
      <c r="AE447" s="7">
        <f t="shared" si="80"/>
        <v>0</v>
      </c>
      <c r="AF447" s="8">
        <f t="shared" si="81"/>
        <v>-3.3833333333333333</v>
      </c>
      <c r="AG447" s="112"/>
    </row>
    <row r="448" spans="2:33" s="113" customFormat="1" ht="61.15">
      <c r="B448" s="117" t="s">
        <v>402</v>
      </c>
      <c r="C448" s="111" t="s">
        <v>394</v>
      </c>
      <c r="D448" s="11">
        <f>SUMIFS('XBS '!T:T,'XBS '!C:C,' General Stock Summary View  '!C448,'XBS '!L:L,' General Stock Summary View  '!B448)</f>
        <v>4.958333333333333</v>
      </c>
      <c r="E448" s="2">
        <f>SUMIFS('Blocked for Processing'!P:P,'Blocked for Processing'!I:I,' General Stock Summary View  '!B448,'Blocked for Processing'!C:C,' General Stock Summary View  '!C448)</f>
        <v>0</v>
      </c>
      <c r="F448" s="122">
        <f t="shared" si="70"/>
        <v>4.958333333333333</v>
      </c>
      <c r="G448" s="148">
        <f>SUMIFS('XBS '!T:T,'XBS '!H:H,' General Stock Summary View  '!$G$2,'XBS '!L:L,' General Stock Summary View  '!B448,'XBS '!C:C,' General Stock Summary View  '!C448)</f>
        <v>4.958333333333333</v>
      </c>
      <c r="H448" s="3">
        <f>SUMIFS('PowerApp_Physical count'!H:H,'PowerApp_Physical count'!B:B,' General Stock Summary View  '!$G$2,'PowerApp_Physical count'!C:C,' General Stock Summary View  '!C448,'PowerApp_Physical count'!A:A,' General Stock Summary View  '!B448)</f>
        <v>4.9666666666666668</v>
      </c>
      <c r="I448" s="154">
        <f t="shared" si="69"/>
        <v>8.3333333333337478E-3</v>
      </c>
      <c r="J448" s="11">
        <f>SUMIFS('XBS '!T:T,'XBS '!H:H,' General Stock Summary View  '!$J$2,'XBS '!L:L,' General Stock Summary View  '!B448,'XBS '!C:C,' General Stock Summary View  '!C448)</f>
        <v>0</v>
      </c>
      <c r="K448" s="157">
        <f>SUMIFS('PowerApp_Physical count'!H:H,'PowerApp_Physical count'!B:B,' General Stock Summary View  '!$J$2,'PowerApp_Physical count'!C:C,' General Stock Summary View  '!C448,'PowerApp_Physical count'!A:A,' General Stock Summary View  '!B448)</f>
        <v>0</v>
      </c>
      <c r="L448" s="127">
        <f t="shared" si="71"/>
        <v>0</v>
      </c>
      <c r="M448" s="126">
        <f t="shared" si="72"/>
        <v>4.958333333333333</v>
      </c>
      <c r="N448" s="11">
        <f t="shared" si="73"/>
        <v>4.9666666666666668</v>
      </c>
      <c r="O448" s="144">
        <f t="shared" si="74"/>
        <v>8.3333333333337478E-3</v>
      </c>
      <c r="P448" s="2">
        <f>SUMIFS('XBS '!T:T,'XBS '!H:H,' General Stock Summary View  '!$P$2,'XBS '!L:L,' General Stock Summary View  '!B448,'XBS '!C:C,' General Stock Summary View  '!C448)</f>
        <v>0</v>
      </c>
      <c r="Q448" s="3">
        <f>SUMIFS('PowerApp_Physical count'!H:H,'PowerApp_Physical count'!B:B,' General Stock Summary View  '!$P$2,'PowerApp_Physical count'!C:C,' General Stock Summary View  '!C448,'PowerApp_Physical count'!A:A,' General Stock Summary View  '!B448)</f>
        <v>0</v>
      </c>
      <c r="R448" s="4">
        <f t="shared" si="75"/>
        <v>0</v>
      </c>
      <c r="S448" s="5">
        <f>SUMIFS('XBS '!T:T,'XBS '!L:L,' General Stock Summary View  '!B448,'XBS '!H:H,' General Stock Summary View  '!$S$2,'XBS '!C:C,' General Stock Summary View  '!C448)</f>
        <v>0</v>
      </c>
      <c r="T448" s="3">
        <f>SUMIFS('PowerApp_Physical count'!H:H,'PowerApp_Physical count'!B:B,' General Stock Summary View  '!$S$2,'PowerApp_Physical count'!C:C,' General Stock Summary View  '!C448,'PowerApp_Physical count'!A:A,' General Stock Summary View  '!B448)</f>
        <v>0</v>
      </c>
      <c r="U448" s="4">
        <f t="shared" si="76"/>
        <v>0</v>
      </c>
      <c r="V448" s="2">
        <f>SUMIFS('XBS '!T:T,'XBS '!H:H,' General Stock Summary View  '!$V$2,'XBS '!B:B,' General Stock Summary View  '!C448,'XBS '!L:L,' General Stock Summary View  '!B448)</f>
        <v>0</v>
      </c>
      <c r="W448" s="3">
        <f>SUMIFS('PowerApp_Physical count'!H:H,'PowerApp_Physical count'!B:B,' General Stock Summary View  '!$V$2,'PowerApp_Physical count'!C:C,' General Stock Summary View  '!C448,'PowerApp_Physical count'!A:A,' General Stock Summary View  '!B448)</f>
        <v>0</v>
      </c>
      <c r="X448" s="4">
        <f t="shared" si="77"/>
        <v>0</v>
      </c>
      <c r="Y448" s="5">
        <f>SUMIFS('XBS '!T:T,'XBS '!H:H,' General Stock Summary View  '!$Y$2,'XBS '!B:B,' General Stock Summary View  '!C448,'XBS '!L:L,' General Stock Summary View  '!B448)</f>
        <v>0</v>
      </c>
      <c r="Z448" s="3">
        <f>SUMIFS('PowerApp_Physical count'!H:H,'PowerApp_Physical count'!B:B,' General Stock Summary View  '!$Y$2,'PowerApp_Physical count'!C:C,' General Stock Summary View  '!C448,'PowerApp_Physical count'!A:A,' General Stock Summary View  '!B448)</f>
        <v>0</v>
      </c>
      <c r="AA448" s="4">
        <f t="shared" si="78"/>
        <v>0</v>
      </c>
      <c r="AB448" s="5">
        <f>SUMIFS('XBS '!T:T,'XBS '!H:H,' General Stock Summary View  '!$AB$2,'XBS '!B:B,' General Stock Summary View  '!C448,'XBS '!L:L,' General Stock Summary View  '!B448)</f>
        <v>0</v>
      </c>
      <c r="AC448" s="3">
        <f>SUMIFS('PowerApp_Physical count'!H:H,'PowerApp_Physical count'!B:B,' General Stock Summary View  '!$AB$2,'PowerApp_Physical count'!C:C,' General Stock Summary View  '!C448,'PowerApp_Physical count'!A:A,' General Stock Summary View  '!B448)</f>
        <v>0</v>
      </c>
      <c r="AD448" s="6">
        <f t="shared" si="79"/>
        <v>0</v>
      </c>
      <c r="AE448" s="7">
        <f t="shared" si="80"/>
        <v>4.9666666666666668</v>
      </c>
      <c r="AF448" s="8">
        <f t="shared" si="81"/>
        <v>8.3333333333337478E-3</v>
      </c>
      <c r="AG448" s="112"/>
    </row>
    <row r="449" spans="2:33" s="113" customFormat="1" ht="61.15">
      <c r="B449" s="117" t="s">
        <v>403</v>
      </c>
      <c r="C449" s="111" t="s">
        <v>394</v>
      </c>
      <c r="D449" s="11">
        <f>SUMIFS('XBS '!T:T,'XBS '!C:C,' General Stock Summary View  '!C449,'XBS '!L:L,' General Stock Summary View  '!B449)</f>
        <v>2.8883333333333336</v>
      </c>
      <c r="E449" s="2">
        <f>SUMIFS('Blocked for Processing'!P:P,'Blocked for Processing'!I:I,' General Stock Summary View  '!B449,'Blocked for Processing'!C:C,' General Stock Summary View  '!C449)</f>
        <v>0</v>
      </c>
      <c r="F449" s="122">
        <f t="shared" si="70"/>
        <v>2.8883333333333336</v>
      </c>
      <c r="G449" s="148">
        <f>SUMIFS('XBS '!T:T,'XBS '!H:H,' General Stock Summary View  '!$G$2,'XBS '!L:L,' General Stock Summary View  '!B449,'XBS '!C:C,' General Stock Summary View  '!C449)</f>
        <v>2.8883333333333336</v>
      </c>
      <c r="H449" s="3">
        <f>SUMIFS('PowerApp_Physical count'!H:H,'PowerApp_Physical count'!B:B,' General Stock Summary View  '!$G$2,'PowerApp_Physical count'!C:C,' General Stock Summary View  '!C449,'PowerApp_Physical count'!A:A,' General Stock Summary View  '!B449)</f>
        <v>3.05</v>
      </c>
      <c r="I449" s="154">
        <f t="shared" si="69"/>
        <v>0.16166666666666618</v>
      </c>
      <c r="J449" s="11">
        <f>SUMIFS('XBS '!T:T,'XBS '!H:H,' General Stock Summary View  '!$J$2,'XBS '!L:L,' General Stock Summary View  '!B449,'XBS '!C:C,' General Stock Summary View  '!C449)</f>
        <v>0</v>
      </c>
      <c r="K449" s="157">
        <f>SUMIFS('PowerApp_Physical count'!H:H,'PowerApp_Physical count'!B:B,' General Stock Summary View  '!$J$2,'PowerApp_Physical count'!C:C,' General Stock Summary View  '!C449,'PowerApp_Physical count'!A:A,' General Stock Summary View  '!B449)</f>
        <v>0</v>
      </c>
      <c r="L449" s="127">
        <f t="shared" si="71"/>
        <v>0</v>
      </c>
      <c r="M449" s="126">
        <f t="shared" si="72"/>
        <v>2.8883333333333336</v>
      </c>
      <c r="N449" s="11">
        <f t="shared" si="73"/>
        <v>3.05</v>
      </c>
      <c r="O449" s="144">
        <f t="shared" si="74"/>
        <v>0.16166666666666618</v>
      </c>
      <c r="P449" s="2">
        <f>SUMIFS('XBS '!T:T,'XBS '!H:H,' General Stock Summary View  '!$P$2,'XBS '!L:L,' General Stock Summary View  '!B449,'XBS '!C:C,' General Stock Summary View  '!C449)</f>
        <v>0</v>
      </c>
      <c r="Q449" s="3">
        <f>SUMIFS('PowerApp_Physical count'!H:H,'PowerApp_Physical count'!B:B,' General Stock Summary View  '!$P$2,'PowerApp_Physical count'!C:C,' General Stock Summary View  '!C449,'PowerApp_Physical count'!A:A,' General Stock Summary View  '!B449)</f>
        <v>0</v>
      </c>
      <c r="R449" s="4">
        <f t="shared" si="75"/>
        <v>0</v>
      </c>
      <c r="S449" s="5">
        <f>SUMIFS('XBS '!T:T,'XBS '!L:L,' General Stock Summary View  '!B449,'XBS '!H:H,' General Stock Summary View  '!$S$2,'XBS '!C:C,' General Stock Summary View  '!C449)</f>
        <v>0</v>
      </c>
      <c r="T449" s="3">
        <f>SUMIFS('PowerApp_Physical count'!H:H,'PowerApp_Physical count'!B:B,' General Stock Summary View  '!$S$2,'PowerApp_Physical count'!C:C,' General Stock Summary View  '!C449,'PowerApp_Physical count'!A:A,' General Stock Summary View  '!B449)</f>
        <v>0</v>
      </c>
      <c r="U449" s="4">
        <f t="shared" si="76"/>
        <v>0</v>
      </c>
      <c r="V449" s="2">
        <f>SUMIFS('XBS '!T:T,'XBS '!H:H,' General Stock Summary View  '!$V$2,'XBS '!B:B,' General Stock Summary View  '!C449,'XBS '!L:L,' General Stock Summary View  '!B449)</f>
        <v>0</v>
      </c>
      <c r="W449" s="3">
        <f>SUMIFS('PowerApp_Physical count'!H:H,'PowerApp_Physical count'!B:B,' General Stock Summary View  '!$V$2,'PowerApp_Physical count'!C:C,' General Stock Summary View  '!C449,'PowerApp_Physical count'!A:A,' General Stock Summary View  '!B449)</f>
        <v>0</v>
      </c>
      <c r="X449" s="4">
        <f t="shared" si="77"/>
        <v>0</v>
      </c>
      <c r="Y449" s="5">
        <f>SUMIFS('XBS '!T:T,'XBS '!H:H,' General Stock Summary View  '!$Y$2,'XBS '!B:B,' General Stock Summary View  '!C449,'XBS '!L:L,' General Stock Summary View  '!B449)</f>
        <v>0</v>
      </c>
      <c r="Z449" s="3">
        <f>SUMIFS('PowerApp_Physical count'!H:H,'PowerApp_Physical count'!B:B,' General Stock Summary View  '!$Y$2,'PowerApp_Physical count'!C:C,' General Stock Summary View  '!C449,'PowerApp_Physical count'!A:A,' General Stock Summary View  '!B449)</f>
        <v>0</v>
      </c>
      <c r="AA449" s="4">
        <f t="shared" si="78"/>
        <v>0</v>
      </c>
      <c r="AB449" s="5">
        <f>SUMIFS('XBS '!T:T,'XBS '!H:H,' General Stock Summary View  '!$AB$2,'XBS '!B:B,' General Stock Summary View  '!C449,'XBS '!L:L,' General Stock Summary View  '!B449)</f>
        <v>0</v>
      </c>
      <c r="AC449" s="3">
        <f>SUMIFS('PowerApp_Physical count'!H:H,'PowerApp_Physical count'!B:B,' General Stock Summary View  '!$AB$2,'PowerApp_Physical count'!C:C,' General Stock Summary View  '!C449,'PowerApp_Physical count'!A:A,' General Stock Summary View  '!B449)</f>
        <v>0</v>
      </c>
      <c r="AD449" s="6">
        <f t="shared" si="79"/>
        <v>0</v>
      </c>
      <c r="AE449" s="7">
        <f t="shared" si="80"/>
        <v>3.05</v>
      </c>
      <c r="AF449" s="8">
        <f t="shared" si="81"/>
        <v>0.16166666666666618</v>
      </c>
      <c r="AG449" s="112"/>
    </row>
    <row r="450" spans="2:33" s="113" customFormat="1" ht="61.15">
      <c r="B450" s="117" t="s">
        <v>404</v>
      </c>
      <c r="C450" s="111" t="s">
        <v>394</v>
      </c>
      <c r="D450" s="11">
        <f>SUMIFS('XBS '!T:T,'XBS '!C:C,' General Stock Summary View  '!C450,'XBS '!L:L,' General Stock Summary View  '!B450)</f>
        <v>8.4649999999999999</v>
      </c>
      <c r="E450" s="2">
        <f>SUMIFS('Blocked for Processing'!P:P,'Blocked for Processing'!I:I,' General Stock Summary View  '!B450,'Blocked for Processing'!C:C,' General Stock Summary View  '!C450)</f>
        <v>0</v>
      </c>
      <c r="F450" s="122">
        <f t="shared" si="70"/>
        <v>8.4649999999999999</v>
      </c>
      <c r="G450" s="148">
        <f>SUMIFS('XBS '!T:T,'XBS '!H:H,' General Stock Summary View  '!$G$2,'XBS '!L:L,' General Stock Summary View  '!B450,'XBS '!C:C,' General Stock Summary View  '!C450)</f>
        <v>8.4649999999999999</v>
      </c>
      <c r="H450" s="3">
        <f>SUMIFS('PowerApp_Physical count'!H:H,'PowerApp_Physical count'!B:B,' General Stock Summary View  '!$G$2,'PowerApp_Physical count'!C:C,' General Stock Summary View  '!C450,'PowerApp_Physical count'!A:A,' General Stock Summary View  '!B450)</f>
        <v>8.6166666666666671</v>
      </c>
      <c r="I450" s="154">
        <f t="shared" si="69"/>
        <v>0.15166666666666728</v>
      </c>
      <c r="J450" s="11">
        <f>SUMIFS('XBS '!T:T,'XBS '!H:H,' General Stock Summary View  '!$J$2,'XBS '!L:L,' General Stock Summary View  '!B450,'XBS '!C:C,' General Stock Summary View  '!C450)</f>
        <v>0</v>
      </c>
      <c r="K450" s="157">
        <f>SUMIFS('PowerApp_Physical count'!H:H,'PowerApp_Physical count'!B:B,' General Stock Summary View  '!$J$2,'PowerApp_Physical count'!C:C,' General Stock Summary View  '!C450,'PowerApp_Physical count'!A:A,' General Stock Summary View  '!B450)</f>
        <v>0</v>
      </c>
      <c r="L450" s="127">
        <f t="shared" si="71"/>
        <v>0</v>
      </c>
      <c r="M450" s="126">
        <f t="shared" si="72"/>
        <v>8.4649999999999999</v>
      </c>
      <c r="N450" s="11">
        <f t="shared" si="73"/>
        <v>8.6166666666666671</v>
      </c>
      <c r="O450" s="144">
        <f t="shared" si="74"/>
        <v>0.15166666666666728</v>
      </c>
      <c r="P450" s="2">
        <f>SUMIFS('XBS '!T:T,'XBS '!H:H,' General Stock Summary View  '!$P$2,'XBS '!L:L,' General Stock Summary View  '!B450,'XBS '!C:C,' General Stock Summary View  '!C450)</f>
        <v>0</v>
      </c>
      <c r="Q450" s="3">
        <f>SUMIFS('PowerApp_Physical count'!H:H,'PowerApp_Physical count'!B:B,' General Stock Summary View  '!$P$2,'PowerApp_Physical count'!C:C,' General Stock Summary View  '!C450,'PowerApp_Physical count'!A:A,' General Stock Summary View  '!B450)</f>
        <v>0</v>
      </c>
      <c r="R450" s="4">
        <f t="shared" si="75"/>
        <v>0</v>
      </c>
      <c r="S450" s="5">
        <f>SUMIFS('XBS '!T:T,'XBS '!L:L,' General Stock Summary View  '!B450,'XBS '!H:H,' General Stock Summary View  '!$S$2,'XBS '!C:C,' General Stock Summary View  '!C450)</f>
        <v>0</v>
      </c>
      <c r="T450" s="3">
        <f>SUMIFS('PowerApp_Physical count'!H:H,'PowerApp_Physical count'!B:B,' General Stock Summary View  '!$S$2,'PowerApp_Physical count'!C:C,' General Stock Summary View  '!C450,'PowerApp_Physical count'!A:A,' General Stock Summary View  '!B450)</f>
        <v>0</v>
      </c>
      <c r="U450" s="4">
        <f t="shared" si="76"/>
        <v>0</v>
      </c>
      <c r="V450" s="2">
        <f>SUMIFS('XBS '!T:T,'XBS '!H:H,' General Stock Summary View  '!$V$2,'XBS '!B:B,' General Stock Summary View  '!C450,'XBS '!L:L,' General Stock Summary View  '!B450)</f>
        <v>0</v>
      </c>
      <c r="W450" s="3">
        <f>SUMIFS('PowerApp_Physical count'!H:H,'PowerApp_Physical count'!B:B,' General Stock Summary View  '!$V$2,'PowerApp_Physical count'!C:C,' General Stock Summary View  '!C450,'PowerApp_Physical count'!A:A,' General Stock Summary View  '!B450)</f>
        <v>0</v>
      </c>
      <c r="X450" s="4">
        <f t="shared" si="77"/>
        <v>0</v>
      </c>
      <c r="Y450" s="5">
        <f>SUMIFS('XBS '!T:T,'XBS '!H:H,' General Stock Summary View  '!$Y$2,'XBS '!B:B,' General Stock Summary View  '!C450,'XBS '!L:L,' General Stock Summary View  '!B450)</f>
        <v>0</v>
      </c>
      <c r="Z450" s="3">
        <f>SUMIFS('PowerApp_Physical count'!H:H,'PowerApp_Physical count'!B:B,' General Stock Summary View  '!$Y$2,'PowerApp_Physical count'!C:C,' General Stock Summary View  '!C450,'PowerApp_Physical count'!A:A,' General Stock Summary View  '!B450)</f>
        <v>0</v>
      </c>
      <c r="AA450" s="4">
        <f t="shared" si="78"/>
        <v>0</v>
      </c>
      <c r="AB450" s="5">
        <f>SUMIFS('XBS '!T:T,'XBS '!H:H,' General Stock Summary View  '!$AB$2,'XBS '!B:B,' General Stock Summary View  '!C450,'XBS '!L:L,' General Stock Summary View  '!B450)</f>
        <v>0</v>
      </c>
      <c r="AC450" s="3">
        <f>SUMIFS('PowerApp_Physical count'!H:H,'PowerApp_Physical count'!B:B,' General Stock Summary View  '!$AB$2,'PowerApp_Physical count'!C:C,' General Stock Summary View  '!C450,'PowerApp_Physical count'!A:A,' General Stock Summary View  '!B450)</f>
        <v>0</v>
      </c>
      <c r="AD450" s="6">
        <f t="shared" si="79"/>
        <v>0</v>
      </c>
      <c r="AE450" s="7">
        <f t="shared" si="80"/>
        <v>8.6166666666666671</v>
      </c>
      <c r="AF450" s="8">
        <f t="shared" si="81"/>
        <v>0.15166666666666728</v>
      </c>
      <c r="AG450" s="112"/>
    </row>
    <row r="451" spans="2:33" s="113" customFormat="1" ht="61.15">
      <c r="B451" s="117" t="s">
        <v>405</v>
      </c>
      <c r="C451" s="111" t="s">
        <v>394</v>
      </c>
      <c r="D451" s="11">
        <f>SUMIFS('XBS '!T:T,'XBS '!C:C,' General Stock Summary View  '!C451,'XBS '!L:L,' General Stock Summary View  '!B451)</f>
        <v>11.085000000000001</v>
      </c>
      <c r="E451" s="2">
        <f>SUMIFS('Blocked for Processing'!P:P,'Blocked for Processing'!I:I,' General Stock Summary View  '!B451,'Blocked for Processing'!C:C,' General Stock Summary View  '!C451)</f>
        <v>0</v>
      </c>
      <c r="F451" s="122">
        <f t="shared" si="70"/>
        <v>11.085000000000001</v>
      </c>
      <c r="G451" s="148">
        <f>SUMIFS('XBS '!T:T,'XBS '!H:H,' General Stock Summary View  '!$G$2,'XBS '!L:L,' General Stock Summary View  '!B451,'XBS '!C:C,' General Stock Summary View  '!C451)</f>
        <v>11.085000000000001</v>
      </c>
      <c r="H451" s="3">
        <f>SUMIFS('PowerApp_Physical count'!H:H,'PowerApp_Physical count'!B:B,' General Stock Summary View  '!$G$2,'PowerApp_Physical count'!C:C,' General Stock Summary View  '!C451,'PowerApp_Physical count'!A:A,' General Stock Summary View  '!B451)</f>
        <v>11.233333333333333</v>
      </c>
      <c r="I451" s="154">
        <f t="shared" si="69"/>
        <v>0.14833333333333165</v>
      </c>
      <c r="J451" s="11">
        <f>SUMIFS('XBS '!T:T,'XBS '!H:H,' General Stock Summary View  '!$J$2,'XBS '!L:L,' General Stock Summary View  '!B451,'XBS '!C:C,' General Stock Summary View  '!C451)</f>
        <v>0</v>
      </c>
      <c r="K451" s="157">
        <f>SUMIFS('PowerApp_Physical count'!H:H,'PowerApp_Physical count'!B:B,' General Stock Summary View  '!$J$2,'PowerApp_Physical count'!C:C,' General Stock Summary View  '!C451,'PowerApp_Physical count'!A:A,' General Stock Summary View  '!B451)</f>
        <v>0</v>
      </c>
      <c r="L451" s="127">
        <f t="shared" si="71"/>
        <v>0</v>
      </c>
      <c r="M451" s="126">
        <f t="shared" si="72"/>
        <v>11.085000000000001</v>
      </c>
      <c r="N451" s="11">
        <f t="shared" si="73"/>
        <v>11.233333333333333</v>
      </c>
      <c r="O451" s="144">
        <f t="shared" si="74"/>
        <v>0.14833333333333165</v>
      </c>
      <c r="P451" s="2">
        <f>SUMIFS('XBS '!T:T,'XBS '!H:H,' General Stock Summary View  '!$P$2,'XBS '!L:L,' General Stock Summary View  '!B451,'XBS '!C:C,' General Stock Summary View  '!C451)</f>
        <v>0</v>
      </c>
      <c r="Q451" s="3">
        <f>SUMIFS('PowerApp_Physical count'!H:H,'PowerApp_Physical count'!B:B,' General Stock Summary View  '!$P$2,'PowerApp_Physical count'!C:C,' General Stock Summary View  '!C451,'PowerApp_Physical count'!A:A,' General Stock Summary View  '!B451)</f>
        <v>0</v>
      </c>
      <c r="R451" s="4">
        <f t="shared" si="75"/>
        <v>0</v>
      </c>
      <c r="S451" s="5">
        <f>SUMIFS('XBS '!T:T,'XBS '!L:L,' General Stock Summary View  '!B451,'XBS '!H:H,' General Stock Summary View  '!$S$2,'XBS '!C:C,' General Stock Summary View  '!C451)</f>
        <v>0</v>
      </c>
      <c r="T451" s="3">
        <f>SUMIFS('PowerApp_Physical count'!H:H,'PowerApp_Physical count'!B:B,' General Stock Summary View  '!$S$2,'PowerApp_Physical count'!C:C,' General Stock Summary View  '!C451,'PowerApp_Physical count'!A:A,' General Stock Summary View  '!B451)</f>
        <v>0</v>
      </c>
      <c r="U451" s="4">
        <f t="shared" si="76"/>
        <v>0</v>
      </c>
      <c r="V451" s="2">
        <f>SUMIFS('XBS '!T:T,'XBS '!H:H,' General Stock Summary View  '!$V$2,'XBS '!B:B,' General Stock Summary View  '!C451,'XBS '!L:L,' General Stock Summary View  '!B451)</f>
        <v>0</v>
      </c>
      <c r="W451" s="3">
        <f>SUMIFS('PowerApp_Physical count'!H:H,'PowerApp_Physical count'!B:B,' General Stock Summary View  '!$V$2,'PowerApp_Physical count'!C:C,' General Stock Summary View  '!C451,'PowerApp_Physical count'!A:A,' General Stock Summary View  '!B451)</f>
        <v>0</v>
      </c>
      <c r="X451" s="4">
        <f t="shared" si="77"/>
        <v>0</v>
      </c>
      <c r="Y451" s="5">
        <f>SUMIFS('XBS '!T:T,'XBS '!H:H,' General Stock Summary View  '!$Y$2,'XBS '!B:B,' General Stock Summary View  '!C451,'XBS '!L:L,' General Stock Summary View  '!B451)</f>
        <v>0</v>
      </c>
      <c r="Z451" s="3">
        <f>SUMIFS('PowerApp_Physical count'!H:H,'PowerApp_Physical count'!B:B,' General Stock Summary View  '!$Y$2,'PowerApp_Physical count'!C:C,' General Stock Summary View  '!C451,'PowerApp_Physical count'!A:A,' General Stock Summary View  '!B451)</f>
        <v>0</v>
      </c>
      <c r="AA451" s="4">
        <f t="shared" si="78"/>
        <v>0</v>
      </c>
      <c r="AB451" s="5">
        <f>SUMIFS('XBS '!T:T,'XBS '!H:H,' General Stock Summary View  '!$AB$2,'XBS '!B:B,' General Stock Summary View  '!C451,'XBS '!L:L,' General Stock Summary View  '!B451)</f>
        <v>0</v>
      </c>
      <c r="AC451" s="3">
        <f>SUMIFS('PowerApp_Physical count'!H:H,'PowerApp_Physical count'!B:B,' General Stock Summary View  '!$AB$2,'PowerApp_Physical count'!C:C,' General Stock Summary View  '!C451,'PowerApp_Physical count'!A:A,' General Stock Summary View  '!B451)</f>
        <v>0</v>
      </c>
      <c r="AD451" s="6">
        <f t="shared" si="79"/>
        <v>0</v>
      </c>
      <c r="AE451" s="7">
        <f t="shared" si="80"/>
        <v>11.233333333333333</v>
      </c>
      <c r="AF451" s="8">
        <f t="shared" si="81"/>
        <v>0.14833333333333165</v>
      </c>
      <c r="AG451" s="112"/>
    </row>
    <row r="452" spans="2:33" s="113" customFormat="1" ht="61.15">
      <c r="B452" s="117" t="s">
        <v>406</v>
      </c>
      <c r="C452" s="111" t="s">
        <v>394</v>
      </c>
      <c r="D452" s="11">
        <f>SUMIFS('XBS '!T:T,'XBS '!C:C,' General Stock Summary View  '!C452,'XBS '!L:L,' General Stock Summary View  '!B452)</f>
        <v>29.583333333333332</v>
      </c>
      <c r="E452" s="2">
        <f>SUMIFS('Blocked for Processing'!P:P,'Blocked for Processing'!I:I,' General Stock Summary View  '!B452,'Blocked for Processing'!C:C,' General Stock Summary View  '!C452)</f>
        <v>0</v>
      </c>
      <c r="F452" s="122">
        <f t="shared" si="70"/>
        <v>29.583333333333332</v>
      </c>
      <c r="G452" s="148">
        <f>SUMIFS('XBS '!T:T,'XBS '!H:H,' General Stock Summary View  '!$G$2,'XBS '!L:L,' General Stock Summary View  '!B452,'XBS '!C:C,' General Stock Summary View  '!C452)</f>
        <v>0</v>
      </c>
      <c r="H452" s="3">
        <f>SUMIFS('PowerApp_Physical count'!H:H,'PowerApp_Physical count'!B:B,' General Stock Summary View  '!$G$2,'PowerApp_Physical count'!C:C,' General Stock Summary View  '!C452,'PowerApp_Physical count'!A:A,' General Stock Summary View  '!B452)</f>
        <v>0</v>
      </c>
      <c r="I452" s="154">
        <f t="shared" si="69"/>
        <v>0</v>
      </c>
      <c r="J452" s="11">
        <f>SUMIFS('XBS '!T:T,'XBS '!H:H,' General Stock Summary View  '!$J$2,'XBS '!L:L,' General Stock Summary View  '!B452,'XBS '!C:C,' General Stock Summary View  '!C452)</f>
        <v>0</v>
      </c>
      <c r="K452" s="157">
        <f>SUMIFS('PowerApp_Physical count'!H:H,'PowerApp_Physical count'!B:B,' General Stock Summary View  '!$J$2,'PowerApp_Physical count'!C:C,' General Stock Summary View  '!C452,'PowerApp_Physical count'!A:A,' General Stock Summary View  '!B452)</f>
        <v>0</v>
      </c>
      <c r="L452" s="127">
        <f t="shared" si="71"/>
        <v>0</v>
      </c>
      <c r="M452" s="126">
        <f t="shared" si="72"/>
        <v>0</v>
      </c>
      <c r="N452" s="11">
        <f t="shared" si="73"/>
        <v>0</v>
      </c>
      <c r="O452" s="144">
        <f t="shared" si="74"/>
        <v>0</v>
      </c>
      <c r="P452" s="2">
        <f>SUMIFS('XBS '!T:T,'XBS '!H:H,' General Stock Summary View  '!$P$2,'XBS '!L:L,' General Stock Summary View  '!B452,'XBS '!C:C,' General Stock Summary View  '!C452)</f>
        <v>0</v>
      </c>
      <c r="Q452" s="3">
        <f>SUMIFS('PowerApp_Physical count'!H:H,'PowerApp_Physical count'!B:B,' General Stock Summary View  '!$P$2,'PowerApp_Physical count'!C:C,' General Stock Summary View  '!C452,'PowerApp_Physical count'!A:A,' General Stock Summary View  '!B452)</f>
        <v>0</v>
      </c>
      <c r="R452" s="4">
        <f t="shared" si="75"/>
        <v>0</v>
      </c>
      <c r="S452" s="5">
        <f>SUMIFS('XBS '!T:T,'XBS '!L:L,' General Stock Summary View  '!B452,'XBS '!H:H,' General Stock Summary View  '!$S$2,'XBS '!C:C,' General Stock Summary View  '!C452)</f>
        <v>0</v>
      </c>
      <c r="T452" s="3">
        <f>SUMIFS('PowerApp_Physical count'!H:H,'PowerApp_Physical count'!B:B,' General Stock Summary View  '!$S$2,'PowerApp_Physical count'!C:C,' General Stock Summary View  '!C452,'PowerApp_Physical count'!A:A,' General Stock Summary View  '!B452)</f>
        <v>0</v>
      </c>
      <c r="U452" s="4">
        <f t="shared" si="76"/>
        <v>0</v>
      </c>
      <c r="V452" s="2">
        <f>SUMIFS('XBS '!T:T,'XBS '!H:H,' General Stock Summary View  '!$V$2,'XBS '!B:B,' General Stock Summary View  '!C452,'XBS '!L:L,' General Stock Summary View  '!B452)</f>
        <v>29.583333333333332</v>
      </c>
      <c r="W452" s="3">
        <f>SUMIFS('PowerApp_Physical count'!H:H,'PowerApp_Physical count'!B:B,' General Stock Summary View  '!$V$2,'PowerApp_Physical count'!C:C,' General Stock Summary View  '!C452,'PowerApp_Physical count'!A:A,' General Stock Summary View  '!B452)</f>
        <v>0</v>
      </c>
      <c r="X452" s="4">
        <f t="shared" si="77"/>
        <v>-29.583333333333332</v>
      </c>
      <c r="Y452" s="5">
        <f>SUMIFS('XBS '!T:T,'XBS '!H:H,' General Stock Summary View  '!$Y$2,'XBS '!B:B,' General Stock Summary View  '!C452,'XBS '!L:L,' General Stock Summary View  '!B452)</f>
        <v>0</v>
      </c>
      <c r="Z452" s="3">
        <f>SUMIFS('PowerApp_Physical count'!H:H,'PowerApp_Physical count'!B:B,' General Stock Summary View  '!$Y$2,'PowerApp_Physical count'!C:C,' General Stock Summary View  '!C452,'PowerApp_Physical count'!A:A,' General Stock Summary View  '!B452)</f>
        <v>0</v>
      </c>
      <c r="AA452" s="4">
        <f t="shared" si="78"/>
        <v>0</v>
      </c>
      <c r="AB452" s="5">
        <f>SUMIFS('XBS '!T:T,'XBS '!H:H,' General Stock Summary View  '!$AB$2,'XBS '!B:B,' General Stock Summary View  '!C452,'XBS '!L:L,' General Stock Summary View  '!B452)</f>
        <v>0</v>
      </c>
      <c r="AC452" s="3">
        <f>SUMIFS('PowerApp_Physical count'!H:H,'PowerApp_Physical count'!B:B,' General Stock Summary View  '!$AB$2,'PowerApp_Physical count'!C:C,' General Stock Summary View  '!C452,'PowerApp_Physical count'!A:A,' General Stock Summary View  '!B452)</f>
        <v>0</v>
      </c>
      <c r="AD452" s="6">
        <f t="shared" si="79"/>
        <v>0</v>
      </c>
      <c r="AE452" s="7">
        <f t="shared" si="80"/>
        <v>0</v>
      </c>
      <c r="AF452" s="8">
        <f t="shared" si="81"/>
        <v>-29.583333333333332</v>
      </c>
      <c r="AG452" s="112"/>
    </row>
    <row r="453" spans="2:33" s="113" customFormat="1" ht="61.15">
      <c r="B453" s="117" t="s">
        <v>407</v>
      </c>
      <c r="C453" s="111" t="s">
        <v>394</v>
      </c>
      <c r="D453" s="11">
        <f>SUMIFS('XBS '!T:T,'XBS '!C:C,' General Stock Summary View  '!C453,'XBS '!L:L,' General Stock Summary View  '!B453)</f>
        <v>6.666666666666667</v>
      </c>
      <c r="E453" s="2">
        <f>SUMIFS('Blocked for Processing'!P:P,'Blocked for Processing'!I:I,' General Stock Summary View  '!B453,'Blocked for Processing'!C:C,' General Stock Summary View  '!C453)</f>
        <v>0</v>
      </c>
      <c r="F453" s="122">
        <f t="shared" si="70"/>
        <v>6.666666666666667</v>
      </c>
      <c r="G453" s="148">
        <f>SUMIFS('XBS '!T:T,'XBS '!H:H,' General Stock Summary View  '!$G$2,'XBS '!L:L,' General Stock Summary View  '!B453,'XBS '!C:C,' General Stock Summary View  '!C453)</f>
        <v>0</v>
      </c>
      <c r="H453" s="3">
        <f>SUMIFS('PowerApp_Physical count'!H:H,'PowerApp_Physical count'!B:B,' General Stock Summary View  '!$G$2,'PowerApp_Physical count'!C:C,' General Stock Summary View  '!C453,'PowerApp_Physical count'!A:A,' General Stock Summary View  '!B453)</f>
        <v>0</v>
      </c>
      <c r="I453" s="154">
        <f t="shared" si="69"/>
        <v>0</v>
      </c>
      <c r="J453" s="11">
        <f>SUMIFS('XBS '!T:T,'XBS '!H:H,' General Stock Summary View  '!$J$2,'XBS '!L:L,' General Stock Summary View  '!B453,'XBS '!C:C,' General Stock Summary View  '!C453)</f>
        <v>0</v>
      </c>
      <c r="K453" s="157">
        <f>SUMIFS('PowerApp_Physical count'!H:H,'PowerApp_Physical count'!B:B,' General Stock Summary View  '!$J$2,'PowerApp_Physical count'!C:C,' General Stock Summary View  '!C453,'PowerApp_Physical count'!A:A,' General Stock Summary View  '!B453)</f>
        <v>0</v>
      </c>
      <c r="L453" s="127">
        <f t="shared" si="71"/>
        <v>0</v>
      </c>
      <c r="M453" s="126">
        <f t="shared" si="72"/>
        <v>0</v>
      </c>
      <c r="N453" s="11">
        <f t="shared" si="73"/>
        <v>0</v>
      </c>
      <c r="O453" s="144">
        <f t="shared" si="74"/>
        <v>0</v>
      </c>
      <c r="P453" s="2">
        <f>SUMIFS('XBS '!T:T,'XBS '!H:H,' General Stock Summary View  '!$P$2,'XBS '!L:L,' General Stock Summary View  '!B453,'XBS '!C:C,' General Stock Summary View  '!C453)</f>
        <v>0</v>
      </c>
      <c r="Q453" s="3">
        <f>SUMIFS('PowerApp_Physical count'!H:H,'PowerApp_Physical count'!B:B,' General Stock Summary View  '!$P$2,'PowerApp_Physical count'!C:C,' General Stock Summary View  '!C453,'PowerApp_Physical count'!A:A,' General Stock Summary View  '!B453)</f>
        <v>0</v>
      </c>
      <c r="R453" s="4">
        <f t="shared" si="75"/>
        <v>0</v>
      </c>
      <c r="S453" s="5">
        <f>SUMIFS('XBS '!T:T,'XBS '!L:L,' General Stock Summary View  '!B453,'XBS '!H:H,' General Stock Summary View  '!$S$2,'XBS '!C:C,' General Stock Summary View  '!C453)</f>
        <v>6.666666666666667</v>
      </c>
      <c r="T453" s="3">
        <f>SUMIFS('PowerApp_Physical count'!H:H,'PowerApp_Physical count'!B:B,' General Stock Summary View  '!$S$2,'PowerApp_Physical count'!C:C,' General Stock Summary View  '!C453,'PowerApp_Physical count'!A:A,' General Stock Summary View  '!B453)</f>
        <v>0</v>
      </c>
      <c r="U453" s="4">
        <f t="shared" si="76"/>
        <v>-6.666666666666667</v>
      </c>
      <c r="V453" s="2">
        <f>SUMIFS('XBS '!T:T,'XBS '!H:H,' General Stock Summary View  '!$V$2,'XBS '!B:B,' General Stock Summary View  '!C453,'XBS '!L:L,' General Stock Summary View  '!B453)</f>
        <v>0</v>
      </c>
      <c r="W453" s="3">
        <f>SUMIFS('PowerApp_Physical count'!H:H,'PowerApp_Physical count'!B:B,' General Stock Summary View  '!$V$2,'PowerApp_Physical count'!C:C,' General Stock Summary View  '!C453,'PowerApp_Physical count'!A:A,' General Stock Summary View  '!B453)</f>
        <v>0</v>
      </c>
      <c r="X453" s="4">
        <f t="shared" si="77"/>
        <v>0</v>
      </c>
      <c r="Y453" s="5">
        <f>SUMIFS('XBS '!T:T,'XBS '!H:H,' General Stock Summary View  '!$Y$2,'XBS '!B:B,' General Stock Summary View  '!C453,'XBS '!L:L,' General Stock Summary View  '!B453)</f>
        <v>0</v>
      </c>
      <c r="Z453" s="3">
        <f>SUMIFS('PowerApp_Physical count'!H:H,'PowerApp_Physical count'!B:B,' General Stock Summary View  '!$Y$2,'PowerApp_Physical count'!C:C,' General Stock Summary View  '!C453,'PowerApp_Physical count'!A:A,' General Stock Summary View  '!B453)</f>
        <v>0</v>
      </c>
      <c r="AA453" s="4">
        <f t="shared" si="78"/>
        <v>0</v>
      </c>
      <c r="AB453" s="5">
        <f>SUMIFS('XBS '!T:T,'XBS '!H:H,' General Stock Summary View  '!$AB$2,'XBS '!B:B,' General Stock Summary View  '!C453,'XBS '!L:L,' General Stock Summary View  '!B453)</f>
        <v>0</v>
      </c>
      <c r="AC453" s="3">
        <f>SUMIFS('PowerApp_Physical count'!H:H,'PowerApp_Physical count'!B:B,' General Stock Summary View  '!$AB$2,'PowerApp_Physical count'!C:C,' General Stock Summary View  '!C453,'PowerApp_Physical count'!A:A,' General Stock Summary View  '!B453)</f>
        <v>0</v>
      </c>
      <c r="AD453" s="6">
        <f t="shared" si="79"/>
        <v>0</v>
      </c>
      <c r="AE453" s="7">
        <f t="shared" si="80"/>
        <v>0</v>
      </c>
      <c r="AF453" s="8">
        <f t="shared" si="81"/>
        <v>-6.666666666666667</v>
      </c>
      <c r="AG453" s="112"/>
    </row>
    <row r="454" spans="2:33" s="113" customFormat="1" ht="61.15">
      <c r="B454" s="117" t="s">
        <v>127</v>
      </c>
      <c r="C454" s="111" t="s">
        <v>394</v>
      </c>
      <c r="D454" s="11">
        <f>SUMIFS('XBS '!T:T,'XBS '!C:C,' General Stock Summary View  '!C454,'XBS '!L:L,' General Stock Summary View  '!B454)</f>
        <v>3.9333333333333331</v>
      </c>
      <c r="E454" s="2">
        <f>SUMIFS('Blocked for Processing'!P:P,'Blocked for Processing'!I:I,' General Stock Summary View  '!B454,'Blocked for Processing'!C:C,' General Stock Summary View  '!C454)</f>
        <v>0</v>
      </c>
      <c r="F454" s="122">
        <f t="shared" si="70"/>
        <v>3.9333333333333331</v>
      </c>
      <c r="G454" s="148">
        <f>SUMIFS('XBS '!T:T,'XBS '!H:H,' General Stock Summary View  '!$G$2,'XBS '!L:L,' General Stock Summary View  '!B454,'XBS '!C:C,' General Stock Summary View  '!C454)</f>
        <v>0</v>
      </c>
      <c r="H454" s="3">
        <f>SUMIFS('PowerApp_Physical count'!H:H,'PowerApp_Physical count'!B:B,' General Stock Summary View  '!$G$2,'PowerApp_Physical count'!C:C,' General Stock Summary View  '!C454,'PowerApp_Physical count'!A:A,' General Stock Summary View  '!B454)</f>
        <v>0</v>
      </c>
      <c r="I454" s="154">
        <f t="shared" si="69"/>
        <v>0</v>
      </c>
      <c r="J454" s="11">
        <f>SUMIFS('XBS '!T:T,'XBS '!H:H,' General Stock Summary View  '!$J$2,'XBS '!L:L,' General Stock Summary View  '!B454,'XBS '!C:C,' General Stock Summary View  '!C454)</f>
        <v>0</v>
      </c>
      <c r="K454" s="157">
        <f>SUMIFS('PowerApp_Physical count'!H:H,'PowerApp_Physical count'!B:B,' General Stock Summary View  '!$J$2,'PowerApp_Physical count'!C:C,' General Stock Summary View  '!C454,'PowerApp_Physical count'!A:A,' General Stock Summary View  '!B454)</f>
        <v>0</v>
      </c>
      <c r="L454" s="127">
        <f t="shared" si="71"/>
        <v>0</v>
      </c>
      <c r="M454" s="126">
        <f t="shared" si="72"/>
        <v>0</v>
      </c>
      <c r="N454" s="11">
        <f t="shared" si="73"/>
        <v>0</v>
      </c>
      <c r="O454" s="144">
        <f t="shared" si="74"/>
        <v>0</v>
      </c>
      <c r="P454" s="2">
        <f>SUMIFS('XBS '!T:T,'XBS '!H:H,' General Stock Summary View  '!$P$2,'XBS '!L:L,' General Stock Summary View  '!B454,'XBS '!C:C,' General Stock Summary View  '!C454)</f>
        <v>0</v>
      </c>
      <c r="Q454" s="3">
        <f>SUMIFS('PowerApp_Physical count'!H:H,'PowerApp_Physical count'!B:B,' General Stock Summary View  '!$P$2,'PowerApp_Physical count'!C:C,' General Stock Summary View  '!C454,'PowerApp_Physical count'!A:A,' General Stock Summary View  '!B454)</f>
        <v>0</v>
      </c>
      <c r="R454" s="4">
        <f t="shared" si="75"/>
        <v>0</v>
      </c>
      <c r="S454" s="5">
        <f>SUMIFS('XBS '!T:T,'XBS '!L:L,' General Stock Summary View  '!B454,'XBS '!H:H,' General Stock Summary View  '!$S$2,'XBS '!C:C,' General Stock Summary View  '!C454)</f>
        <v>3.9333333333333331</v>
      </c>
      <c r="T454" s="3">
        <f>SUMIFS('PowerApp_Physical count'!H:H,'PowerApp_Physical count'!B:B,' General Stock Summary View  '!$S$2,'PowerApp_Physical count'!C:C,' General Stock Summary View  '!C454,'PowerApp_Physical count'!A:A,' General Stock Summary View  '!B454)</f>
        <v>0</v>
      </c>
      <c r="U454" s="4">
        <f t="shared" si="76"/>
        <v>-3.9333333333333331</v>
      </c>
      <c r="V454" s="2">
        <f>SUMIFS('XBS '!T:T,'XBS '!H:H,' General Stock Summary View  '!$V$2,'XBS '!B:B,' General Stock Summary View  '!C454,'XBS '!L:L,' General Stock Summary View  '!B454)</f>
        <v>0</v>
      </c>
      <c r="W454" s="3">
        <f>SUMIFS('PowerApp_Physical count'!H:H,'PowerApp_Physical count'!B:B,' General Stock Summary View  '!$V$2,'PowerApp_Physical count'!C:C,' General Stock Summary View  '!C454,'PowerApp_Physical count'!A:A,' General Stock Summary View  '!B454)</f>
        <v>0</v>
      </c>
      <c r="X454" s="4">
        <f t="shared" si="77"/>
        <v>0</v>
      </c>
      <c r="Y454" s="5">
        <f>SUMIFS('XBS '!T:T,'XBS '!H:H,' General Stock Summary View  '!$Y$2,'XBS '!B:B,' General Stock Summary View  '!C454,'XBS '!L:L,' General Stock Summary View  '!B454)</f>
        <v>0</v>
      </c>
      <c r="Z454" s="3">
        <f>SUMIFS('PowerApp_Physical count'!H:H,'PowerApp_Physical count'!B:B,' General Stock Summary View  '!$Y$2,'PowerApp_Physical count'!C:C,' General Stock Summary View  '!C454,'PowerApp_Physical count'!A:A,' General Stock Summary View  '!B454)</f>
        <v>0</v>
      </c>
      <c r="AA454" s="4">
        <f t="shared" si="78"/>
        <v>0</v>
      </c>
      <c r="AB454" s="5">
        <f>SUMIFS('XBS '!T:T,'XBS '!H:H,' General Stock Summary View  '!$AB$2,'XBS '!B:B,' General Stock Summary View  '!C454,'XBS '!L:L,' General Stock Summary View  '!B454)</f>
        <v>0</v>
      </c>
      <c r="AC454" s="3">
        <f>SUMIFS('PowerApp_Physical count'!H:H,'PowerApp_Physical count'!B:B,' General Stock Summary View  '!$AB$2,'PowerApp_Physical count'!C:C,' General Stock Summary View  '!C454,'PowerApp_Physical count'!A:A,' General Stock Summary View  '!B454)</f>
        <v>0</v>
      </c>
      <c r="AD454" s="6">
        <f t="shared" si="79"/>
        <v>0</v>
      </c>
      <c r="AE454" s="7">
        <f t="shared" si="80"/>
        <v>0</v>
      </c>
      <c r="AF454" s="8">
        <f t="shared" si="81"/>
        <v>-3.9333333333333331</v>
      </c>
      <c r="AG454" s="112"/>
    </row>
    <row r="455" spans="2:33" s="113" customFormat="1" ht="61.15">
      <c r="B455" s="117" t="s">
        <v>408</v>
      </c>
      <c r="C455" s="111" t="s">
        <v>394</v>
      </c>
      <c r="D455" s="11">
        <f>SUMIFS('XBS '!T:T,'XBS '!C:C,' General Stock Summary View  '!C455,'XBS '!L:L,' General Stock Summary View  '!B455)</f>
        <v>8.4666666666666668</v>
      </c>
      <c r="E455" s="2">
        <f>SUMIFS('Blocked for Processing'!P:P,'Blocked for Processing'!I:I,' General Stock Summary View  '!B455,'Blocked for Processing'!C:C,' General Stock Summary View  '!C455)</f>
        <v>0</v>
      </c>
      <c r="F455" s="122">
        <f t="shared" si="70"/>
        <v>8.4666666666666668</v>
      </c>
      <c r="G455" s="148">
        <f>SUMIFS('XBS '!T:T,'XBS '!H:H,' General Stock Summary View  '!$G$2,'XBS '!L:L,' General Stock Summary View  '!B455,'XBS '!C:C,' General Stock Summary View  '!C455)</f>
        <v>0</v>
      </c>
      <c r="H455" s="3">
        <f>SUMIFS('PowerApp_Physical count'!H:H,'PowerApp_Physical count'!B:B,' General Stock Summary View  '!$G$2,'PowerApp_Physical count'!C:C,' General Stock Summary View  '!C455,'PowerApp_Physical count'!A:A,' General Stock Summary View  '!B455)</f>
        <v>0</v>
      </c>
      <c r="I455" s="154">
        <f t="shared" si="69"/>
        <v>0</v>
      </c>
      <c r="J455" s="11">
        <f>SUMIFS('XBS '!T:T,'XBS '!H:H,' General Stock Summary View  '!$J$2,'XBS '!L:L,' General Stock Summary View  '!B455,'XBS '!C:C,' General Stock Summary View  '!C455)</f>
        <v>0</v>
      </c>
      <c r="K455" s="157">
        <f>SUMIFS('PowerApp_Physical count'!H:H,'PowerApp_Physical count'!B:B,' General Stock Summary View  '!$J$2,'PowerApp_Physical count'!C:C,' General Stock Summary View  '!C455,'PowerApp_Physical count'!A:A,' General Stock Summary View  '!B455)</f>
        <v>0</v>
      </c>
      <c r="L455" s="127">
        <f t="shared" si="71"/>
        <v>0</v>
      </c>
      <c r="M455" s="126">
        <f t="shared" si="72"/>
        <v>0</v>
      </c>
      <c r="N455" s="11">
        <f t="shared" si="73"/>
        <v>0</v>
      </c>
      <c r="O455" s="144">
        <f t="shared" si="74"/>
        <v>0</v>
      </c>
      <c r="P455" s="2">
        <f>SUMIFS('XBS '!T:T,'XBS '!H:H,' General Stock Summary View  '!$P$2,'XBS '!L:L,' General Stock Summary View  '!B455,'XBS '!C:C,' General Stock Summary View  '!C455)</f>
        <v>0</v>
      </c>
      <c r="Q455" s="3">
        <f>SUMIFS('PowerApp_Physical count'!H:H,'PowerApp_Physical count'!B:B,' General Stock Summary View  '!$P$2,'PowerApp_Physical count'!C:C,' General Stock Summary View  '!C455,'PowerApp_Physical count'!A:A,' General Stock Summary View  '!B455)</f>
        <v>0</v>
      </c>
      <c r="R455" s="4">
        <f t="shared" si="75"/>
        <v>0</v>
      </c>
      <c r="S455" s="5">
        <f>SUMIFS('XBS '!T:T,'XBS '!L:L,' General Stock Summary View  '!B455,'XBS '!H:H,' General Stock Summary View  '!$S$2,'XBS '!C:C,' General Stock Summary View  '!C455)</f>
        <v>8.4666666666666668</v>
      </c>
      <c r="T455" s="3">
        <f>SUMIFS('PowerApp_Physical count'!H:H,'PowerApp_Physical count'!B:B,' General Stock Summary View  '!$S$2,'PowerApp_Physical count'!C:C,' General Stock Summary View  '!C455,'PowerApp_Physical count'!A:A,' General Stock Summary View  '!B455)</f>
        <v>0</v>
      </c>
      <c r="U455" s="4">
        <f t="shared" si="76"/>
        <v>-8.4666666666666668</v>
      </c>
      <c r="V455" s="2">
        <f>SUMIFS('XBS '!T:T,'XBS '!H:H,' General Stock Summary View  '!$V$2,'XBS '!B:B,' General Stock Summary View  '!C455,'XBS '!L:L,' General Stock Summary View  '!B455)</f>
        <v>0</v>
      </c>
      <c r="W455" s="3">
        <f>SUMIFS('PowerApp_Physical count'!H:H,'PowerApp_Physical count'!B:B,' General Stock Summary View  '!$V$2,'PowerApp_Physical count'!C:C,' General Stock Summary View  '!C455,'PowerApp_Physical count'!A:A,' General Stock Summary View  '!B455)</f>
        <v>0</v>
      </c>
      <c r="X455" s="4">
        <f t="shared" si="77"/>
        <v>0</v>
      </c>
      <c r="Y455" s="5">
        <f>SUMIFS('XBS '!T:T,'XBS '!H:H,' General Stock Summary View  '!$Y$2,'XBS '!B:B,' General Stock Summary View  '!C455,'XBS '!L:L,' General Stock Summary View  '!B455)</f>
        <v>0</v>
      </c>
      <c r="Z455" s="3">
        <f>SUMIFS('PowerApp_Physical count'!H:H,'PowerApp_Physical count'!B:B,' General Stock Summary View  '!$Y$2,'PowerApp_Physical count'!C:C,' General Stock Summary View  '!C455,'PowerApp_Physical count'!A:A,' General Stock Summary View  '!B455)</f>
        <v>0</v>
      </c>
      <c r="AA455" s="4">
        <f t="shared" si="78"/>
        <v>0</v>
      </c>
      <c r="AB455" s="5">
        <f>SUMIFS('XBS '!T:T,'XBS '!H:H,' General Stock Summary View  '!$AB$2,'XBS '!B:B,' General Stock Summary View  '!C455,'XBS '!L:L,' General Stock Summary View  '!B455)</f>
        <v>0</v>
      </c>
      <c r="AC455" s="3">
        <f>SUMIFS('PowerApp_Physical count'!H:H,'PowerApp_Physical count'!B:B,' General Stock Summary View  '!$AB$2,'PowerApp_Physical count'!C:C,' General Stock Summary View  '!C455,'PowerApp_Physical count'!A:A,' General Stock Summary View  '!B455)</f>
        <v>0</v>
      </c>
      <c r="AD455" s="6">
        <f t="shared" si="79"/>
        <v>0</v>
      </c>
      <c r="AE455" s="7">
        <f t="shared" si="80"/>
        <v>0</v>
      </c>
      <c r="AF455" s="8">
        <f t="shared" si="81"/>
        <v>-8.4666666666666668</v>
      </c>
      <c r="AG455" s="112"/>
    </row>
    <row r="456" spans="2:33" s="113" customFormat="1" ht="61.15">
      <c r="B456" s="117" t="s">
        <v>409</v>
      </c>
      <c r="C456" s="111" t="s">
        <v>410</v>
      </c>
      <c r="D456" s="11">
        <f>SUMIFS('XBS '!T:T,'XBS '!C:C,' General Stock Summary View  '!C456,'XBS '!L:L,' General Stock Summary View  '!B456)</f>
        <v>4.0666666666666664</v>
      </c>
      <c r="E456" s="2">
        <f>SUMIFS('Blocked for Processing'!P:P,'Blocked for Processing'!I:I,' General Stock Summary View  '!B456,'Blocked for Processing'!C:C,' General Stock Summary View  '!C456)</f>
        <v>0</v>
      </c>
      <c r="F456" s="122">
        <f t="shared" si="70"/>
        <v>4.0666666666666664</v>
      </c>
      <c r="G456" s="148">
        <f>SUMIFS('XBS '!T:T,'XBS '!H:H,' General Stock Summary View  '!$G$2,'XBS '!L:L,' General Stock Summary View  '!B456,'XBS '!C:C,' General Stock Summary View  '!C456)</f>
        <v>0</v>
      </c>
      <c r="H456" s="3">
        <f>SUMIFS('PowerApp_Physical count'!H:H,'PowerApp_Physical count'!B:B,' General Stock Summary View  '!$G$2,'PowerApp_Physical count'!C:C,' General Stock Summary View  '!C456,'PowerApp_Physical count'!A:A,' General Stock Summary View  '!B456)</f>
        <v>0</v>
      </c>
      <c r="I456" s="154">
        <f t="shared" si="69"/>
        <v>0</v>
      </c>
      <c r="J456" s="11">
        <f>SUMIFS('XBS '!T:T,'XBS '!H:H,' General Stock Summary View  '!$J$2,'XBS '!L:L,' General Stock Summary View  '!B456,'XBS '!C:C,' General Stock Summary View  '!C456)</f>
        <v>0</v>
      </c>
      <c r="K456" s="157">
        <f>SUMIFS('PowerApp_Physical count'!H:H,'PowerApp_Physical count'!B:B,' General Stock Summary View  '!$J$2,'PowerApp_Physical count'!C:C,' General Stock Summary View  '!C456,'PowerApp_Physical count'!A:A,' General Stock Summary View  '!B456)</f>
        <v>0</v>
      </c>
      <c r="L456" s="127">
        <f t="shared" si="71"/>
        <v>0</v>
      </c>
      <c r="M456" s="126">
        <f t="shared" si="72"/>
        <v>0</v>
      </c>
      <c r="N456" s="11">
        <f t="shared" si="73"/>
        <v>0</v>
      </c>
      <c r="O456" s="144">
        <f t="shared" si="74"/>
        <v>0</v>
      </c>
      <c r="P456" s="2">
        <f>SUMIFS('XBS '!T:T,'XBS '!H:H,' General Stock Summary View  '!$P$2,'XBS '!L:L,' General Stock Summary View  '!B456,'XBS '!C:C,' General Stock Summary View  '!C456)</f>
        <v>4.0666666666666664</v>
      </c>
      <c r="Q456" s="3">
        <f>SUMIFS('PowerApp_Physical count'!H:H,'PowerApp_Physical count'!B:B,' General Stock Summary View  '!$P$2,'PowerApp_Physical count'!C:C,' General Stock Summary View  '!C456,'PowerApp_Physical count'!A:A,' General Stock Summary View  '!B456)</f>
        <v>0</v>
      </c>
      <c r="R456" s="4">
        <f t="shared" si="75"/>
        <v>-4.0666666666666664</v>
      </c>
      <c r="S456" s="5">
        <f>SUMIFS('XBS '!T:T,'XBS '!L:L,' General Stock Summary View  '!B456,'XBS '!H:H,' General Stock Summary View  '!$S$2,'XBS '!C:C,' General Stock Summary View  '!C456)</f>
        <v>0</v>
      </c>
      <c r="T456" s="3">
        <f>SUMIFS('PowerApp_Physical count'!H:H,'PowerApp_Physical count'!B:B,' General Stock Summary View  '!$S$2,'PowerApp_Physical count'!C:C,' General Stock Summary View  '!C456,'PowerApp_Physical count'!A:A,' General Stock Summary View  '!B456)</f>
        <v>0</v>
      </c>
      <c r="U456" s="4">
        <f t="shared" si="76"/>
        <v>0</v>
      </c>
      <c r="V456" s="2">
        <f>SUMIFS('XBS '!T:T,'XBS '!H:H,' General Stock Summary View  '!$V$2,'XBS '!B:B,' General Stock Summary View  '!C456,'XBS '!L:L,' General Stock Summary View  '!B456)</f>
        <v>0</v>
      </c>
      <c r="W456" s="3">
        <f>SUMIFS('PowerApp_Physical count'!H:H,'PowerApp_Physical count'!B:B,' General Stock Summary View  '!$V$2,'PowerApp_Physical count'!C:C,' General Stock Summary View  '!C456,'PowerApp_Physical count'!A:A,' General Stock Summary View  '!B456)</f>
        <v>0</v>
      </c>
      <c r="X456" s="4">
        <f t="shared" si="77"/>
        <v>0</v>
      </c>
      <c r="Y456" s="5">
        <f>SUMIFS('XBS '!T:T,'XBS '!H:H,' General Stock Summary View  '!$Y$2,'XBS '!B:B,' General Stock Summary View  '!C456,'XBS '!L:L,' General Stock Summary View  '!B456)</f>
        <v>0</v>
      </c>
      <c r="Z456" s="3">
        <f>SUMIFS('PowerApp_Physical count'!H:H,'PowerApp_Physical count'!B:B,' General Stock Summary View  '!$Y$2,'PowerApp_Physical count'!C:C,' General Stock Summary View  '!C456,'PowerApp_Physical count'!A:A,' General Stock Summary View  '!B456)</f>
        <v>0</v>
      </c>
      <c r="AA456" s="4">
        <f t="shared" si="78"/>
        <v>0</v>
      </c>
      <c r="AB456" s="5">
        <f>SUMIFS('XBS '!T:T,'XBS '!H:H,' General Stock Summary View  '!$AB$2,'XBS '!B:B,' General Stock Summary View  '!C456,'XBS '!L:L,' General Stock Summary View  '!B456)</f>
        <v>0</v>
      </c>
      <c r="AC456" s="3">
        <f>SUMIFS('PowerApp_Physical count'!H:H,'PowerApp_Physical count'!B:B,' General Stock Summary View  '!$AB$2,'PowerApp_Physical count'!C:C,' General Stock Summary View  '!C456,'PowerApp_Physical count'!A:A,' General Stock Summary View  '!B456)</f>
        <v>0</v>
      </c>
      <c r="AD456" s="6">
        <f t="shared" si="79"/>
        <v>0</v>
      </c>
      <c r="AE456" s="7">
        <f t="shared" si="80"/>
        <v>0</v>
      </c>
      <c r="AF456" s="8">
        <f t="shared" si="81"/>
        <v>-4.0666666666666664</v>
      </c>
      <c r="AG456" s="112"/>
    </row>
    <row r="457" spans="2:33" s="113" customFormat="1" ht="61.15">
      <c r="B457" s="117" t="s">
        <v>411</v>
      </c>
      <c r="C457" s="111" t="s">
        <v>410</v>
      </c>
      <c r="D457" s="11">
        <f>SUMIFS('XBS '!T:T,'XBS '!C:C,' General Stock Summary View  '!C457,'XBS '!L:L,' General Stock Summary View  '!B457)</f>
        <v>8.1333333333333329</v>
      </c>
      <c r="E457" s="2">
        <f>SUMIFS('Blocked for Processing'!P:P,'Blocked for Processing'!I:I,' General Stock Summary View  '!B457,'Blocked for Processing'!C:C,' General Stock Summary View  '!C457)</f>
        <v>0</v>
      </c>
      <c r="F457" s="122">
        <f t="shared" si="70"/>
        <v>8.1333333333333329</v>
      </c>
      <c r="G457" s="148">
        <f>SUMIFS('XBS '!T:T,'XBS '!H:H,' General Stock Summary View  '!$G$2,'XBS '!L:L,' General Stock Summary View  '!B457,'XBS '!C:C,' General Stock Summary View  '!C457)</f>
        <v>0</v>
      </c>
      <c r="H457" s="3">
        <f>SUMIFS('PowerApp_Physical count'!H:H,'PowerApp_Physical count'!B:B,' General Stock Summary View  '!$G$2,'PowerApp_Physical count'!C:C,' General Stock Summary View  '!C457,'PowerApp_Physical count'!A:A,' General Stock Summary View  '!B457)</f>
        <v>0</v>
      </c>
      <c r="I457" s="154">
        <f t="shared" si="69"/>
        <v>0</v>
      </c>
      <c r="J457" s="11">
        <f>SUMIFS('XBS '!T:T,'XBS '!H:H,' General Stock Summary View  '!$J$2,'XBS '!L:L,' General Stock Summary View  '!B457,'XBS '!C:C,' General Stock Summary View  '!C457)</f>
        <v>0</v>
      </c>
      <c r="K457" s="157">
        <f>SUMIFS('PowerApp_Physical count'!H:H,'PowerApp_Physical count'!B:B,' General Stock Summary View  '!$J$2,'PowerApp_Physical count'!C:C,' General Stock Summary View  '!C457,'PowerApp_Physical count'!A:A,' General Stock Summary View  '!B457)</f>
        <v>0</v>
      </c>
      <c r="L457" s="127">
        <f t="shared" si="71"/>
        <v>0</v>
      </c>
      <c r="M457" s="126">
        <f t="shared" si="72"/>
        <v>0</v>
      </c>
      <c r="N457" s="11">
        <f t="shared" si="73"/>
        <v>0</v>
      </c>
      <c r="O457" s="144">
        <f t="shared" si="74"/>
        <v>0</v>
      </c>
      <c r="P457" s="2">
        <f>SUMIFS('XBS '!T:T,'XBS '!H:H,' General Stock Summary View  '!$P$2,'XBS '!L:L,' General Stock Summary View  '!B457,'XBS '!C:C,' General Stock Summary View  '!C457)</f>
        <v>8.1333333333333329</v>
      </c>
      <c r="Q457" s="3">
        <f>SUMIFS('PowerApp_Physical count'!H:H,'PowerApp_Physical count'!B:B,' General Stock Summary View  '!$P$2,'PowerApp_Physical count'!C:C,' General Stock Summary View  '!C457,'PowerApp_Physical count'!A:A,' General Stock Summary View  '!B457)</f>
        <v>0</v>
      </c>
      <c r="R457" s="4">
        <f t="shared" si="75"/>
        <v>-8.1333333333333329</v>
      </c>
      <c r="S457" s="5">
        <f>SUMIFS('XBS '!T:T,'XBS '!L:L,' General Stock Summary View  '!B457,'XBS '!H:H,' General Stock Summary View  '!$S$2,'XBS '!C:C,' General Stock Summary View  '!C457)</f>
        <v>0</v>
      </c>
      <c r="T457" s="3">
        <f>SUMIFS('PowerApp_Physical count'!H:H,'PowerApp_Physical count'!B:B,' General Stock Summary View  '!$S$2,'PowerApp_Physical count'!C:C,' General Stock Summary View  '!C457,'PowerApp_Physical count'!A:A,' General Stock Summary View  '!B457)</f>
        <v>0</v>
      </c>
      <c r="U457" s="4">
        <f t="shared" si="76"/>
        <v>0</v>
      </c>
      <c r="V457" s="2">
        <f>SUMIFS('XBS '!T:T,'XBS '!H:H,' General Stock Summary View  '!$V$2,'XBS '!B:B,' General Stock Summary View  '!C457,'XBS '!L:L,' General Stock Summary View  '!B457)</f>
        <v>0</v>
      </c>
      <c r="W457" s="3">
        <f>SUMIFS('PowerApp_Physical count'!H:H,'PowerApp_Physical count'!B:B,' General Stock Summary View  '!$V$2,'PowerApp_Physical count'!C:C,' General Stock Summary View  '!C457,'PowerApp_Physical count'!A:A,' General Stock Summary View  '!B457)</f>
        <v>0</v>
      </c>
      <c r="X457" s="4">
        <f t="shared" si="77"/>
        <v>0</v>
      </c>
      <c r="Y457" s="5">
        <f>SUMIFS('XBS '!T:T,'XBS '!H:H,' General Stock Summary View  '!$Y$2,'XBS '!B:B,' General Stock Summary View  '!C457,'XBS '!L:L,' General Stock Summary View  '!B457)</f>
        <v>0</v>
      </c>
      <c r="Z457" s="3">
        <f>SUMIFS('PowerApp_Physical count'!H:H,'PowerApp_Physical count'!B:B,' General Stock Summary View  '!$Y$2,'PowerApp_Physical count'!C:C,' General Stock Summary View  '!C457,'PowerApp_Physical count'!A:A,' General Stock Summary View  '!B457)</f>
        <v>0</v>
      </c>
      <c r="AA457" s="4">
        <f t="shared" si="78"/>
        <v>0</v>
      </c>
      <c r="AB457" s="5">
        <f>SUMIFS('XBS '!T:T,'XBS '!H:H,' General Stock Summary View  '!$AB$2,'XBS '!B:B,' General Stock Summary View  '!C457,'XBS '!L:L,' General Stock Summary View  '!B457)</f>
        <v>0</v>
      </c>
      <c r="AC457" s="3">
        <f>SUMIFS('PowerApp_Physical count'!H:H,'PowerApp_Physical count'!B:B,' General Stock Summary View  '!$AB$2,'PowerApp_Physical count'!C:C,' General Stock Summary View  '!C457,'PowerApp_Physical count'!A:A,' General Stock Summary View  '!B457)</f>
        <v>0</v>
      </c>
      <c r="AD457" s="6">
        <f t="shared" si="79"/>
        <v>0</v>
      </c>
      <c r="AE457" s="7">
        <f t="shared" si="80"/>
        <v>0</v>
      </c>
      <c r="AF457" s="8">
        <f t="shared" si="81"/>
        <v>-8.1333333333333329</v>
      </c>
      <c r="AG457" s="112"/>
    </row>
    <row r="458" spans="2:33" s="113" customFormat="1" ht="61.15">
      <c r="B458" s="117" t="s">
        <v>412</v>
      </c>
      <c r="C458" s="111" t="s">
        <v>410</v>
      </c>
      <c r="D458" s="11">
        <f>SUMIFS('XBS '!T:T,'XBS '!C:C,' General Stock Summary View  '!C458,'XBS '!L:L,' General Stock Summary View  '!B458)</f>
        <v>9.8833333333333329</v>
      </c>
      <c r="E458" s="2">
        <f>SUMIFS('Blocked for Processing'!P:P,'Blocked for Processing'!I:I,' General Stock Summary View  '!B458,'Blocked for Processing'!C:C,' General Stock Summary View  '!C458)</f>
        <v>0</v>
      </c>
      <c r="F458" s="122">
        <f t="shared" si="70"/>
        <v>9.8833333333333329</v>
      </c>
      <c r="G458" s="148">
        <f>SUMIFS('XBS '!T:T,'XBS '!H:H,' General Stock Summary View  '!$G$2,'XBS '!L:L,' General Stock Summary View  '!B458,'XBS '!C:C,' General Stock Summary View  '!C458)</f>
        <v>0</v>
      </c>
      <c r="H458" s="3">
        <f>SUMIFS('PowerApp_Physical count'!H:H,'PowerApp_Physical count'!B:B,' General Stock Summary View  '!$G$2,'PowerApp_Physical count'!C:C,' General Stock Summary View  '!C458,'PowerApp_Physical count'!A:A,' General Stock Summary View  '!B458)</f>
        <v>0</v>
      </c>
      <c r="I458" s="154">
        <f t="shared" si="69"/>
        <v>0</v>
      </c>
      <c r="J458" s="11">
        <f>SUMIFS('XBS '!T:T,'XBS '!H:H,' General Stock Summary View  '!$J$2,'XBS '!L:L,' General Stock Summary View  '!B458,'XBS '!C:C,' General Stock Summary View  '!C458)</f>
        <v>0</v>
      </c>
      <c r="K458" s="157">
        <f>SUMIFS('PowerApp_Physical count'!H:H,'PowerApp_Physical count'!B:B,' General Stock Summary View  '!$J$2,'PowerApp_Physical count'!C:C,' General Stock Summary View  '!C458,'PowerApp_Physical count'!A:A,' General Stock Summary View  '!B458)</f>
        <v>0</v>
      </c>
      <c r="L458" s="127">
        <f t="shared" si="71"/>
        <v>0</v>
      </c>
      <c r="M458" s="126">
        <f t="shared" si="72"/>
        <v>0</v>
      </c>
      <c r="N458" s="11">
        <f t="shared" si="73"/>
        <v>0</v>
      </c>
      <c r="O458" s="144">
        <f t="shared" si="74"/>
        <v>0</v>
      </c>
      <c r="P458" s="2">
        <f>SUMIFS('XBS '!T:T,'XBS '!H:H,' General Stock Summary View  '!$P$2,'XBS '!L:L,' General Stock Summary View  '!B458,'XBS '!C:C,' General Stock Summary View  '!C458)</f>
        <v>9.8833333333333329</v>
      </c>
      <c r="Q458" s="3">
        <f>SUMIFS('PowerApp_Physical count'!H:H,'PowerApp_Physical count'!B:B,' General Stock Summary View  '!$P$2,'PowerApp_Physical count'!C:C,' General Stock Summary View  '!C458,'PowerApp_Physical count'!A:A,' General Stock Summary View  '!B458)</f>
        <v>0</v>
      </c>
      <c r="R458" s="4">
        <f t="shared" si="75"/>
        <v>-9.8833333333333329</v>
      </c>
      <c r="S458" s="5">
        <f>SUMIFS('XBS '!T:T,'XBS '!L:L,' General Stock Summary View  '!B458,'XBS '!H:H,' General Stock Summary View  '!$S$2,'XBS '!C:C,' General Stock Summary View  '!C458)</f>
        <v>0</v>
      </c>
      <c r="T458" s="3">
        <f>SUMIFS('PowerApp_Physical count'!H:H,'PowerApp_Physical count'!B:B,' General Stock Summary View  '!$S$2,'PowerApp_Physical count'!C:C,' General Stock Summary View  '!C458,'PowerApp_Physical count'!A:A,' General Stock Summary View  '!B458)</f>
        <v>0</v>
      </c>
      <c r="U458" s="4">
        <f t="shared" si="76"/>
        <v>0</v>
      </c>
      <c r="V458" s="2">
        <f>SUMIFS('XBS '!T:T,'XBS '!H:H,' General Stock Summary View  '!$V$2,'XBS '!B:B,' General Stock Summary View  '!C458,'XBS '!L:L,' General Stock Summary View  '!B458)</f>
        <v>0</v>
      </c>
      <c r="W458" s="3">
        <f>SUMIFS('PowerApp_Physical count'!H:H,'PowerApp_Physical count'!B:B,' General Stock Summary View  '!$V$2,'PowerApp_Physical count'!C:C,' General Stock Summary View  '!C458,'PowerApp_Physical count'!A:A,' General Stock Summary View  '!B458)</f>
        <v>0</v>
      </c>
      <c r="X458" s="4">
        <f t="shared" si="77"/>
        <v>0</v>
      </c>
      <c r="Y458" s="5">
        <f>SUMIFS('XBS '!T:T,'XBS '!H:H,' General Stock Summary View  '!$Y$2,'XBS '!B:B,' General Stock Summary View  '!C458,'XBS '!L:L,' General Stock Summary View  '!B458)</f>
        <v>0</v>
      </c>
      <c r="Z458" s="3">
        <f>SUMIFS('PowerApp_Physical count'!H:H,'PowerApp_Physical count'!B:B,' General Stock Summary View  '!$Y$2,'PowerApp_Physical count'!C:C,' General Stock Summary View  '!C458,'PowerApp_Physical count'!A:A,' General Stock Summary View  '!B458)</f>
        <v>0</v>
      </c>
      <c r="AA458" s="4">
        <f t="shared" si="78"/>
        <v>0</v>
      </c>
      <c r="AB458" s="5">
        <f>SUMIFS('XBS '!T:T,'XBS '!H:H,' General Stock Summary View  '!$AB$2,'XBS '!B:B,' General Stock Summary View  '!C458,'XBS '!L:L,' General Stock Summary View  '!B458)</f>
        <v>0</v>
      </c>
      <c r="AC458" s="3">
        <f>SUMIFS('PowerApp_Physical count'!H:H,'PowerApp_Physical count'!B:B,' General Stock Summary View  '!$AB$2,'PowerApp_Physical count'!C:C,' General Stock Summary View  '!C458,'PowerApp_Physical count'!A:A,' General Stock Summary View  '!B458)</f>
        <v>0</v>
      </c>
      <c r="AD458" s="6">
        <f t="shared" si="79"/>
        <v>0</v>
      </c>
      <c r="AE458" s="7">
        <f t="shared" si="80"/>
        <v>0</v>
      </c>
      <c r="AF458" s="8">
        <f t="shared" si="81"/>
        <v>-9.8833333333333329</v>
      </c>
      <c r="AG458" s="112"/>
    </row>
    <row r="459" spans="2:33" s="113" customFormat="1" ht="61.15">
      <c r="B459" s="117" t="s">
        <v>413</v>
      </c>
      <c r="C459" s="111" t="s">
        <v>410</v>
      </c>
      <c r="D459" s="11">
        <f>SUMIFS('XBS '!T:T,'XBS '!C:C,' General Stock Summary View  '!C459,'XBS '!L:L,' General Stock Summary View  '!B459)</f>
        <v>2.9166666666666665</v>
      </c>
      <c r="E459" s="2">
        <f>SUMIFS('Blocked for Processing'!P:P,'Blocked for Processing'!I:I,' General Stock Summary View  '!B459,'Blocked for Processing'!C:C,' General Stock Summary View  '!C459)</f>
        <v>0</v>
      </c>
      <c r="F459" s="122">
        <f t="shared" si="70"/>
        <v>2.9166666666666665</v>
      </c>
      <c r="G459" s="148">
        <f>SUMIFS('XBS '!T:T,'XBS '!H:H,' General Stock Summary View  '!$G$2,'XBS '!L:L,' General Stock Summary View  '!B459,'XBS '!C:C,' General Stock Summary View  '!C459)</f>
        <v>0</v>
      </c>
      <c r="H459" s="3">
        <f>SUMIFS('PowerApp_Physical count'!H:H,'PowerApp_Physical count'!B:B,' General Stock Summary View  '!$G$2,'PowerApp_Physical count'!C:C,' General Stock Summary View  '!C459,'PowerApp_Physical count'!A:A,' General Stock Summary View  '!B459)</f>
        <v>0</v>
      </c>
      <c r="I459" s="154">
        <f t="shared" si="69"/>
        <v>0</v>
      </c>
      <c r="J459" s="11">
        <f>SUMIFS('XBS '!T:T,'XBS '!H:H,' General Stock Summary View  '!$J$2,'XBS '!L:L,' General Stock Summary View  '!B459,'XBS '!C:C,' General Stock Summary View  '!C459)</f>
        <v>0</v>
      </c>
      <c r="K459" s="157">
        <f>SUMIFS('PowerApp_Physical count'!H:H,'PowerApp_Physical count'!B:B,' General Stock Summary View  '!$J$2,'PowerApp_Physical count'!C:C,' General Stock Summary View  '!C459,'PowerApp_Physical count'!A:A,' General Stock Summary View  '!B459)</f>
        <v>0</v>
      </c>
      <c r="L459" s="127">
        <f t="shared" si="71"/>
        <v>0</v>
      </c>
      <c r="M459" s="126">
        <f t="shared" si="72"/>
        <v>0</v>
      </c>
      <c r="N459" s="11">
        <f t="shared" si="73"/>
        <v>0</v>
      </c>
      <c r="O459" s="144">
        <f t="shared" si="74"/>
        <v>0</v>
      </c>
      <c r="P459" s="2">
        <f>SUMIFS('XBS '!T:T,'XBS '!H:H,' General Stock Summary View  '!$P$2,'XBS '!L:L,' General Stock Summary View  '!B459,'XBS '!C:C,' General Stock Summary View  '!C459)</f>
        <v>2.9166666666666665</v>
      </c>
      <c r="Q459" s="3">
        <f>SUMIFS('PowerApp_Physical count'!H:H,'PowerApp_Physical count'!B:B,' General Stock Summary View  '!$P$2,'PowerApp_Physical count'!C:C,' General Stock Summary View  '!C459,'PowerApp_Physical count'!A:A,' General Stock Summary View  '!B459)</f>
        <v>0</v>
      </c>
      <c r="R459" s="4">
        <f t="shared" si="75"/>
        <v>-2.9166666666666665</v>
      </c>
      <c r="S459" s="5">
        <f>SUMIFS('XBS '!T:T,'XBS '!L:L,' General Stock Summary View  '!B459,'XBS '!H:H,' General Stock Summary View  '!$S$2,'XBS '!C:C,' General Stock Summary View  '!C459)</f>
        <v>0</v>
      </c>
      <c r="T459" s="3">
        <f>SUMIFS('PowerApp_Physical count'!H:H,'PowerApp_Physical count'!B:B,' General Stock Summary View  '!$S$2,'PowerApp_Physical count'!C:C,' General Stock Summary View  '!C459,'PowerApp_Physical count'!A:A,' General Stock Summary View  '!B459)</f>
        <v>0</v>
      </c>
      <c r="U459" s="4">
        <f t="shared" si="76"/>
        <v>0</v>
      </c>
      <c r="V459" s="2">
        <f>SUMIFS('XBS '!T:T,'XBS '!H:H,' General Stock Summary View  '!$V$2,'XBS '!B:B,' General Stock Summary View  '!C459,'XBS '!L:L,' General Stock Summary View  '!B459)</f>
        <v>0</v>
      </c>
      <c r="W459" s="3">
        <f>SUMIFS('PowerApp_Physical count'!H:H,'PowerApp_Physical count'!B:B,' General Stock Summary View  '!$V$2,'PowerApp_Physical count'!C:C,' General Stock Summary View  '!C459,'PowerApp_Physical count'!A:A,' General Stock Summary View  '!B459)</f>
        <v>0</v>
      </c>
      <c r="X459" s="4">
        <f t="shared" si="77"/>
        <v>0</v>
      </c>
      <c r="Y459" s="5">
        <f>SUMIFS('XBS '!T:T,'XBS '!H:H,' General Stock Summary View  '!$Y$2,'XBS '!B:B,' General Stock Summary View  '!C459,'XBS '!L:L,' General Stock Summary View  '!B459)</f>
        <v>0</v>
      </c>
      <c r="Z459" s="3">
        <f>SUMIFS('PowerApp_Physical count'!H:H,'PowerApp_Physical count'!B:B,' General Stock Summary View  '!$Y$2,'PowerApp_Physical count'!C:C,' General Stock Summary View  '!C459,'PowerApp_Physical count'!A:A,' General Stock Summary View  '!B459)</f>
        <v>0</v>
      </c>
      <c r="AA459" s="4">
        <f t="shared" si="78"/>
        <v>0</v>
      </c>
      <c r="AB459" s="5">
        <f>SUMIFS('XBS '!T:T,'XBS '!H:H,' General Stock Summary View  '!$AB$2,'XBS '!B:B,' General Stock Summary View  '!C459,'XBS '!L:L,' General Stock Summary View  '!B459)</f>
        <v>0</v>
      </c>
      <c r="AC459" s="3">
        <f>SUMIFS('PowerApp_Physical count'!H:H,'PowerApp_Physical count'!B:B,' General Stock Summary View  '!$AB$2,'PowerApp_Physical count'!C:C,' General Stock Summary View  '!C459,'PowerApp_Physical count'!A:A,' General Stock Summary View  '!B459)</f>
        <v>0</v>
      </c>
      <c r="AD459" s="6">
        <f t="shared" si="79"/>
        <v>0</v>
      </c>
      <c r="AE459" s="7">
        <f t="shared" si="80"/>
        <v>0</v>
      </c>
      <c r="AF459" s="8">
        <f t="shared" si="81"/>
        <v>-2.9166666666666665</v>
      </c>
      <c r="AG459" s="112"/>
    </row>
    <row r="460" spans="2:33" s="113" customFormat="1" ht="61.15">
      <c r="B460" s="117" t="s">
        <v>212</v>
      </c>
      <c r="C460" s="111" t="s">
        <v>410</v>
      </c>
      <c r="D460" s="11">
        <f>SUMIFS('XBS '!T:T,'XBS '!C:C,' General Stock Summary View  '!C460,'XBS '!L:L,' General Stock Summary View  '!B460)</f>
        <v>61</v>
      </c>
      <c r="E460" s="2">
        <f>SUMIFS('Blocked for Processing'!P:P,'Blocked for Processing'!I:I,' General Stock Summary View  '!B460,'Blocked for Processing'!C:C,' General Stock Summary View  '!C460)</f>
        <v>0</v>
      </c>
      <c r="F460" s="122">
        <f t="shared" si="70"/>
        <v>61</v>
      </c>
      <c r="G460" s="148">
        <f>SUMIFS('XBS '!T:T,'XBS '!H:H,' General Stock Summary View  '!$G$2,'XBS '!L:L,' General Stock Summary View  '!B460,'XBS '!C:C,' General Stock Summary View  '!C460)</f>
        <v>0</v>
      </c>
      <c r="H460" s="3">
        <f>SUMIFS('PowerApp_Physical count'!H:H,'PowerApp_Physical count'!B:B,' General Stock Summary View  '!$G$2,'PowerApp_Physical count'!C:C,' General Stock Summary View  '!C460,'PowerApp_Physical count'!A:A,' General Stock Summary View  '!B460)</f>
        <v>0</v>
      </c>
      <c r="I460" s="154">
        <f t="shared" si="69"/>
        <v>0</v>
      </c>
      <c r="J460" s="11">
        <f>SUMIFS('XBS '!T:T,'XBS '!H:H,' General Stock Summary View  '!$J$2,'XBS '!L:L,' General Stock Summary View  '!B460,'XBS '!C:C,' General Stock Summary View  '!C460)</f>
        <v>0</v>
      </c>
      <c r="K460" s="157">
        <f>SUMIFS('PowerApp_Physical count'!H:H,'PowerApp_Physical count'!B:B,' General Stock Summary View  '!$J$2,'PowerApp_Physical count'!C:C,' General Stock Summary View  '!C460,'PowerApp_Physical count'!A:A,' General Stock Summary View  '!B460)</f>
        <v>0</v>
      </c>
      <c r="L460" s="127">
        <f t="shared" si="71"/>
        <v>0</v>
      </c>
      <c r="M460" s="126">
        <f t="shared" si="72"/>
        <v>0</v>
      </c>
      <c r="N460" s="11">
        <f t="shared" si="73"/>
        <v>0</v>
      </c>
      <c r="O460" s="144">
        <f t="shared" si="74"/>
        <v>0</v>
      </c>
      <c r="P460" s="2">
        <f>SUMIFS('XBS '!T:T,'XBS '!H:H,' General Stock Summary View  '!$P$2,'XBS '!L:L,' General Stock Summary View  '!B460,'XBS '!C:C,' General Stock Summary View  '!C460)</f>
        <v>61</v>
      </c>
      <c r="Q460" s="3">
        <f>SUMIFS('PowerApp_Physical count'!H:H,'PowerApp_Physical count'!B:B,' General Stock Summary View  '!$P$2,'PowerApp_Physical count'!C:C,' General Stock Summary View  '!C460,'PowerApp_Physical count'!A:A,' General Stock Summary View  '!B460)</f>
        <v>0</v>
      </c>
      <c r="R460" s="4">
        <f t="shared" si="75"/>
        <v>-61</v>
      </c>
      <c r="S460" s="5">
        <f>SUMIFS('XBS '!T:T,'XBS '!L:L,' General Stock Summary View  '!B460,'XBS '!H:H,' General Stock Summary View  '!$S$2,'XBS '!C:C,' General Stock Summary View  '!C460)</f>
        <v>0</v>
      </c>
      <c r="T460" s="3">
        <f>SUMIFS('PowerApp_Physical count'!H:H,'PowerApp_Physical count'!B:B,' General Stock Summary View  '!$S$2,'PowerApp_Physical count'!C:C,' General Stock Summary View  '!C460,'PowerApp_Physical count'!A:A,' General Stock Summary View  '!B460)</f>
        <v>0</v>
      </c>
      <c r="U460" s="4">
        <f t="shared" si="76"/>
        <v>0</v>
      </c>
      <c r="V460" s="2">
        <f>SUMIFS('XBS '!T:T,'XBS '!H:H,' General Stock Summary View  '!$V$2,'XBS '!B:B,' General Stock Summary View  '!C460,'XBS '!L:L,' General Stock Summary View  '!B460)</f>
        <v>0</v>
      </c>
      <c r="W460" s="3">
        <f>SUMIFS('PowerApp_Physical count'!H:H,'PowerApp_Physical count'!B:B,' General Stock Summary View  '!$V$2,'PowerApp_Physical count'!C:C,' General Stock Summary View  '!C460,'PowerApp_Physical count'!A:A,' General Stock Summary View  '!B460)</f>
        <v>0</v>
      </c>
      <c r="X460" s="4">
        <f t="shared" si="77"/>
        <v>0</v>
      </c>
      <c r="Y460" s="5">
        <f>SUMIFS('XBS '!T:T,'XBS '!H:H,' General Stock Summary View  '!$Y$2,'XBS '!B:B,' General Stock Summary View  '!C460,'XBS '!L:L,' General Stock Summary View  '!B460)</f>
        <v>0</v>
      </c>
      <c r="Z460" s="3">
        <f>SUMIFS('PowerApp_Physical count'!H:H,'PowerApp_Physical count'!B:B,' General Stock Summary View  '!$Y$2,'PowerApp_Physical count'!C:C,' General Stock Summary View  '!C460,'PowerApp_Physical count'!A:A,' General Stock Summary View  '!B460)</f>
        <v>0</v>
      </c>
      <c r="AA460" s="4">
        <f t="shared" si="78"/>
        <v>0</v>
      </c>
      <c r="AB460" s="5">
        <f>SUMIFS('XBS '!T:T,'XBS '!H:H,' General Stock Summary View  '!$AB$2,'XBS '!B:B,' General Stock Summary View  '!C460,'XBS '!L:L,' General Stock Summary View  '!B460)</f>
        <v>0</v>
      </c>
      <c r="AC460" s="3">
        <f>SUMIFS('PowerApp_Physical count'!H:H,'PowerApp_Physical count'!B:B,' General Stock Summary View  '!$AB$2,'PowerApp_Physical count'!C:C,' General Stock Summary View  '!C460,'PowerApp_Physical count'!A:A,' General Stock Summary View  '!B460)</f>
        <v>0</v>
      </c>
      <c r="AD460" s="6">
        <f t="shared" si="79"/>
        <v>0</v>
      </c>
      <c r="AE460" s="7">
        <f t="shared" si="80"/>
        <v>0</v>
      </c>
      <c r="AF460" s="8">
        <f t="shared" si="81"/>
        <v>-61</v>
      </c>
      <c r="AG460" s="112"/>
    </row>
    <row r="461" spans="2:33" s="113" customFormat="1" ht="61.15">
      <c r="B461" s="117" t="s">
        <v>414</v>
      </c>
      <c r="C461" s="111" t="s">
        <v>410</v>
      </c>
      <c r="D461" s="11">
        <f>SUMIFS('XBS '!T:T,'XBS '!C:C,' General Stock Summary View  '!C461,'XBS '!L:L,' General Stock Summary View  '!B461)</f>
        <v>4.3666666666666663</v>
      </c>
      <c r="E461" s="2">
        <f>SUMIFS('Blocked for Processing'!P:P,'Blocked for Processing'!I:I,' General Stock Summary View  '!B461,'Blocked for Processing'!C:C,' General Stock Summary View  '!C461)</f>
        <v>0</v>
      </c>
      <c r="F461" s="122">
        <f t="shared" si="70"/>
        <v>4.3666666666666663</v>
      </c>
      <c r="G461" s="148">
        <f>SUMIFS('XBS '!T:T,'XBS '!H:H,' General Stock Summary View  '!$G$2,'XBS '!L:L,' General Stock Summary View  '!B461,'XBS '!C:C,' General Stock Summary View  '!C461)</f>
        <v>0</v>
      </c>
      <c r="H461" s="3">
        <f>SUMIFS('PowerApp_Physical count'!H:H,'PowerApp_Physical count'!B:B,' General Stock Summary View  '!$G$2,'PowerApp_Physical count'!C:C,' General Stock Summary View  '!C461,'PowerApp_Physical count'!A:A,' General Stock Summary View  '!B461)</f>
        <v>0</v>
      </c>
      <c r="I461" s="154">
        <f t="shared" si="69"/>
        <v>0</v>
      </c>
      <c r="J461" s="11">
        <f>SUMIFS('XBS '!T:T,'XBS '!H:H,' General Stock Summary View  '!$J$2,'XBS '!L:L,' General Stock Summary View  '!B461,'XBS '!C:C,' General Stock Summary View  '!C461)</f>
        <v>0</v>
      </c>
      <c r="K461" s="157">
        <f>SUMIFS('PowerApp_Physical count'!H:H,'PowerApp_Physical count'!B:B,' General Stock Summary View  '!$J$2,'PowerApp_Physical count'!C:C,' General Stock Summary View  '!C461,'PowerApp_Physical count'!A:A,' General Stock Summary View  '!B461)</f>
        <v>0</v>
      </c>
      <c r="L461" s="127">
        <f t="shared" si="71"/>
        <v>0</v>
      </c>
      <c r="M461" s="126">
        <f t="shared" si="72"/>
        <v>0</v>
      </c>
      <c r="N461" s="11">
        <f t="shared" si="73"/>
        <v>0</v>
      </c>
      <c r="O461" s="144">
        <f t="shared" si="74"/>
        <v>0</v>
      </c>
      <c r="P461" s="2">
        <f>SUMIFS('XBS '!T:T,'XBS '!H:H,' General Stock Summary View  '!$P$2,'XBS '!L:L,' General Stock Summary View  '!B461,'XBS '!C:C,' General Stock Summary View  '!C461)</f>
        <v>0</v>
      </c>
      <c r="Q461" s="3">
        <f>SUMIFS('PowerApp_Physical count'!H:H,'PowerApp_Physical count'!B:B,' General Stock Summary View  '!$P$2,'PowerApp_Physical count'!C:C,' General Stock Summary View  '!C461,'PowerApp_Physical count'!A:A,' General Stock Summary View  '!B461)</f>
        <v>0</v>
      </c>
      <c r="R461" s="4">
        <f t="shared" si="75"/>
        <v>0</v>
      </c>
      <c r="S461" s="5">
        <f>SUMIFS('XBS '!T:T,'XBS '!L:L,' General Stock Summary View  '!B461,'XBS '!H:H,' General Stock Summary View  '!$S$2,'XBS '!C:C,' General Stock Summary View  '!C461)</f>
        <v>0</v>
      </c>
      <c r="T461" s="3">
        <f>SUMIFS('PowerApp_Physical count'!H:H,'PowerApp_Physical count'!B:B,' General Stock Summary View  '!$S$2,'PowerApp_Physical count'!C:C,' General Stock Summary View  '!C461,'PowerApp_Physical count'!A:A,' General Stock Summary View  '!B461)</f>
        <v>0</v>
      </c>
      <c r="U461" s="4">
        <f t="shared" si="76"/>
        <v>0</v>
      </c>
      <c r="V461" s="2">
        <f>SUMIFS('XBS '!T:T,'XBS '!H:H,' General Stock Summary View  '!$V$2,'XBS '!B:B,' General Stock Summary View  '!C461,'XBS '!L:L,' General Stock Summary View  '!B461)</f>
        <v>0</v>
      </c>
      <c r="W461" s="3">
        <f>SUMIFS('PowerApp_Physical count'!H:H,'PowerApp_Physical count'!B:B,' General Stock Summary View  '!$V$2,'PowerApp_Physical count'!C:C,' General Stock Summary View  '!C461,'PowerApp_Physical count'!A:A,' General Stock Summary View  '!B461)</f>
        <v>0</v>
      </c>
      <c r="X461" s="4">
        <f t="shared" si="77"/>
        <v>0</v>
      </c>
      <c r="Y461" s="5">
        <f>SUMIFS('XBS '!T:T,'XBS '!H:H,' General Stock Summary View  '!$Y$2,'XBS '!B:B,' General Stock Summary View  '!C461,'XBS '!L:L,' General Stock Summary View  '!B461)</f>
        <v>0</v>
      </c>
      <c r="Z461" s="3">
        <f>SUMIFS('PowerApp_Physical count'!H:H,'PowerApp_Physical count'!B:B,' General Stock Summary View  '!$Y$2,'PowerApp_Physical count'!C:C,' General Stock Summary View  '!C461,'PowerApp_Physical count'!A:A,' General Stock Summary View  '!B461)</f>
        <v>0</v>
      </c>
      <c r="AA461" s="4">
        <f t="shared" si="78"/>
        <v>0</v>
      </c>
      <c r="AB461" s="5">
        <f>SUMIFS('XBS '!T:T,'XBS '!H:H,' General Stock Summary View  '!$AB$2,'XBS '!B:B,' General Stock Summary View  '!C461,'XBS '!L:L,' General Stock Summary View  '!B461)</f>
        <v>4.3666666666666663</v>
      </c>
      <c r="AC461" s="3">
        <f>SUMIFS('PowerApp_Physical count'!H:H,'PowerApp_Physical count'!B:B,' General Stock Summary View  '!$AB$2,'PowerApp_Physical count'!C:C,' General Stock Summary View  '!C461,'PowerApp_Physical count'!A:A,' General Stock Summary View  '!B461)</f>
        <v>0</v>
      </c>
      <c r="AD461" s="6">
        <f t="shared" si="79"/>
        <v>-4.3666666666666663</v>
      </c>
      <c r="AE461" s="7">
        <f t="shared" si="80"/>
        <v>0</v>
      </c>
      <c r="AF461" s="8">
        <f t="shared" si="81"/>
        <v>-4.3666666666666663</v>
      </c>
      <c r="AG461" s="112"/>
    </row>
    <row r="462" spans="2:33" s="113" customFormat="1" ht="61.15">
      <c r="B462" s="117" t="s">
        <v>415</v>
      </c>
      <c r="C462" s="111" t="s">
        <v>410</v>
      </c>
      <c r="D462" s="11">
        <f>SUMIFS('XBS '!T:T,'XBS '!C:C,' General Stock Summary View  '!C462,'XBS '!L:L,' General Stock Summary View  '!B462)</f>
        <v>21.75</v>
      </c>
      <c r="E462" s="2">
        <f>SUMIFS('Blocked for Processing'!P:P,'Blocked for Processing'!I:I,' General Stock Summary View  '!B462,'Blocked for Processing'!C:C,' General Stock Summary View  '!C462)</f>
        <v>0</v>
      </c>
      <c r="F462" s="122">
        <f t="shared" si="70"/>
        <v>21.75</v>
      </c>
      <c r="G462" s="148">
        <f>SUMIFS('XBS '!T:T,'XBS '!H:H,' General Stock Summary View  '!$G$2,'XBS '!L:L,' General Stock Summary View  '!B462,'XBS '!C:C,' General Stock Summary View  '!C462)</f>
        <v>0</v>
      </c>
      <c r="H462" s="3">
        <f>SUMIFS('PowerApp_Physical count'!H:H,'PowerApp_Physical count'!B:B,' General Stock Summary View  '!$G$2,'PowerApp_Physical count'!C:C,' General Stock Summary View  '!C462,'PowerApp_Physical count'!A:A,' General Stock Summary View  '!B462)</f>
        <v>0</v>
      </c>
      <c r="I462" s="154">
        <f t="shared" si="69"/>
        <v>0</v>
      </c>
      <c r="J462" s="11">
        <f>SUMIFS('XBS '!T:T,'XBS '!H:H,' General Stock Summary View  '!$J$2,'XBS '!L:L,' General Stock Summary View  '!B462,'XBS '!C:C,' General Stock Summary View  '!C462)</f>
        <v>0</v>
      </c>
      <c r="K462" s="157">
        <f>SUMIFS('PowerApp_Physical count'!H:H,'PowerApp_Physical count'!B:B,' General Stock Summary View  '!$J$2,'PowerApp_Physical count'!C:C,' General Stock Summary View  '!C462,'PowerApp_Physical count'!A:A,' General Stock Summary View  '!B462)</f>
        <v>0</v>
      </c>
      <c r="L462" s="127">
        <f t="shared" si="71"/>
        <v>0</v>
      </c>
      <c r="M462" s="126">
        <f t="shared" si="72"/>
        <v>0</v>
      </c>
      <c r="N462" s="11">
        <f t="shared" si="73"/>
        <v>0</v>
      </c>
      <c r="O462" s="144">
        <f t="shared" si="74"/>
        <v>0</v>
      </c>
      <c r="P462" s="2">
        <f>SUMIFS('XBS '!T:T,'XBS '!H:H,' General Stock Summary View  '!$P$2,'XBS '!L:L,' General Stock Summary View  '!B462,'XBS '!C:C,' General Stock Summary View  '!C462)</f>
        <v>0</v>
      </c>
      <c r="Q462" s="3">
        <f>SUMIFS('PowerApp_Physical count'!H:H,'PowerApp_Physical count'!B:B,' General Stock Summary View  '!$P$2,'PowerApp_Physical count'!C:C,' General Stock Summary View  '!C462,'PowerApp_Physical count'!A:A,' General Stock Summary View  '!B462)</f>
        <v>0</v>
      </c>
      <c r="R462" s="4">
        <f t="shared" si="75"/>
        <v>0</v>
      </c>
      <c r="S462" s="5">
        <f>SUMIFS('XBS '!T:T,'XBS '!L:L,' General Stock Summary View  '!B462,'XBS '!H:H,' General Stock Summary View  '!$S$2,'XBS '!C:C,' General Stock Summary View  '!C462)</f>
        <v>21.75</v>
      </c>
      <c r="T462" s="3">
        <f>SUMIFS('PowerApp_Physical count'!H:H,'PowerApp_Physical count'!B:B,' General Stock Summary View  '!$S$2,'PowerApp_Physical count'!C:C,' General Stock Summary View  '!C462,'PowerApp_Physical count'!A:A,' General Stock Summary View  '!B462)</f>
        <v>0</v>
      </c>
      <c r="U462" s="4">
        <f t="shared" si="76"/>
        <v>-21.75</v>
      </c>
      <c r="V462" s="2">
        <f>SUMIFS('XBS '!T:T,'XBS '!H:H,' General Stock Summary View  '!$V$2,'XBS '!B:B,' General Stock Summary View  '!C462,'XBS '!L:L,' General Stock Summary View  '!B462)</f>
        <v>0</v>
      </c>
      <c r="W462" s="3">
        <f>SUMIFS('PowerApp_Physical count'!H:H,'PowerApp_Physical count'!B:B,' General Stock Summary View  '!$V$2,'PowerApp_Physical count'!C:C,' General Stock Summary View  '!C462,'PowerApp_Physical count'!A:A,' General Stock Summary View  '!B462)</f>
        <v>0</v>
      </c>
      <c r="X462" s="4">
        <f t="shared" si="77"/>
        <v>0</v>
      </c>
      <c r="Y462" s="5">
        <f>SUMIFS('XBS '!T:T,'XBS '!H:H,' General Stock Summary View  '!$Y$2,'XBS '!B:B,' General Stock Summary View  '!C462,'XBS '!L:L,' General Stock Summary View  '!B462)</f>
        <v>0</v>
      </c>
      <c r="Z462" s="3">
        <f>SUMIFS('PowerApp_Physical count'!H:H,'PowerApp_Physical count'!B:B,' General Stock Summary View  '!$Y$2,'PowerApp_Physical count'!C:C,' General Stock Summary View  '!C462,'PowerApp_Physical count'!A:A,' General Stock Summary View  '!B462)</f>
        <v>0</v>
      </c>
      <c r="AA462" s="4">
        <f t="shared" si="78"/>
        <v>0</v>
      </c>
      <c r="AB462" s="5">
        <f>SUMIFS('XBS '!T:T,'XBS '!H:H,' General Stock Summary View  '!$AB$2,'XBS '!B:B,' General Stock Summary View  '!C462,'XBS '!L:L,' General Stock Summary View  '!B462)</f>
        <v>0</v>
      </c>
      <c r="AC462" s="3">
        <f>SUMIFS('PowerApp_Physical count'!H:H,'PowerApp_Physical count'!B:B,' General Stock Summary View  '!$AB$2,'PowerApp_Physical count'!C:C,' General Stock Summary View  '!C462,'PowerApp_Physical count'!A:A,' General Stock Summary View  '!B462)</f>
        <v>0</v>
      </c>
      <c r="AD462" s="6">
        <f t="shared" si="79"/>
        <v>0</v>
      </c>
      <c r="AE462" s="7">
        <f t="shared" si="80"/>
        <v>0</v>
      </c>
      <c r="AF462" s="8">
        <f t="shared" si="81"/>
        <v>-21.75</v>
      </c>
      <c r="AG462" s="112"/>
    </row>
    <row r="463" spans="2:33" s="113" customFormat="1" ht="61.15">
      <c r="B463" s="117" t="s">
        <v>416</v>
      </c>
      <c r="C463" s="111" t="s">
        <v>410</v>
      </c>
      <c r="D463" s="11">
        <f>SUMIFS('XBS '!T:T,'XBS '!C:C,' General Stock Summary View  '!C463,'XBS '!L:L,' General Stock Summary View  '!B463)</f>
        <v>8.0666666666666664</v>
      </c>
      <c r="E463" s="2">
        <f>SUMIFS('Blocked for Processing'!P:P,'Blocked for Processing'!I:I,' General Stock Summary View  '!B463,'Blocked for Processing'!C:C,' General Stock Summary View  '!C463)</f>
        <v>0</v>
      </c>
      <c r="F463" s="122">
        <f t="shared" si="70"/>
        <v>8.0666666666666664</v>
      </c>
      <c r="G463" s="148">
        <f>SUMIFS('XBS '!T:T,'XBS '!H:H,' General Stock Summary View  '!$G$2,'XBS '!L:L,' General Stock Summary View  '!B463,'XBS '!C:C,' General Stock Summary View  '!C463)</f>
        <v>0</v>
      </c>
      <c r="H463" s="3">
        <f>SUMIFS('PowerApp_Physical count'!H:H,'PowerApp_Physical count'!B:B,' General Stock Summary View  '!$G$2,'PowerApp_Physical count'!C:C,' General Stock Summary View  '!C463,'PowerApp_Physical count'!A:A,' General Stock Summary View  '!B463)</f>
        <v>0</v>
      </c>
      <c r="I463" s="154">
        <f t="shared" ref="I463:I535" si="82">H463-G463</f>
        <v>0</v>
      </c>
      <c r="J463" s="11">
        <f>SUMIFS('XBS '!T:T,'XBS '!H:H,' General Stock Summary View  '!$J$2,'XBS '!L:L,' General Stock Summary View  '!B463,'XBS '!C:C,' General Stock Summary View  '!C463)</f>
        <v>0</v>
      </c>
      <c r="K463" s="157">
        <f>SUMIFS('PowerApp_Physical count'!H:H,'PowerApp_Physical count'!B:B,' General Stock Summary View  '!$J$2,'PowerApp_Physical count'!C:C,' General Stock Summary View  '!C463,'PowerApp_Physical count'!A:A,' General Stock Summary View  '!B463)</f>
        <v>0</v>
      </c>
      <c r="L463" s="127">
        <f t="shared" si="71"/>
        <v>0</v>
      </c>
      <c r="M463" s="126">
        <f t="shared" si="72"/>
        <v>0</v>
      </c>
      <c r="N463" s="11">
        <f t="shared" si="73"/>
        <v>0</v>
      </c>
      <c r="O463" s="144">
        <f t="shared" si="74"/>
        <v>0</v>
      </c>
      <c r="P463" s="2">
        <f>SUMIFS('XBS '!T:T,'XBS '!H:H,' General Stock Summary View  '!$P$2,'XBS '!L:L,' General Stock Summary View  '!B463,'XBS '!C:C,' General Stock Summary View  '!C463)</f>
        <v>8.0666666666666664</v>
      </c>
      <c r="Q463" s="3">
        <f>SUMIFS('PowerApp_Physical count'!H:H,'PowerApp_Physical count'!B:B,' General Stock Summary View  '!$P$2,'PowerApp_Physical count'!C:C,' General Stock Summary View  '!C463,'PowerApp_Physical count'!A:A,' General Stock Summary View  '!B463)</f>
        <v>0</v>
      </c>
      <c r="R463" s="4">
        <f t="shared" si="75"/>
        <v>-8.0666666666666664</v>
      </c>
      <c r="S463" s="5">
        <f>SUMIFS('XBS '!T:T,'XBS '!L:L,' General Stock Summary View  '!B463,'XBS '!H:H,' General Stock Summary View  '!$S$2,'XBS '!C:C,' General Stock Summary View  '!C463)</f>
        <v>0</v>
      </c>
      <c r="T463" s="3">
        <f>SUMIFS('PowerApp_Physical count'!H:H,'PowerApp_Physical count'!B:B,' General Stock Summary View  '!$S$2,'PowerApp_Physical count'!C:C,' General Stock Summary View  '!C463,'PowerApp_Physical count'!A:A,' General Stock Summary View  '!B463)</f>
        <v>0</v>
      </c>
      <c r="U463" s="4">
        <f t="shared" si="76"/>
        <v>0</v>
      </c>
      <c r="V463" s="2">
        <f>SUMIFS('XBS '!T:T,'XBS '!H:H,' General Stock Summary View  '!$V$2,'XBS '!B:B,' General Stock Summary View  '!C463,'XBS '!L:L,' General Stock Summary View  '!B463)</f>
        <v>0</v>
      </c>
      <c r="W463" s="3">
        <f>SUMIFS('PowerApp_Physical count'!H:H,'PowerApp_Physical count'!B:B,' General Stock Summary View  '!$V$2,'PowerApp_Physical count'!C:C,' General Stock Summary View  '!C463,'PowerApp_Physical count'!A:A,' General Stock Summary View  '!B463)</f>
        <v>0</v>
      </c>
      <c r="X463" s="4">
        <f t="shared" si="77"/>
        <v>0</v>
      </c>
      <c r="Y463" s="5">
        <f>SUMIFS('XBS '!T:T,'XBS '!H:H,' General Stock Summary View  '!$Y$2,'XBS '!B:B,' General Stock Summary View  '!C463,'XBS '!L:L,' General Stock Summary View  '!B463)</f>
        <v>0</v>
      </c>
      <c r="Z463" s="3">
        <f>SUMIFS('PowerApp_Physical count'!H:H,'PowerApp_Physical count'!B:B,' General Stock Summary View  '!$Y$2,'PowerApp_Physical count'!C:C,' General Stock Summary View  '!C463,'PowerApp_Physical count'!A:A,' General Stock Summary View  '!B463)</f>
        <v>0</v>
      </c>
      <c r="AA463" s="4">
        <f t="shared" si="78"/>
        <v>0</v>
      </c>
      <c r="AB463" s="5">
        <f>SUMIFS('XBS '!T:T,'XBS '!H:H,' General Stock Summary View  '!$AB$2,'XBS '!B:B,' General Stock Summary View  '!C463,'XBS '!L:L,' General Stock Summary View  '!B463)</f>
        <v>0</v>
      </c>
      <c r="AC463" s="3">
        <f>SUMIFS('PowerApp_Physical count'!H:H,'PowerApp_Physical count'!B:B,' General Stock Summary View  '!$AB$2,'PowerApp_Physical count'!C:C,' General Stock Summary View  '!C463,'PowerApp_Physical count'!A:A,' General Stock Summary View  '!B463)</f>
        <v>0</v>
      </c>
      <c r="AD463" s="6">
        <f t="shared" si="79"/>
        <v>0</v>
      </c>
      <c r="AE463" s="7">
        <f t="shared" si="80"/>
        <v>0</v>
      </c>
      <c r="AF463" s="8">
        <f t="shared" si="81"/>
        <v>-8.0666666666666664</v>
      </c>
      <c r="AG463" s="112"/>
    </row>
    <row r="464" spans="2:33" s="113" customFormat="1" ht="61.15">
      <c r="B464" s="117" t="s">
        <v>81</v>
      </c>
      <c r="C464" s="111" t="s">
        <v>410</v>
      </c>
      <c r="D464" s="11">
        <f>SUMIFS('XBS '!T:T,'XBS '!C:C,' General Stock Summary View  '!C464,'XBS '!L:L,' General Stock Summary View  '!B464)</f>
        <v>12.966666666666667</v>
      </c>
      <c r="E464" s="2">
        <f>SUMIFS('Blocked for Processing'!P:P,'Blocked for Processing'!I:I,' General Stock Summary View  '!B464,'Blocked for Processing'!C:C,' General Stock Summary View  '!C464)</f>
        <v>0</v>
      </c>
      <c r="F464" s="122">
        <f t="shared" si="70"/>
        <v>12.966666666666667</v>
      </c>
      <c r="G464" s="148">
        <f>SUMIFS('XBS '!T:T,'XBS '!H:H,' General Stock Summary View  '!$G$2,'XBS '!L:L,' General Stock Summary View  '!B464,'XBS '!C:C,' General Stock Summary View  '!C464)</f>
        <v>0</v>
      </c>
      <c r="H464" s="3">
        <f>SUMIFS('PowerApp_Physical count'!H:H,'PowerApp_Physical count'!B:B,' General Stock Summary View  '!$G$2,'PowerApp_Physical count'!C:C,' General Stock Summary View  '!C464,'PowerApp_Physical count'!A:A,' General Stock Summary View  '!B464)</f>
        <v>0</v>
      </c>
      <c r="I464" s="154">
        <f t="shared" si="82"/>
        <v>0</v>
      </c>
      <c r="J464" s="11">
        <f>SUMIFS('XBS '!T:T,'XBS '!H:H,' General Stock Summary View  '!$J$2,'XBS '!L:L,' General Stock Summary View  '!B464,'XBS '!C:C,' General Stock Summary View  '!C464)</f>
        <v>0</v>
      </c>
      <c r="K464" s="157">
        <f>SUMIFS('PowerApp_Physical count'!H:H,'PowerApp_Physical count'!B:B,' General Stock Summary View  '!$J$2,'PowerApp_Physical count'!C:C,' General Stock Summary View  '!C464,'PowerApp_Physical count'!A:A,' General Stock Summary View  '!B464)</f>
        <v>0</v>
      </c>
      <c r="L464" s="127">
        <f t="shared" si="71"/>
        <v>0</v>
      </c>
      <c r="M464" s="126">
        <f t="shared" si="72"/>
        <v>0</v>
      </c>
      <c r="N464" s="11">
        <f t="shared" si="73"/>
        <v>0</v>
      </c>
      <c r="O464" s="144">
        <f t="shared" si="74"/>
        <v>0</v>
      </c>
      <c r="P464" s="2">
        <f>SUMIFS('XBS '!T:T,'XBS '!H:H,' General Stock Summary View  '!$P$2,'XBS '!L:L,' General Stock Summary View  '!B464,'XBS '!C:C,' General Stock Summary View  '!C464)</f>
        <v>12.966666666666667</v>
      </c>
      <c r="Q464" s="3">
        <f>SUMIFS('PowerApp_Physical count'!H:H,'PowerApp_Physical count'!B:B,' General Stock Summary View  '!$P$2,'PowerApp_Physical count'!C:C,' General Stock Summary View  '!C464,'PowerApp_Physical count'!A:A,' General Stock Summary View  '!B464)</f>
        <v>0</v>
      </c>
      <c r="R464" s="4">
        <f t="shared" si="75"/>
        <v>-12.966666666666667</v>
      </c>
      <c r="S464" s="5">
        <f>SUMIFS('XBS '!T:T,'XBS '!L:L,' General Stock Summary View  '!B464,'XBS '!H:H,' General Stock Summary View  '!$S$2,'XBS '!C:C,' General Stock Summary View  '!C464)</f>
        <v>0</v>
      </c>
      <c r="T464" s="3">
        <f>SUMIFS('PowerApp_Physical count'!H:H,'PowerApp_Physical count'!B:B,' General Stock Summary View  '!$S$2,'PowerApp_Physical count'!C:C,' General Stock Summary View  '!C464,'PowerApp_Physical count'!A:A,' General Stock Summary View  '!B464)</f>
        <v>0</v>
      </c>
      <c r="U464" s="4">
        <f t="shared" si="76"/>
        <v>0</v>
      </c>
      <c r="V464" s="2">
        <f>SUMIFS('XBS '!T:T,'XBS '!H:H,' General Stock Summary View  '!$V$2,'XBS '!B:B,' General Stock Summary View  '!C464,'XBS '!L:L,' General Stock Summary View  '!B464)</f>
        <v>0</v>
      </c>
      <c r="W464" s="3">
        <f>SUMIFS('PowerApp_Physical count'!H:H,'PowerApp_Physical count'!B:B,' General Stock Summary View  '!$V$2,'PowerApp_Physical count'!C:C,' General Stock Summary View  '!C464,'PowerApp_Physical count'!A:A,' General Stock Summary View  '!B464)</f>
        <v>0</v>
      </c>
      <c r="X464" s="4">
        <f t="shared" si="77"/>
        <v>0</v>
      </c>
      <c r="Y464" s="5">
        <f>SUMIFS('XBS '!T:T,'XBS '!H:H,' General Stock Summary View  '!$Y$2,'XBS '!B:B,' General Stock Summary View  '!C464,'XBS '!L:L,' General Stock Summary View  '!B464)</f>
        <v>0</v>
      </c>
      <c r="Z464" s="3">
        <f>SUMIFS('PowerApp_Physical count'!H:H,'PowerApp_Physical count'!B:B,' General Stock Summary View  '!$Y$2,'PowerApp_Physical count'!C:C,' General Stock Summary View  '!C464,'PowerApp_Physical count'!A:A,' General Stock Summary View  '!B464)</f>
        <v>0</v>
      </c>
      <c r="AA464" s="4">
        <f t="shared" si="78"/>
        <v>0</v>
      </c>
      <c r="AB464" s="5">
        <f>SUMIFS('XBS '!T:T,'XBS '!H:H,' General Stock Summary View  '!$AB$2,'XBS '!B:B,' General Stock Summary View  '!C464,'XBS '!L:L,' General Stock Summary View  '!B464)</f>
        <v>0</v>
      </c>
      <c r="AC464" s="3">
        <f>SUMIFS('PowerApp_Physical count'!H:H,'PowerApp_Physical count'!B:B,' General Stock Summary View  '!$AB$2,'PowerApp_Physical count'!C:C,' General Stock Summary View  '!C464,'PowerApp_Physical count'!A:A,' General Stock Summary View  '!B464)</f>
        <v>0</v>
      </c>
      <c r="AD464" s="6">
        <f t="shared" si="79"/>
        <v>0</v>
      </c>
      <c r="AE464" s="7">
        <f t="shared" si="80"/>
        <v>0</v>
      </c>
      <c r="AF464" s="8">
        <f t="shared" si="81"/>
        <v>-12.966666666666667</v>
      </c>
      <c r="AG464" s="112"/>
    </row>
    <row r="465" spans="2:33" s="113" customFormat="1" ht="61.15">
      <c r="B465" s="117" t="s">
        <v>417</v>
      </c>
      <c r="C465" s="111" t="s">
        <v>410</v>
      </c>
      <c r="D465" s="11">
        <f>SUMIFS('XBS '!T:T,'XBS '!C:C,' General Stock Summary View  '!C465,'XBS '!L:L,' General Stock Summary View  '!B465)</f>
        <v>6.7833333333333332</v>
      </c>
      <c r="E465" s="2">
        <f>SUMIFS('Blocked for Processing'!P:P,'Blocked for Processing'!I:I,' General Stock Summary View  '!B465,'Blocked for Processing'!C:C,' General Stock Summary View  '!C465)</f>
        <v>0</v>
      </c>
      <c r="F465" s="122">
        <f t="shared" si="70"/>
        <v>6.7833333333333332</v>
      </c>
      <c r="G465" s="148">
        <f>SUMIFS('XBS '!T:T,'XBS '!H:H,' General Stock Summary View  '!$G$2,'XBS '!L:L,' General Stock Summary View  '!B465,'XBS '!C:C,' General Stock Summary View  '!C465)</f>
        <v>0</v>
      </c>
      <c r="H465" s="3">
        <f>SUMIFS('PowerApp_Physical count'!H:H,'PowerApp_Physical count'!B:B,' General Stock Summary View  '!$G$2,'PowerApp_Physical count'!C:C,' General Stock Summary View  '!C465,'PowerApp_Physical count'!A:A,' General Stock Summary View  '!B465)</f>
        <v>0</v>
      </c>
      <c r="I465" s="154">
        <f t="shared" si="82"/>
        <v>0</v>
      </c>
      <c r="J465" s="11">
        <f>SUMIFS('XBS '!T:T,'XBS '!H:H,' General Stock Summary View  '!$J$2,'XBS '!L:L,' General Stock Summary View  '!B465,'XBS '!C:C,' General Stock Summary View  '!C465)</f>
        <v>0</v>
      </c>
      <c r="K465" s="157">
        <f>SUMIFS('PowerApp_Physical count'!H:H,'PowerApp_Physical count'!B:B,' General Stock Summary View  '!$J$2,'PowerApp_Physical count'!C:C,' General Stock Summary View  '!C465,'PowerApp_Physical count'!A:A,' General Stock Summary View  '!B465)</f>
        <v>0</v>
      </c>
      <c r="L465" s="127">
        <f t="shared" si="71"/>
        <v>0</v>
      </c>
      <c r="M465" s="126">
        <f t="shared" si="72"/>
        <v>0</v>
      </c>
      <c r="N465" s="11">
        <f t="shared" si="73"/>
        <v>0</v>
      </c>
      <c r="O465" s="144">
        <f t="shared" si="74"/>
        <v>0</v>
      </c>
      <c r="P465" s="2">
        <f>SUMIFS('XBS '!T:T,'XBS '!H:H,' General Stock Summary View  '!$P$2,'XBS '!L:L,' General Stock Summary View  '!B465,'XBS '!C:C,' General Stock Summary View  '!C465)</f>
        <v>0</v>
      </c>
      <c r="Q465" s="3">
        <f>SUMIFS('PowerApp_Physical count'!H:H,'PowerApp_Physical count'!B:B,' General Stock Summary View  '!$P$2,'PowerApp_Physical count'!C:C,' General Stock Summary View  '!C465,'PowerApp_Physical count'!A:A,' General Stock Summary View  '!B465)</f>
        <v>0</v>
      </c>
      <c r="R465" s="4">
        <f t="shared" si="75"/>
        <v>0</v>
      </c>
      <c r="S465" s="5">
        <f>SUMIFS('XBS '!T:T,'XBS '!L:L,' General Stock Summary View  '!B465,'XBS '!H:H,' General Stock Summary View  '!$S$2,'XBS '!C:C,' General Stock Summary View  '!C465)</f>
        <v>0</v>
      </c>
      <c r="T465" s="3">
        <f>SUMIFS('PowerApp_Physical count'!H:H,'PowerApp_Physical count'!B:B,' General Stock Summary View  '!$S$2,'PowerApp_Physical count'!C:C,' General Stock Summary View  '!C465,'PowerApp_Physical count'!A:A,' General Stock Summary View  '!B465)</f>
        <v>0</v>
      </c>
      <c r="U465" s="4">
        <f t="shared" si="76"/>
        <v>0</v>
      </c>
      <c r="V465" s="2">
        <f>SUMIFS('XBS '!T:T,'XBS '!H:H,' General Stock Summary View  '!$V$2,'XBS '!B:B,' General Stock Summary View  '!C465,'XBS '!L:L,' General Stock Summary View  '!B465)</f>
        <v>0</v>
      </c>
      <c r="W465" s="3">
        <f>SUMIFS('PowerApp_Physical count'!H:H,'PowerApp_Physical count'!B:B,' General Stock Summary View  '!$V$2,'PowerApp_Physical count'!C:C,' General Stock Summary View  '!C465,'PowerApp_Physical count'!A:A,' General Stock Summary View  '!B465)</f>
        <v>0</v>
      </c>
      <c r="X465" s="4">
        <f t="shared" si="77"/>
        <v>0</v>
      </c>
      <c r="Y465" s="5">
        <f>SUMIFS('XBS '!T:T,'XBS '!H:H,' General Stock Summary View  '!$Y$2,'XBS '!B:B,' General Stock Summary View  '!C465,'XBS '!L:L,' General Stock Summary View  '!B465)</f>
        <v>0</v>
      </c>
      <c r="Z465" s="3">
        <f>SUMIFS('PowerApp_Physical count'!H:H,'PowerApp_Physical count'!B:B,' General Stock Summary View  '!$Y$2,'PowerApp_Physical count'!C:C,' General Stock Summary View  '!C465,'PowerApp_Physical count'!A:A,' General Stock Summary View  '!B465)</f>
        <v>0</v>
      </c>
      <c r="AA465" s="4">
        <f t="shared" si="78"/>
        <v>0</v>
      </c>
      <c r="AB465" s="5">
        <f>SUMIFS('XBS '!T:T,'XBS '!H:H,' General Stock Summary View  '!$AB$2,'XBS '!B:B,' General Stock Summary View  '!C465,'XBS '!L:L,' General Stock Summary View  '!B465)</f>
        <v>6.7833333333333332</v>
      </c>
      <c r="AC465" s="3">
        <f>SUMIFS('PowerApp_Physical count'!H:H,'PowerApp_Physical count'!B:B,' General Stock Summary View  '!$AB$2,'PowerApp_Physical count'!C:C,' General Stock Summary View  '!C465,'PowerApp_Physical count'!A:A,' General Stock Summary View  '!B465)</f>
        <v>0</v>
      </c>
      <c r="AD465" s="6">
        <f t="shared" si="79"/>
        <v>-6.7833333333333332</v>
      </c>
      <c r="AE465" s="7">
        <f t="shared" si="80"/>
        <v>0</v>
      </c>
      <c r="AF465" s="8">
        <f t="shared" si="81"/>
        <v>-6.7833333333333332</v>
      </c>
      <c r="AG465" s="112"/>
    </row>
    <row r="466" spans="2:33" s="113" customFormat="1" ht="61.15">
      <c r="B466" s="117" t="s">
        <v>418</v>
      </c>
      <c r="C466" s="111" t="s">
        <v>419</v>
      </c>
      <c r="D466" s="11">
        <f>SUMIFS('XBS '!T:T,'XBS '!C:C,' General Stock Summary View  '!C466,'XBS '!L:L,' General Stock Summary View  '!B466)</f>
        <v>3.2166666666666668</v>
      </c>
      <c r="E466" s="2">
        <f>SUMIFS('Blocked for Processing'!P:P,'Blocked for Processing'!I:I,' General Stock Summary View  '!B466,'Blocked for Processing'!C:C,' General Stock Summary View  '!C466)</f>
        <v>0</v>
      </c>
      <c r="F466" s="122">
        <f t="shared" si="70"/>
        <v>3.2166666666666668</v>
      </c>
      <c r="G466" s="148">
        <f>SUMIFS('XBS '!T:T,'XBS '!H:H,' General Stock Summary View  '!$G$2,'XBS '!L:L,' General Stock Summary View  '!B466,'XBS '!C:C,' General Stock Summary View  '!C466)</f>
        <v>0</v>
      </c>
      <c r="H466" s="3">
        <f>SUMIFS('PowerApp_Physical count'!H:H,'PowerApp_Physical count'!B:B,' General Stock Summary View  '!$G$2,'PowerApp_Physical count'!C:C,' General Stock Summary View  '!C466,'PowerApp_Physical count'!A:A,' General Stock Summary View  '!B466)</f>
        <v>0</v>
      </c>
      <c r="I466" s="154">
        <f t="shared" si="82"/>
        <v>0</v>
      </c>
      <c r="J466" s="11">
        <f>SUMIFS('XBS '!T:T,'XBS '!H:H,' General Stock Summary View  '!$J$2,'XBS '!L:L,' General Stock Summary View  '!B466,'XBS '!C:C,' General Stock Summary View  '!C466)</f>
        <v>0</v>
      </c>
      <c r="K466" s="157">
        <f>SUMIFS('PowerApp_Physical count'!H:H,'PowerApp_Physical count'!B:B,' General Stock Summary View  '!$J$2,'PowerApp_Physical count'!C:C,' General Stock Summary View  '!C466,'PowerApp_Physical count'!A:A,' General Stock Summary View  '!B466)</f>
        <v>0</v>
      </c>
      <c r="L466" s="127">
        <f t="shared" si="71"/>
        <v>0</v>
      </c>
      <c r="M466" s="126">
        <f t="shared" si="72"/>
        <v>0</v>
      </c>
      <c r="N466" s="11">
        <f t="shared" si="73"/>
        <v>0</v>
      </c>
      <c r="O466" s="144">
        <f t="shared" si="74"/>
        <v>0</v>
      </c>
      <c r="P466" s="2">
        <f>SUMIFS('XBS '!T:T,'XBS '!H:H,' General Stock Summary View  '!$P$2,'XBS '!L:L,' General Stock Summary View  '!B466,'XBS '!C:C,' General Stock Summary View  '!C466)</f>
        <v>0</v>
      </c>
      <c r="Q466" s="3">
        <f>SUMIFS('PowerApp_Physical count'!H:H,'PowerApp_Physical count'!B:B,' General Stock Summary View  '!$P$2,'PowerApp_Physical count'!C:C,' General Stock Summary View  '!C466,'PowerApp_Physical count'!A:A,' General Stock Summary View  '!B466)</f>
        <v>0</v>
      </c>
      <c r="R466" s="4">
        <f t="shared" si="75"/>
        <v>0</v>
      </c>
      <c r="S466" s="5">
        <f>SUMIFS('XBS '!T:T,'XBS '!L:L,' General Stock Summary View  '!B466,'XBS '!H:H,' General Stock Summary View  '!$S$2,'XBS '!C:C,' General Stock Summary View  '!C466)</f>
        <v>0</v>
      </c>
      <c r="T466" s="3">
        <f>SUMIFS('PowerApp_Physical count'!H:H,'PowerApp_Physical count'!B:B,' General Stock Summary View  '!$S$2,'PowerApp_Physical count'!C:C,' General Stock Summary View  '!C466,'PowerApp_Physical count'!A:A,' General Stock Summary View  '!B466)</f>
        <v>0</v>
      </c>
      <c r="U466" s="4">
        <f t="shared" si="76"/>
        <v>0</v>
      </c>
      <c r="V466" s="2">
        <f>SUMIFS('XBS '!T:T,'XBS '!H:H,' General Stock Summary View  '!$V$2,'XBS '!B:B,' General Stock Summary View  '!C466,'XBS '!L:L,' General Stock Summary View  '!B466)</f>
        <v>0</v>
      </c>
      <c r="W466" s="3">
        <f>SUMIFS('PowerApp_Physical count'!H:H,'PowerApp_Physical count'!B:B,' General Stock Summary View  '!$V$2,'PowerApp_Physical count'!C:C,' General Stock Summary View  '!C466,'PowerApp_Physical count'!A:A,' General Stock Summary View  '!B466)</f>
        <v>0</v>
      </c>
      <c r="X466" s="4">
        <f t="shared" si="77"/>
        <v>0</v>
      </c>
      <c r="Y466" s="5">
        <f>SUMIFS('XBS '!T:T,'XBS '!H:H,' General Stock Summary View  '!$Y$2,'XBS '!B:B,' General Stock Summary View  '!C466,'XBS '!L:L,' General Stock Summary View  '!B466)</f>
        <v>3.2166666666666668</v>
      </c>
      <c r="Z466" s="3">
        <f>SUMIFS('PowerApp_Physical count'!H:H,'PowerApp_Physical count'!B:B,' General Stock Summary View  '!$Y$2,'PowerApp_Physical count'!C:C,' General Stock Summary View  '!C466,'PowerApp_Physical count'!A:A,' General Stock Summary View  '!B466)</f>
        <v>0</v>
      </c>
      <c r="AA466" s="4">
        <f t="shared" si="78"/>
        <v>-3.2166666666666668</v>
      </c>
      <c r="AB466" s="5">
        <f>SUMIFS('XBS '!T:T,'XBS '!H:H,' General Stock Summary View  '!$AB$2,'XBS '!B:B,' General Stock Summary View  '!C466,'XBS '!L:L,' General Stock Summary View  '!B466)</f>
        <v>0</v>
      </c>
      <c r="AC466" s="3">
        <f>SUMIFS('PowerApp_Physical count'!H:H,'PowerApp_Physical count'!B:B,' General Stock Summary View  '!$AB$2,'PowerApp_Physical count'!C:C,' General Stock Summary View  '!C466,'PowerApp_Physical count'!A:A,' General Stock Summary View  '!B466)</f>
        <v>0</v>
      </c>
      <c r="AD466" s="6">
        <f t="shared" si="79"/>
        <v>0</v>
      </c>
      <c r="AE466" s="7">
        <f t="shared" si="80"/>
        <v>0</v>
      </c>
      <c r="AF466" s="8">
        <f t="shared" si="81"/>
        <v>-3.2166666666666668</v>
      </c>
      <c r="AG466" s="112"/>
    </row>
    <row r="467" spans="2:33" s="113" customFormat="1" ht="61.15">
      <c r="B467" s="117" t="s">
        <v>420</v>
      </c>
      <c r="C467" s="111" t="s">
        <v>421</v>
      </c>
      <c r="D467" s="11">
        <f>SUMIFS('XBS '!T:T,'XBS '!C:C,' General Stock Summary View  '!C467,'XBS '!L:L,' General Stock Summary View  '!B467)</f>
        <v>6.6666666666666666E-2</v>
      </c>
      <c r="E467" s="2">
        <f>SUMIFS('Blocked for Processing'!P:P,'Blocked for Processing'!I:I,' General Stock Summary View  '!B467,'Blocked for Processing'!C:C,' General Stock Summary View  '!C467)</f>
        <v>0</v>
      </c>
      <c r="F467" s="122">
        <f t="shared" si="70"/>
        <v>6.6666666666666666E-2</v>
      </c>
      <c r="G467" s="148">
        <f>SUMIFS('XBS '!T:T,'XBS '!H:H,' General Stock Summary View  '!$G$2,'XBS '!L:L,' General Stock Summary View  '!B467,'XBS '!C:C,' General Stock Summary View  '!C467)</f>
        <v>0</v>
      </c>
      <c r="H467" s="3">
        <f>SUMIFS('PowerApp_Physical count'!H:H,'PowerApp_Physical count'!B:B,' General Stock Summary View  '!$G$2,'PowerApp_Physical count'!C:C,' General Stock Summary View  '!C467,'PowerApp_Physical count'!A:A,' General Stock Summary View  '!B467)</f>
        <v>0</v>
      </c>
      <c r="I467" s="154">
        <f t="shared" si="82"/>
        <v>0</v>
      </c>
      <c r="J467" s="11">
        <f>SUMIFS('XBS '!T:T,'XBS '!H:H,' General Stock Summary View  '!$J$2,'XBS '!L:L,' General Stock Summary View  '!B467,'XBS '!C:C,' General Stock Summary View  '!C467)</f>
        <v>0</v>
      </c>
      <c r="K467" s="157">
        <f>SUMIFS('PowerApp_Physical count'!H:H,'PowerApp_Physical count'!B:B,' General Stock Summary View  '!$J$2,'PowerApp_Physical count'!C:C,' General Stock Summary View  '!C467,'PowerApp_Physical count'!A:A,' General Stock Summary View  '!B467)</f>
        <v>0</v>
      </c>
      <c r="L467" s="127">
        <f t="shared" si="71"/>
        <v>0</v>
      </c>
      <c r="M467" s="126">
        <f t="shared" si="72"/>
        <v>0</v>
      </c>
      <c r="N467" s="11">
        <f t="shared" si="73"/>
        <v>0</v>
      </c>
      <c r="O467" s="144">
        <f t="shared" si="74"/>
        <v>0</v>
      </c>
      <c r="P467" s="2">
        <f>SUMIFS('XBS '!T:T,'XBS '!H:H,' General Stock Summary View  '!$P$2,'XBS '!L:L,' General Stock Summary View  '!B467,'XBS '!C:C,' General Stock Summary View  '!C467)</f>
        <v>6.6666666666666666E-2</v>
      </c>
      <c r="Q467" s="3">
        <f>SUMIFS('PowerApp_Physical count'!H:H,'PowerApp_Physical count'!B:B,' General Stock Summary View  '!$P$2,'PowerApp_Physical count'!C:C,' General Stock Summary View  '!C467,'PowerApp_Physical count'!A:A,' General Stock Summary View  '!B467)</f>
        <v>0</v>
      </c>
      <c r="R467" s="4">
        <f t="shared" si="75"/>
        <v>-6.6666666666666666E-2</v>
      </c>
      <c r="S467" s="5">
        <f>SUMIFS('XBS '!T:T,'XBS '!L:L,' General Stock Summary View  '!B467,'XBS '!H:H,' General Stock Summary View  '!$S$2,'XBS '!C:C,' General Stock Summary View  '!C467)</f>
        <v>0</v>
      </c>
      <c r="T467" s="3">
        <f>SUMIFS('PowerApp_Physical count'!H:H,'PowerApp_Physical count'!B:B,' General Stock Summary View  '!$S$2,'PowerApp_Physical count'!C:C,' General Stock Summary View  '!C467,'PowerApp_Physical count'!A:A,' General Stock Summary View  '!B467)</f>
        <v>0</v>
      </c>
      <c r="U467" s="4">
        <f t="shared" si="76"/>
        <v>0</v>
      </c>
      <c r="V467" s="2">
        <f>SUMIFS('XBS '!T:T,'XBS '!H:H,' General Stock Summary View  '!$V$2,'XBS '!B:B,' General Stock Summary View  '!C467,'XBS '!L:L,' General Stock Summary View  '!B467)</f>
        <v>0</v>
      </c>
      <c r="W467" s="3">
        <f>SUMIFS('PowerApp_Physical count'!H:H,'PowerApp_Physical count'!B:B,' General Stock Summary View  '!$V$2,'PowerApp_Physical count'!C:C,' General Stock Summary View  '!C467,'PowerApp_Physical count'!A:A,' General Stock Summary View  '!B467)</f>
        <v>0</v>
      </c>
      <c r="X467" s="4">
        <f t="shared" si="77"/>
        <v>0</v>
      </c>
      <c r="Y467" s="5">
        <f>SUMIFS('XBS '!T:T,'XBS '!H:H,' General Stock Summary View  '!$Y$2,'XBS '!B:B,' General Stock Summary View  '!C467,'XBS '!L:L,' General Stock Summary View  '!B467)</f>
        <v>0</v>
      </c>
      <c r="Z467" s="3">
        <f>SUMIFS('PowerApp_Physical count'!H:H,'PowerApp_Physical count'!B:B,' General Stock Summary View  '!$Y$2,'PowerApp_Physical count'!C:C,' General Stock Summary View  '!C467,'PowerApp_Physical count'!A:A,' General Stock Summary View  '!B467)</f>
        <v>0</v>
      </c>
      <c r="AA467" s="4">
        <f t="shared" si="78"/>
        <v>0</v>
      </c>
      <c r="AB467" s="5">
        <f>SUMIFS('XBS '!T:T,'XBS '!H:H,' General Stock Summary View  '!$AB$2,'XBS '!B:B,' General Stock Summary View  '!C467,'XBS '!L:L,' General Stock Summary View  '!B467)</f>
        <v>0</v>
      </c>
      <c r="AC467" s="3">
        <f>SUMIFS('PowerApp_Physical count'!H:H,'PowerApp_Physical count'!B:B,' General Stock Summary View  '!$AB$2,'PowerApp_Physical count'!C:C,' General Stock Summary View  '!C467,'PowerApp_Physical count'!A:A,' General Stock Summary View  '!B467)</f>
        <v>0</v>
      </c>
      <c r="AD467" s="6">
        <f t="shared" si="79"/>
        <v>0</v>
      </c>
      <c r="AE467" s="7">
        <f t="shared" si="80"/>
        <v>0</v>
      </c>
      <c r="AF467" s="8">
        <f t="shared" si="81"/>
        <v>-6.6666666666666666E-2</v>
      </c>
      <c r="AG467" s="112"/>
    </row>
    <row r="468" spans="2:33" s="113" customFormat="1" ht="61.15">
      <c r="B468" s="117" t="s">
        <v>422</v>
      </c>
      <c r="C468" s="111" t="s">
        <v>421</v>
      </c>
      <c r="D468" s="11">
        <f>SUMIFS('XBS '!T:T,'XBS '!C:C,' General Stock Summary View  '!C468,'XBS '!L:L,' General Stock Summary View  '!B468)</f>
        <v>0.16666666666666666</v>
      </c>
      <c r="E468" s="2">
        <f>SUMIFS('Blocked for Processing'!P:P,'Blocked for Processing'!I:I,' General Stock Summary View  '!B468,'Blocked for Processing'!C:C,' General Stock Summary View  '!C468)</f>
        <v>0</v>
      </c>
      <c r="F468" s="122">
        <f t="shared" si="70"/>
        <v>0.16666666666666666</v>
      </c>
      <c r="G468" s="148">
        <f>SUMIFS('XBS '!T:T,'XBS '!H:H,' General Stock Summary View  '!$G$2,'XBS '!L:L,' General Stock Summary View  '!B468,'XBS '!C:C,' General Stock Summary View  '!C468)</f>
        <v>0</v>
      </c>
      <c r="H468" s="3">
        <f>SUMIFS('PowerApp_Physical count'!H:H,'PowerApp_Physical count'!B:B,' General Stock Summary View  '!$G$2,'PowerApp_Physical count'!C:C,' General Stock Summary View  '!C468,'PowerApp_Physical count'!A:A,' General Stock Summary View  '!B468)</f>
        <v>0</v>
      </c>
      <c r="I468" s="154">
        <f t="shared" si="82"/>
        <v>0</v>
      </c>
      <c r="J468" s="11">
        <f>SUMIFS('XBS '!T:T,'XBS '!H:H,' General Stock Summary View  '!$J$2,'XBS '!L:L,' General Stock Summary View  '!B468,'XBS '!C:C,' General Stock Summary View  '!C468)</f>
        <v>0</v>
      </c>
      <c r="K468" s="157">
        <f>SUMIFS('PowerApp_Physical count'!H:H,'PowerApp_Physical count'!B:B,' General Stock Summary View  '!$J$2,'PowerApp_Physical count'!C:C,' General Stock Summary View  '!C468,'PowerApp_Physical count'!A:A,' General Stock Summary View  '!B468)</f>
        <v>0</v>
      </c>
      <c r="L468" s="127">
        <f t="shared" si="71"/>
        <v>0</v>
      </c>
      <c r="M468" s="126">
        <f t="shared" si="72"/>
        <v>0</v>
      </c>
      <c r="N468" s="11">
        <f t="shared" si="73"/>
        <v>0</v>
      </c>
      <c r="O468" s="144">
        <f t="shared" si="74"/>
        <v>0</v>
      </c>
      <c r="P468" s="2">
        <f>SUMIFS('XBS '!T:T,'XBS '!H:H,' General Stock Summary View  '!$P$2,'XBS '!L:L,' General Stock Summary View  '!B468,'XBS '!C:C,' General Stock Summary View  '!C468)</f>
        <v>0.16666666666666666</v>
      </c>
      <c r="Q468" s="3">
        <f>SUMIFS('PowerApp_Physical count'!H:H,'PowerApp_Physical count'!B:B,' General Stock Summary View  '!$P$2,'PowerApp_Physical count'!C:C,' General Stock Summary View  '!C468,'PowerApp_Physical count'!A:A,' General Stock Summary View  '!B468)</f>
        <v>0</v>
      </c>
      <c r="R468" s="4">
        <f t="shared" si="75"/>
        <v>-0.16666666666666666</v>
      </c>
      <c r="S468" s="5">
        <f>SUMIFS('XBS '!T:T,'XBS '!L:L,' General Stock Summary View  '!B468,'XBS '!H:H,' General Stock Summary View  '!$S$2,'XBS '!C:C,' General Stock Summary View  '!C468)</f>
        <v>0</v>
      </c>
      <c r="T468" s="3">
        <f>SUMIFS('PowerApp_Physical count'!H:H,'PowerApp_Physical count'!B:B,' General Stock Summary View  '!$S$2,'PowerApp_Physical count'!C:C,' General Stock Summary View  '!C468,'PowerApp_Physical count'!A:A,' General Stock Summary View  '!B468)</f>
        <v>0</v>
      </c>
      <c r="U468" s="4">
        <f t="shared" si="76"/>
        <v>0</v>
      </c>
      <c r="V468" s="2">
        <f>SUMIFS('XBS '!T:T,'XBS '!H:H,' General Stock Summary View  '!$V$2,'XBS '!B:B,' General Stock Summary View  '!C468,'XBS '!L:L,' General Stock Summary View  '!B468)</f>
        <v>0</v>
      </c>
      <c r="W468" s="3">
        <f>SUMIFS('PowerApp_Physical count'!H:H,'PowerApp_Physical count'!B:B,' General Stock Summary View  '!$V$2,'PowerApp_Physical count'!C:C,' General Stock Summary View  '!C468,'PowerApp_Physical count'!A:A,' General Stock Summary View  '!B468)</f>
        <v>0</v>
      </c>
      <c r="X468" s="4">
        <f t="shared" si="77"/>
        <v>0</v>
      </c>
      <c r="Y468" s="5">
        <f>SUMIFS('XBS '!T:T,'XBS '!H:H,' General Stock Summary View  '!$Y$2,'XBS '!B:B,' General Stock Summary View  '!C468,'XBS '!L:L,' General Stock Summary View  '!B468)</f>
        <v>0</v>
      </c>
      <c r="Z468" s="3">
        <f>SUMIFS('PowerApp_Physical count'!H:H,'PowerApp_Physical count'!B:B,' General Stock Summary View  '!$Y$2,'PowerApp_Physical count'!C:C,' General Stock Summary View  '!C468,'PowerApp_Physical count'!A:A,' General Stock Summary View  '!B468)</f>
        <v>0</v>
      </c>
      <c r="AA468" s="4">
        <f t="shared" si="78"/>
        <v>0</v>
      </c>
      <c r="AB468" s="5">
        <f>SUMIFS('XBS '!T:T,'XBS '!H:H,' General Stock Summary View  '!$AB$2,'XBS '!B:B,' General Stock Summary View  '!C468,'XBS '!L:L,' General Stock Summary View  '!B468)</f>
        <v>0</v>
      </c>
      <c r="AC468" s="3">
        <f>SUMIFS('PowerApp_Physical count'!H:H,'PowerApp_Physical count'!B:B,' General Stock Summary View  '!$AB$2,'PowerApp_Physical count'!C:C,' General Stock Summary View  '!C468,'PowerApp_Physical count'!A:A,' General Stock Summary View  '!B468)</f>
        <v>0</v>
      </c>
      <c r="AD468" s="6">
        <f t="shared" si="79"/>
        <v>0</v>
      </c>
      <c r="AE468" s="7">
        <f t="shared" si="80"/>
        <v>0</v>
      </c>
      <c r="AF468" s="8">
        <f t="shared" si="81"/>
        <v>-0.16666666666666666</v>
      </c>
      <c r="AG468" s="112"/>
    </row>
    <row r="469" spans="2:33" s="113" customFormat="1" ht="61.15">
      <c r="B469" s="117" t="s">
        <v>423</v>
      </c>
      <c r="C469" s="111" t="s">
        <v>421</v>
      </c>
      <c r="D469" s="11">
        <f>SUMIFS('XBS '!T:T,'XBS '!C:C,' General Stock Summary View  '!C469,'XBS '!L:L,' General Stock Summary View  '!B469)</f>
        <v>38.016666666666666</v>
      </c>
      <c r="E469" s="2">
        <f>SUMIFS('Blocked for Processing'!P:P,'Blocked for Processing'!I:I,' General Stock Summary View  '!B469,'Blocked for Processing'!C:C,' General Stock Summary View  '!C469)</f>
        <v>0</v>
      </c>
      <c r="F469" s="122">
        <f t="shared" si="70"/>
        <v>38.016666666666666</v>
      </c>
      <c r="G469" s="148">
        <f>SUMIFS('XBS '!T:T,'XBS '!H:H,' General Stock Summary View  '!$G$2,'XBS '!L:L,' General Stock Summary View  '!B469,'XBS '!C:C,' General Stock Summary View  '!C469)</f>
        <v>0</v>
      </c>
      <c r="H469" s="3">
        <f>SUMIFS('PowerApp_Physical count'!H:H,'PowerApp_Physical count'!B:B,' General Stock Summary View  '!$G$2,'PowerApp_Physical count'!C:C,' General Stock Summary View  '!C469,'PowerApp_Physical count'!A:A,' General Stock Summary View  '!B469)</f>
        <v>0</v>
      </c>
      <c r="I469" s="154">
        <f t="shared" si="82"/>
        <v>0</v>
      </c>
      <c r="J469" s="11">
        <f>SUMIFS('XBS '!T:T,'XBS '!H:H,' General Stock Summary View  '!$J$2,'XBS '!L:L,' General Stock Summary View  '!B469,'XBS '!C:C,' General Stock Summary View  '!C469)</f>
        <v>0</v>
      </c>
      <c r="K469" s="157">
        <f>SUMIFS('PowerApp_Physical count'!H:H,'PowerApp_Physical count'!B:B,' General Stock Summary View  '!$J$2,'PowerApp_Physical count'!C:C,' General Stock Summary View  '!C469,'PowerApp_Physical count'!A:A,' General Stock Summary View  '!B469)</f>
        <v>0</v>
      </c>
      <c r="L469" s="127">
        <f t="shared" si="71"/>
        <v>0</v>
      </c>
      <c r="M469" s="126">
        <f t="shared" si="72"/>
        <v>0</v>
      </c>
      <c r="N469" s="11">
        <f t="shared" si="73"/>
        <v>0</v>
      </c>
      <c r="O469" s="144">
        <f t="shared" si="74"/>
        <v>0</v>
      </c>
      <c r="P469" s="2">
        <f>SUMIFS('XBS '!T:T,'XBS '!H:H,' General Stock Summary View  '!$P$2,'XBS '!L:L,' General Stock Summary View  '!B469,'XBS '!C:C,' General Stock Summary View  '!C469)</f>
        <v>38.016666666666666</v>
      </c>
      <c r="Q469" s="3">
        <f>SUMIFS('PowerApp_Physical count'!H:H,'PowerApp_Physical count'!B:B,' General Stock Summary View  '!$P$2,'PowerApp_Physical count'!C:C,' General Stock Summary View  '!C469,'PowerApp_Physical count'!A:A,' General Stock Summary View  '!B469)</f>
        <v>0</v>
      </c>
      <c r="R469" s="4">
        <f t="shared" si="75"/>
        <v>-38.016666666666666</v>
      </c>
      <c r="S469" s="5">
        <f>SUMIFS('XBS '!T:T,'XBS '!L:L,' General Stock Summary View  '!B469,'XBS '!H:H,' General Stock Summary View  '!$S$2,'XBS '!C:C,' General Stock Summary View  '!C469)</f>
        <v>0</v>
      </c>
      <c r="T469" s="3">
        <f>SUMIFS('PowerApp_Physical count'!H:H,'PowerApp_Physical count'!B:B,' General Stock Summary View  '!$S$2,'PowerApp_Physical count'!C:C,' General Stock Summary View  '!C469,'PowerApp_Physical count'!A:A,' General Stock Summary View  '!B469)</f>
        <v>0</v>
      </c>
      <c r="U469" s="4">
        <f t="shared" si="76"/>
        <v>0</v>
      </c>
      <c r="V469" s="2">
        <f>SUMIFS('XBS '!T:T,'XBS '!H:H,' General Stock Summary View  '!$V$2,'XBS '!B:B,' General Stock Summary View  '!C469,'XBS '!L:L,' General Stock Summary View  '!B469)</f>
        <v>0</v>
      </c>
      <c r="W469" s="3">
        <f>SUMIFS('PowerApp_Physical count'!H:H,'PowerApp_Physical count'!B:B,' General Stock Summary View  '!$V$2,'PowerApp_Physical count'!C:C,' General Stock Summary View  '!C469,'PowerApp_Physical count'!A:A,' General Stock Summary View  '!B469)</f>
        <v>0</v>
      </c>
      <c r="X469" s="4">
        <f t="shared" si="77"/>
        <v>0</v>
      </c>
      <c r="Y469" s="5">
        <f>SUMIFS('XBS '!T:T,'XBS '!H:H,' General Stock Summary View  '!$Y$2,'XBS '!B:B,' General Stock Summary View  '!C469,'XBS '!L:L,' General Stock Summary View  '!B469)</f>
        <v>0</v>
      </c>
      <c r="Z469" s="3">
        <f>SUMIFS('PowerApp_Physical count'!H:H,'PowerApp_Physical count'!B:B,' General Stock Summary View  '!$Y$2,'PowerApp_Physical count'!C:C,' General Stock Summary View  '!C469,'PowerApp_Physical count'!A:A,' General Stock Summary View  '!B469)</f>
        <v>0</v>
      </c>
      <c r="AA469" s="4">
        <f t="shared" si="78"/>
        <v>0</v>
      </c>
      <c r="AB469" s="5">
        <f>SUMIFS('XBS '!T:T,'XBS '!H:H,' General Stock Summary View  '!$AB$2,'XBS '!B:B,' General Stock Summary View  '!C469,'XBS '!L:L,' General Stock Summary View  '!B469)</f>
        <v>0</v>
      </c>
      <c r="AC469" s="3">
        <f>SUMIFS('PowerApp_Physical count'!H:H,'PowerApp_Physical count'!B:B,' General Stock Summary View  '!$AB$2,'PowerApp_Physical count'!C:C,' General Stock Summary View  '!C469,'PowerApp_Physical count'!A:A,' General Stock Summary View  '!B469)</f>
        <v>0</v>
      </c>
      <c r="AD469" s="6">
        <f t="shared" si="79"/>
        <v>0</v>
      </c>
      <c r="AE469" s="7">
        <f t="shared" si="80"/>
        <v>0</v>
      </c>
      <c r="AF469" s="8">
        <f t="shared" si="81"/>
        <v>-38.016666666666666</v>
      </c>
      <c r="AG469" s="112"/>
    </row>
    <row r="470" spans="2:33" s="113" customFormat="1" ht="61.15">
      <c r="B470" s="117" t="s">
        <v>424</v>
      </c>
      <c r="C470" s="111" t="s">
        <v>421</v>
      </c>
      <c r="D470" s="11">
        <f>SUMIFS('XBS '!T:T,'XBS '!C:C,' General Stock Summary View  '!C470,'XBS '!L:L,' General Stock Summary View  '!B470)</f>
        <v>8.85</v>
      </c>
      <c r="E470" s="2">
        <f>SUMIFS('Blocked for Processing'!P:P,'Blocked for Processing'!I:I,' General Stock Summary View  '!B470,'Blocked for Processing'!C:C,' General Stock Summary View  '!C470)</f>
        <v>0</v>
      </c>
      <c r="F470" s="122">
        <f t="shared" si="70"/>
        <v>8.85</v>
      </c>
      <c r="G470" s="148">
        <f>SUMIFS('XBS '!T:T,'XBS '!H:H,' General Stock Summary View  '!$G$2,'XBS '!L:L,' General Stock Summary View  '!B470,'XBS '!C:C,' General Stock Summary View  '!C470)</f>
        <v>0</v>
      </c>
      <c r="H470" s="3">
        <f>SUMIFS('PowerApp_Physical count'!H:H,'PowerApp_Physical count'!B:B,' General Stock Summary View  '!$G$2,'PowerApp_Physical count'!C:C,' General Stock Summary View  '!C470,'PowerApp_Physical count'!A:A,' General Stock Summary View  '!B470)</f>
        <v>0</v>
      </c>
      <c r="I470" s="154">
        <f t="shared" si="82"/>
        <v>0</v>
      </c>
      <c r="J470" s="11">
        <f>SUMIFS('XBS '!T:T,'XBS '!H:H,' General Stock Summary View  '!$J$2,'XBS '!L:L,' General Stock Summary View  '!B470,'XBS '!C:C,' General Stock Summary View  '!C470)</f>
        <v>0</v>
      </c>
      <c r="K470" s="157">
        <f>SUMIFS('PowerApp_Physical count'!H:H,'PowerApp_Physical count'!B:B,' General Stock Summary View  '!$J$2,'PowerApp_Physical count'!C:C,' General Stock Summary View  '!C470,'PowerApp_Physical count'!A:A,' General Stock Summary View  '!B470)</f>
        <v>0</v>
      </c>
      <c r="L470" s="127">
        <f t="shared" si="71"/>
        <v>0</v>
      </c>
      <c r="M470" s="126">
        <f t="shared" si="72"/>
        <v>0</v>
      </c>
      <c r="N470" s="11">
        <f t="shared" si="73"/>
        <v>0</v>
      </c>
      <c r="O470" s="144">
        <f t="shared" si="74"/>
        <v>0</v>
      </c>
      <c r="P470" s="2">
        <f>SUMIFS('XBS '!T:T,'XBS '!H:H,' General Stock Summary View  '!$P$2,'XBS '!L:L,' General Stock Summary View  '!B470,'XBS '!C:C,' General Stock Summary View  '!C470)</f>
        <v>8.85</v>
      </c>
      <c r="Q470" s="3">
        <f>SUMIFS('PowerApp_Physical count'!H:H,'PowerApp_Physical count'!B:B,' General Stock Summary View  '!$P$2,'PowerApp_Physical count'!C:C,' General Stock Summary View  '!C470,'PowerApp_Physical count'!A:A,' General Stock Summary View  '!B470)</f>
        <v>0</v>
      </c>
      <c r="R470" s="4">
        <f t="shared" si="75"/>
        <v>-8.85</v>
      </c>
      <c r="S470" s="5">
        <f>SUMIFS('XBS '!T:T,'XBS '!L:L,' General Stock Summary View  '!B470,'XBS '!H:H,' General Stock Summary View  '!$S$2,'XBS '!C:C,' General Stock Summary View  '!C470)</f>
        <v>0</v>
      </c>
      <c r="T470" s="3">
        <f>SUMIFS('PowerApp_Physical count'!H:H,'PowerApp_Physical count'!B:B,' General Stock Summary View  '!$S$2,'PowerApp_Physical count'!C:C,' General Stock Summary View  '!C470,'PowerApp_Physical count'!A:A,' General Stock Summary View  '!B470)</f>
        <v>0</v>
      </c>
      <c r="U470" s="4">
        <f t="shared" si="76"/>
        <v>0</v>
      </c>
      <c r="V470" s="2">
        <f>SUMIFS('XBS '!T:T,'XBS '!H:H,' General Stock Summary View  '!$V$2,'XBS '!B:B,' General Stock Summary View  '!C470,'XBS '!L:L,' General Stock Summary View  '!B470)</f>
        <v>0</v>
      </c>
      <c r="W470" s="3">
        <f>SUMIFS('PowerApp_Physical count'!H:H,'PowerApp_Physical count'!B:B,' General Stock Summary View  '!$V$2,'PowerApp_Physical count'!C:C,' General Stock Summary View  '!C470,'PowerApp_Physical count'!A:A,' General Stock Summary View  '!B470)</f>
        <v>0</v>
      </c>
      <c r="X470" s="4">
        <f t="shared" si="77"/>
        <v>0</v>
      </c>
      <c r="Y470" s="5">
        <f>SUMIFS('XBS '!T:T,'XBS '!H:H,' General Stock Summary View  '!$Y$2,'XBS '!B:B,' General Stock Summary View  '!C470,'XBS '!L:L,' General Stock Summary View  '!B470)</f>
        <v>0</v>
      </c>
      <c r="Z470" s="3">
        <f>SUMIFS('PowerApp_Physical count'!H:H,'PowerApp_Physical count'!B:B,' General Stock Summary View  '!$Y$2,'PowerApp_Physical count'!C:C,' General Stock Summary View  '!C470,'PowerApp_Physical count'!A:A,' General Stock Summary View  '!B470)</f>
        <v>0</v>
      </c>
      <c r="AA470" s="4">
        <f t="shared" si="78"/>
        <v>0</v>
      </c>
      <c r="AB470" s="5">
        <f>SUMIFS('XBS '!T:T,'XBS '!H:H,' General Stock Summary View  '!$AB$2,'XBS '!B:B,' General Stock Summary View  '!C470,'XBS '!L:L,' General Stock Summary View  '!B470)</f>
        <v>0</v>
      </c>
      <c r="AC470" s="3">
        <f>SUMIFS('PowerApp_Physical count'!H:H,'PowerApp_Physical count'!B:B,' General Stock Summary View  '!$AB$2,'PowerApp_Physical count'!C:C,' General Stock Summary View  '!C470,'PowerApp_Physical count'!A:A,' General Stock Summary View  '!B470)</f>
        <v>0</v>
      </c>
      <c r="AD470" s="6">
        <f t="shared" si="79"/>
        <v>0</v>
      </c>
      <c r="AE470" s="7">
        <f t="shared" si="80"/>
        <v>0</v>
      </c>
      <c r="AF470" s="8">
        <f t="shared" si="81"/>
        <v>-8.85</v>
      </c>
      <c r="AG470" s="112"/>
    </row>
    <row r="471" spans="2:33" s="113" customFormat="1" ht="61.15">
      <c r="B471" s="117" t="s">
        <v>425</v>
      </c>
      <c r="C471" s="111" t="s">
        <v>421</v>
      </c>
      <c r="D471" s="11">
        <f>SUMIFS('XBS '!T:T,'XBS '!C:C,' General Stock Summary View  '!C471,'XBS '!L:L,' General Stock Summary View  '!B471)</f>
        <v>2.95</v>
      </c>
      <c r="E471" s="2">
        <f>SUMIFS('Blocked for Processing'!P:P,'Blocked for Processing'!I:I,' General Stock Summary View  '!B471,'Blocked for Processing'!C:C,' General Stock Summary View  '!C471)</f>
        <v>0</v>
      </c>
      <c r="F471" s="122">
        <f t="shared" si="70"/>
        <v>2.95</v>
      </c>
      <c r="G471" s="148">
        <f>SUMIFS('XBS '!T:T,'XBS '!H:H,' General Stock Summary View  '!$G$2,'XBS '!L:L,' General Stock Summary View  '!B471,'XBS '!C:C,' General Stock Summary View  '!C471)</f>
        <v>0</v>
      </c>
      <c r="H471" s="3">
        <f>SUMIFS('PowerApp_Physical count'!H:H,'PowerApp_Physical count'!B:B,' General Stock Summary View  '!$G$2,'PowerApp_Physical count'!C:C,' General Stock Summary View  '!C471,'PowerApp_Physical count'!A:A,' General Stock Summary View  '!B471)</f>
        <v>0</v>
      </c>
      <c r="I471" s="154">
        <f t="shared" si="82"/>
        <v>0</v>
      </c>
      <c r="J471" s="11">
        <f>SUMIFS('XBS '!T:T,'XBS '!H:H,' General Stock Summary View  '!$J$2,'XBS '!L:L,' General Stock Summary View  '!B471,'XBS '!C:C,' General Stock Summary View  '!C471)</f>
        <v>0</v>
      </c>
      <c r="K471" s="157">
        <f>SUMIFS('PowerApp_Physical count'!H:H,'PowerApp_Physical count'!B:B,' General Stock Summary View  '!$J$2,'PowerApp_Physical count'!C:C,' General Stock Summary View  '!C471,'PowerApp_Physical count'!A:A,' General Stock Summary View  '!B471)</f>
        <v>0</v>
      </c>
      <c r="L471" s="127">
        <f t="shared" si="71"/>
        <v>0</v>
      </c>
      <c r="M471" s="126">
        <f t="shared" si="72"/>
        <v>0</v>
      </c>
      <c r="N471" s="11">
        <f t="shared" si="73"/>
        <v>0</v>
      </c>
      <c r="O471" s="144">
        <f t="shared" si="74"/>
        <v>0</v>
      </c>
      <c r="P471" s="2">
        <f>SUMIFS('XBS '!T:T,'XBS '!H:H,' General Stock Summary View  '!$P$2,'XBS '!L:L,' General Stock Summary View  '!B471,'XBS '!C:C,' General Stock Summary View  '!C471)</f>
        <v>2.95</v>
      </c>
      <c r="Q471" s="3">
        <f>SUMIFS('PowerApp_Physical count'!H:H,'PowerApp_Physical count'!B:B,' General Stock Summary View  '!$P$2,'PowerApp_Physical count'!C:C,' General Stock Summary View  '!C471,'PowerApp_Physical count'!A:A,' General Stock Summary View  '!B471)</f>
        <v>0</v>
      </c>
      <c r="R471" s="4">
        <f t="shared" si="75"/>
        <v>-2.95</v>
      </c>
      <c r="S471" s="5">
        <f>SUMIFS('XBS '!T:T,'XBS '!L:L,' General Stock Summary View  '!B471,'XBS '!H:H,' General Stock Summary View  '!$S$2,'XBS '!C:C,' General Stock Summary View  '!C471)</f>
        <v>0</v>
      </c>
      <c r="T471" s="3">
        <f>SUMIFS('PowerApp_Physical count'!H:H,'PowerApp_Physical count'!B:B,' General Stock Summary View  '!$S$2,'PowerApp_Physical count'!C:C,' General Stock Summary View  '!C471,'PowerApp_Physical count'!A:A,' General Stock Summary View  '!B471)</f>
        <v>0</v>
      </c>
      <c r="U471" s="4">
        <f t="shared" si="76"/>
        <v>0</v>
      </c>
      <c r="V471" s="2">
        <f>SUMIFS('XBS '!T:T,'XBS '!H:H,' General Stock Summary View  '!$V$2,'XBS '!B:B,' General Stock Summary View  '!C471,'XBS '!L:L,' General Stock Summary View  '!B471)</f>
        <v>0</v>
      </c>
      <c r="W471" s="3">
        <f>SUMIFS('PowerApp_Physical count'!H:H,'PowerApp_Physical count'!B:B,' General Stock Summary View  '!$V$2,'PowerApp_Physical count'!C:C,' General Stock Summary View  '!C471,'PowerApp_Physical count'!A:A,' General Stock Summary View  '!B471)</f>
        <v>0</v>
      </c>
      <c r="X471" s="4">
        <f t="shared" si="77"/>
        <v>0</v>
      </c>
      <c r="Y471" s="5">
        <f>SUMIFS('XBS '!T:T,'XBS '!H:H,' General Stock Summary View  '!$Y$2,'XBS '!B:B,' General Stock Summary View  '!C471,'XBS '!L:L,' General Stock Summary View  '!B471)</f>
        <v>0</v>
      </c>
      <c r="Z471" s="3">
        <f>SUMIFS('PowerApp_Physical count'!H:H,'PowerApp_Physical count'!B:B,' General Stock Summary View  '!$Y$2,'PowerApp_Physical count'!C:C,' General Stock Summary View  '!C471,'PowerApp_Physical count'!A:A,' General Stock Summary View  '!B471)</f>
        <v>0</v>
      </c>
      <c r="AA471" s="4">
        <f t="shared" si="78"/>
        <v>0</v>
      </c>
      <c r="AB471" s="5">
        <f>SUMIFS('XBS '!T:T,'XBS '!H:H,' General Stock Summary View  '!$AB$2,'XBS '!B:B,' General Stock Summary View  '!C471,'XBS '!L:L,' General Stock Summary View  '!B471)</f>
        <v>0</v>
      </c>
      <c r="AC471" s="3">
        <f>SUMIFS('PowerApp_Physical count'!H:H,'PowerApp_Physical count'!B:B,' General Stock Summary View  '!$AB$2,'PowerApp_Physical count'!C:C,' General Stock Summary View  '!C471,'PowerApp_Physical count'!A:A,' General Stock Summary View  '!B471)</f>
        <v>0</v>
      </c>
      <c r="AD471" s="6">
        <f t="shared" si="79"/>
        <v>0</v>
      </c>
      <c r="AE471" s="7">
        <f t="shared" si="80"/>
        <v>0</v>
      </c>
      <c r="AF471" s="8">
        <f t="shared" si="81"/>
        <v>-2.95</v>
      </c>
      <c r="AG471" s="112"/>
    </row>
    <row r="472" spans="2:33" s="113" customFormat="1" ht="61.15">
      <c r="B472" s="117" t="s">
        <v>426</v>
      </c>
      <c r="C472" s="111" t="s">
        <v>421</v>
      </c>
      <c r="D472" s="11">
        <f>SUMIFS('XBS '!T:T,'XBS '!C:C,' General Stock Summary View  '!C472,'XBS '!L:L,' General Stock Summary View  '!B472)</f>
        <v>8.8666666666666671</v>
      </c>
      <c r="E472" s="2">
        <f>SUMIFS('Blocked for Processing'!P:P,'Blocked for Processing'!I:I,' General Stock Summary View  '!B472,'Blocked for Processing'!C:C,' General Stock Summary View  '!C472)</f>
        <v>0</v>
      </c>
      <c r="F472" s="122">
        <f t="shared" si="70"/>
        <v>8.8666666666666671</v>
      </c>
      <c r="G472" s="148">
        <f>SUMIFS('XBS '!T:T,'XBS '!H:H,' General Stock Summary View  '!$G$2,'XBS '!L:L,' General Stock Summary View  '!B472,'XBS '!C:C,' General Stock Summary View  '!C472)</f>
        <v>0</v>
      </c>
      <c r="H472" s="3">
        <f>SUMIFS('PowerApp_Physical count'!H:H,'PowerApp_Physical count'!B:B,' General Stock Summary View  '!$G$2,'PowerApp_Physical count'!C:C,' General Stock Summary View  '!C472,'PowerApp_Physical count'!A:A,' General Stock Summary View  '!B472)</f>
        <v>0</v>
      </c>
      <c r="I472" s="154">
        <f t="shared" si="82"/>
        <v>0</v>
      </c>
      <c r="J472" s="11">
        <f>SUMIFS('XBS '!T:T,'XBS '!H:H,' General Stock Summary View  '!$J$2,'XBS '!L:L,' General Stock Summary View  '!B472,'XBS '!C:C,' General Stock Summary View  '!C472)</f>
        <v>0</v>
      </c>
      <c r="K472" s="157">
        <f>SUMIFS('PowerApp_Physical count'!H:H,'PowerApp_Physical count'!B:B,' General Stock Summary View  '!$J$2,'PowerApp_Physical count'!C:C,' General Stock Summary View  '!C472,'PowerApp_Physical count'!A:A,' General Stock Summary View  '!B472)</f>
        <v>0</v>
      </c>
      <c r="L472" s="127">
        <f t="shared" si="71"/>
        <v>0</v>
      </c>
      <c r="M472" s="126">
        <f t="shared" si="72"/>
        <v>0</v>
      </c>
      <c r="N472" s="11">
        <f t="shared" si="73"/>
        <v>0</v>
      </c>
      <c r="O472" s="144">
        <f t="shared" si="74"/>
        <v>0</v>
      </c>
      <c r="P472" s="2">
        <f>SUMIFS('XBS '!T:T,'XBS '!H:H,' General Stock Summary View  '!$P$2,'XBS '!L:L,' General Stock Summary View  '!B472,'XBS '!C:C,' General Stock Summary View  '!C472)</f>
        <v>8.8666666666666671</v>
      </c>
      <c r="Q472" s="3">
        <f>SUMIFS('PowerApp_Physical count'!H:H,'PowerApp_Physical count'!B:B,' General Stock Summary View  '!$P$2,'PowerApp_Physical count'!C:C,' General Stock Summary View  '!C472,'PowerApp_Physical count'!A:A,' General Stock Summary View  '!B472)</f>
        <v>0</v>
      </c>
      <c r="R472" s="4">
        <f t="shared" si="75"/>
        <v>-8.8666666666666671</v>
      </c>
      <c r="S472" s="5">
        <f>SUMIFS('XBS '!T:T,'XBS '!L:L,' General Stock Summary View  '!B472,'XBS '!H:H,' General Stock Summary View  '!$S$2,'XBS '!C:C,' General Stock Summary View  '!C472)</f>
        <v>0</v>
      </c>
      <c r="T472" s="3">
        <f>SUMIFS('PowerApp_Physical count'!H:H,'PowerApp_Physical count'!B:B,' General Stock Summary View  '!$S$2,'PowerApp_Physical count'!C:C,' General Stock Summary View  '!C472,'PowerApp_Physical count'!A:A,' General Stock Summary View  '!B472)</f>
        <v>0</v>
      </c>
      <c r="U472" s="4">
        <f t="shared" si="76"/>
        <v>0</v>
      </c>
      <c r="V472" s="2">
        <f>SUMIFS('XBS '!T:T,'XBS '!H:H,' General Stock Summary View  '!$V$2,'XBS '!B:B,' General Stock Summary View  '!C472,'XBS '!L:L,' General Stock Summary View  '!B472)</f>
        <v>0</v>
      </c>
      <c r="W472" s="3">
        <f>SUMIFS('PowerApp_Physical count'!H:H,'PowerApp_Physical count'!B:B,' General Stock Summary View  '!$V$2,'PowerApp_Physical count'!C:C,' General Stock Summary View  '!C472,'PowerApp_Physical count'!A:A,' General Stock Summary View  '!B472)</f>
        <v>0</v>
      </c>
      <c r="X472" s="4">
        <f t="shared" si="77"/>
        <v>0</v>
      </c>
      <c r="Y472" s="5">
        <f>SUMIFS('XBS '!T:T,'XBS '!H:H,' General Stock Summary View  '!$Y$2,'XBS '!B:B,' General Stock Summary View  '!C472,'XBS '!L:L,' General Stock Summary View  '!B472)</f>
        <v>0</v>
      </c>
      <c r="Z472" s="3">
        <f>SUMIFS('PowerApp_Physical count'!H:H,'PowerApp_Physical count'!B:B,' General Stock Summary View  '!$Y$2,'PowerApp_Physical count'!C:C,' General Stock Summary View  '!C472,'PowerApp_Physical count'!A:A,' General Stock Summary View  '!B472)</f>
        <v>0</v>
      </c>
      <c r="AA472" s="4">
        <f t="shared" si="78"/>
        <v>0</v>
      </c>
      <c r="AB472" s="5">
        <f>SUMIFS('XBS '!T:T,'XBS '!H:H,' General Stock Summary View  '!$AB$2,'XBS '!B:B,' General Stock Summary View  '!C472,'XBS '!L:L,' General Stock Summary View  '!B472)</f>
        <v>0</v>
      </c>
      <c r="AC472" s="3">
        <f>SUMIFS('PowerApp_Physical count'!H:H,'PowerApp_Physical count'!B:B,' General Stock Summary View  '!$AB$2,'PowerApp_Physical count'!C:C,' General Stock Summary View  '!C472,'PowerApp_Physical count'!A:A,' General Stock Summary View  '!B472)</f>
        <v>0</v>
      </c>
      <c r="AD472" s="6">
        <f t="shared" si="79"/>
        <v>0</v>
      </c>
      <c r="AE472" s="7">
        <f t="shared" si="80"/>
        <v>0</v>
      </c>
      <c r="AF472" s="8">
        <f t="shared" si="81"/>
        <v>-8.8666666666666671</v>
      </c>
      <c r="AG472" s="112"/>
    </row>
    <row r="473" spans="2:33" s="113" customFormat="1" ht="61.15">
      <c r="B473" s="117" t="s">
        <v>427</v>
      </c>
      <c r="C473" s="111" t="s">
        <v>421</v>
      </c>
      <c r="D473" s="11">
        <f>SUMIFS('XBS '!T:T,'XBS '!C:C,' General Stock Summary View  '!C473,'XBS '!L:L,' General Stock Summary View  '!B473)</f>
        <v>9.0666666666666664</v>
      </c>
      <c r="E473" s="2">
        <f>SUMIFS('Blocked for Processing'!P:P,'Blocked for Processing'!I:I,' General Stock Summary View  '!B473,'Blocked for Processing'!C:C,' General Stock Summary View  '!C473)</f>
        <v>0</v>
      </c>
      <c r="F473" s="122">
        <f t="shared" si="70"/>
        <v>9.0666666666666664</v>
      </c>
      <c r="G473" s="148">
        <f>SUMIFS('XBS '!T:T,'XBS '!H:H,' General Stock Summary View  '!$G$2,'XBS '!L:L,' General Stock Summary View  '!B473,'XBS '!C:C,' General Stock Summary View  '!C473)</f>
        <v>0</v>
      </c>
      <c r="H473" s="3">
        <f>SUMIFS('PowerApp_Physical count'!H:H,'PowerApp_Physical count'!B:B,' General Stock Summary View  '!$G$2,'PowerApp_Physical count'!C:C,' General Stock Summary View  '!C473,'PowerApp_Physical count'!A:A,' General Stock Summary View  '!B473)</f>
        <v>0</v>
      </c>
      <c r="I473" s="154">
        <f t="shared" si="82"/>
        <v>0</v>
      </c>
      <c r="J473" s="11">
        <f>SUMIFS('XBS '!T:T,'XBS '!H:H,' General Stock Summary View  '!$J$2,'XBS '!L:L,' General Stock Summary View  '!B473,'XBS '!C:C,' General Stock Summary View  '!C473)</f>
        <v>0</v>
      </c>
      <c r="K473" s="157">
        <f>SUMIFS('PowerApp_Physical count'!H:H,'PowerApp_Physical count'!B:B,' General Stock Summary View  '!$J$2,'PowerApp_Physical count'!C:C,' General Stock Summary View  '!C473,'PowerApp_Physical count'!A:A,' General Stock Summary View  '!B473)</f>
        <v>0</v>
      </c>
      <c r="L473" s="127">
        <f t="shared" si="71"/>
        <v>0</v>
      </c>
      <c r="M473" s="126">
        <f t="shared" si="72"/>
        <v>0</v>
      </c>
      <c r="N473" s="11">
        <f t="shared" si="73"/>
        <v>0</v>
      </c>
      <c r="O473" s="144">
        <f t="shared" si="74"/>
        <v>0</v>
      </c>
      <c r="P473" s="2">
        <f>SUMIFS('XBS '!T:T,'XBS '!H:H,' General Stock Summary View  '!$P$2,'XBS '!L:L,' General Stock Summary View  '!B473,'XBS '!C:C,' General Stock Summary View  '!C473)</f>
        <v>0</v>
      </c>
      <c r="Q473" s="3">
        <f>SUMIFS('PowerApp_Physical count'!H:H,'PowerApp_Physical count'!B:B,' General Stock Summary View  '!$P$2,'PowerApp_Physical count'!C:C,' General Stock Summary View  '!C473,'PowerApp_Physical count'!A:A,' General Stock Summary View  '!B473)</f>
        <v>0</v>
      </c>
      <c r="R473" s="4">
        <f t="shared" si="75"/>
        <v>0</v>
      </c>
      <c r="S473" s="5">
        <f>SUMIFS('XBS '!T:T,'XBS '!L:L,' General Stock Summary View  '!B473,'XBS '!H:H,' General Stock Summary View  '!$S$2,'XBS '!C:C,' General Stock Summary View  '!C473)</f>
        <v>0</v>
      </c>
      <c r="T473" s="3">
        <f>SUMIFS('PowerApp_Physical count'!H:H,'PowerApp_Physical count'!B:B,' General Stock Summary View  '!$S$2,'PowerApp_Physical count'!C:C,' General Stock Summary View  '!C473,'PowerApp_Physical count'!A:A,' General Stock Summary View  '!B473)</f>
        <v>0</v>
      </c>
      <c r="U473" s="4">
        <f t="shared" si="76"/>
        <v>0</v>
      </c>
      <c r="V473" s="2">
        <f>SUMIFS('XBS '!T:T,'XBS '!H:H,' General Stock Summary View  '!$V$2,'XBS '!B:B,' General Stock Summary View  '!C473,'XBS '!L:L,' General Stock Summary View  '!B473)</f>
        <v>0</v>
      </c>
      <c r="W473" s="3">
        <f>SUMIFS('PowerApp_Physical count'!H:H,'PowerApp_Physical count'!B:B,' General Stock Summary View  '!$V$2,'PowerApp_Physical count'!C:C,' General Stock Summary View  '!C473,'PowerApp_Physical count'!A:A,' General Stock Summary View  '!B473)</f>
        <v>0</v>
      </c>
      <c r="X473" s="4">
        <f t="shared" si="77"/>
        <v>0</v>
      </c>
      <c r="Y473" s="5">
        <f>SUMIFS('XBS '!T:T,'XBS '!H:H,' General Stock Summary View  '!$Y$2,'XBS '!B:B,' General Stock Summary View  '!C473,'XBS '!L:L,' General Stock Summary View  '!B473)</f>
        <v>9.0666666666666664</v>
      </c>
      <c r="Z473" s="3">
        <f>SUMIFS('PowerApp_Physical count'!H:H,'PowerApp_Physical count'!B:B,' General Stock Summary View  '!$Y$2,'PowerApp_Physical count'!C:C,' General Stock Summary View  '!C473,'PowerApp_Physical count'!A:A,' General Stock Summary View  '!B473)</f>
        <v>0</v>
      </c>
      <c r="AA473" s="4">
        <f t="shared" si="78"/>
        <v>-9.0666666666666664</v>
      </c>
      <c r="AB473" s="5">
        <f>SUMIFS('XBS '!T:T,'XBS '!H:H,' General Stock Summary View  '!$AB$2,'XBS '!B:B,' General Stock Summary View  '!C473,'XBS '!L:L,' General Stock Summary View  '!B473)</f>
        <v>0</v>
      </c>
      <c r="AC473" s="3">
        <f>SUMIFS('PowerApp_Physical count'!H:H,'PowerApp_Physical count'!B:B,' General Stock Summary View  '!$AB$2,'PowerApp_Physical count'!C:C,' General Stock Summary View  '!C473,'PowerApp_Physical count'!A:A,' General Stock Summary View  '!B473)</f>
        <v>0</v>
      </c>
      <c r="AD473" s="6">
        <f t="shared" si="79"/>
        <v>0</v>
      </c>
      <c r="AE473" s="7">
        <f t="shared" si="80"/>
        <v>0</v>
      </c>
      <c r="AF473" s="8">
        <f t="shared" si="81"/>
        <v>-9.0666666666666664</v>
      </c>
      <c r="AG473" s="112"/>
    </row>
    <row r="474" spans="2:33" s="113" customFormat="1" ht="61.15">
      <c r="B474" s="117" t="s">
        <v>428</v>
      </c>
      <c r="C474" s="111" t="s">
        <v>421</v>
      </c>
      <c r="D474" s="11">
        <f>SUMIFS('XBS '!T:T,'XBS '!C:C,' General Stock Summary View  '!C474,'XBS '!L:L,' General Stock Summary View  '!B474)</f>
        <v>3.0666666666666669</v>
      </c>
      <c r="E474" s="2">
        <f>SUMIFS('Blocked for Processing'!P:P,'Blocked for Processing'!I:I,' General Stock Summary View  '!B474,'Blocked for Processing'!C:C,' General Stock Summary View  '!C474)</f>
        <v>0</v>
      </c>
      <c r="F474" s="122">
        <f t="shared" si="70"/>
        <v>3.0666666666666669</v>
      </c>
      <c r="G474" s="148">
        <f>SUMIFS('XBS '!T:T,'XBS '!H:H,' General Stock Summary View  '!$G$2,'XBS '!L:L,' General Stock Summary View  '!B474,'XBS '!C:C,' General Stock Summary View  '!C474)</f>
        <v>0</v>
      </c>
      <c r="H474" s="3">
        <f>SUMIFS('PowerApp_Physical count'!H:H,'PowerApp_Physical count'!B:B,' General Stock Summary View  '!$G$2,'PowerApp_Physical count'!C:C,' General Stock Summary View  '!C474,'PowerApp_Physical count'!A:A,' General Stock Summary View  '!B474)</f>
        <v>0</v>
      </c>
      <c r="I474" s="154">
        <f t="shared" si="82"/>
        <v>0</v>
      </c>
      <c r="J474" s="11">
        <f>SUMIFS('XBS '!T:T,'XBS '!H:H,' General Stock Summary View  '!$J$2,'XBS '!L:L,' General Stock Summary View  '!B474,'XBS '!C:C,' General Stock Summary View  '!C474)</f>
        <v>0</v>
      </c>
      <c r="K474" s="157">
        <f>SUMIFS('PowerApp_Physical count'!H:H,'PowerApp_Physical count'!B:B,' General Stock Summary View  '!$J$2,'PowerApp_Physical count'!C:C,' General Stock Summary View  '!C474,'PowerApp_Physical count'!A:A,' General Stock Summary View  '!B474)</f>
        <v>0</v>
      </c>
      <c r="L474" s="127">
        <f t="shared" si="71"/>
        <v>0</v>
      </c>
      <c r="M474" s="126">
        <f t="shared" si="72"/>
        <v>0</v>
      </c>
      <c r="N474" s="11">
        <f t="shared" si="73"/>
        <v>0</v>
      </c>
      <c r="O474" s="144">
        <f t="shared" si="74"/>
        <v>0</v>
      </c>
      <c r="P474" s="2">
        <f>SUMIFS('XBS '!T:T,'XBS '!H:H,' General Stock Summary View  '!$P$2,'XBS '!L:L,' General Stock Summary View  '!B474,'XBS '!C:C,' General Stock Summary View  '!C474)</f>
        <v>0</v>
      </c>
      <c r="Q474" s="3">
        <f>SUMIFS('PowerApp_Physical count'!H:H,'PowerApp_Physical count'!B:B,' General Stock Summary View  '!$P$2,'PowerApp_Physical count'!C:C,' General Stock Summary View  '!C474,'PowerApp_Physical count'!A:A,' General Stock Summary View  '!B474)</f>
        <v>0</v>
      </c>
      <c r="R474" s="4">
        <f t="shared" si="75"/>
        <v>0</v>
      </c>
      <c r="S474" s="5">
        <f>SUMIFS('XBS '!T:T,'XBS '!L:L,' General Stock Summary View  '!B474,'XBS '!H:H,' General Stock Summary View  '!$S$2,'XBS '!C:C,' General Stock Summary View  '!C474)</f>
        <v>0</v>
      </c>
      <c r="T474" s="3">
        <f>SUMIFS('PowerApp_Physical count'!H:H,'PowerApp_Physical count'!B:B,' General Stock Summary View  '!$S$2,'PowerApp_Physical count'!C:C,' General Stock Summary View  '!C474,'PowerApp_Physical count'!A:A,' General Stock Summary View  '!B474)</f>
        <v>0</v>
      </c>
      <c r="U474" s="4">
        <f t="shared" si="76"/>
        <v>0</v>
      </c>
      <c r="V474" s="2">
        <f>SUMIFS('XBS '!T:T,'XBS '!H:H,' General Stock Summary View  '!$V$2,'XBS '!B:B,' General Stock Summary View  '!C474,'XBS '!L:L,' General Stock Summary View  '!B474)</f>
        <v>3.0666666666666669</v>
      </c>
      <c r="W474" s="3">
        <f>SUMIFS('PowerApp_Physical count'!H:H,'PowerApp_Physical count'!B:B,' General Stock Summary View  '!$V$2,'PowerApp_Physical count'!C:C,' General Stock Summary View  '!C474,'PowerApp_Physical count'!A:A,' General Stock Summary View  '!B474)</f>
        <v>0</v>
      </c>
      <c r="X474" s="4">
        <f t="shared" si="77"/>
        <v>-3.0666666666666669</v>
      </c>
      <c r="Y474" s="5">
        <f>SUMIFS('XBS '!T:T,'XBS '!H:H,' General Stock Summary View  '!$Y$2,'XBS '!B:B,' General Stock Summary View  '!C474,'XBS '!L:L,' General Stock Summary View  '!B474)</f>
        <v>0</v>
      </c>
      <c r="Z474" s="3">
        <f>SUMIFS('PowerApp_Physical count'!H:H,'PowerApp_Physical count'!B:B,' General Stock Summary View  '!$Y$2,'PowerApp_Physical count'!C:C,' General Stock Summary View  '!C474,'PowerApp_Physical count'!A:A,' General Stock Summary View  '!B474)</f>
        <v>0</v>
      </c>
      <c r="AA474" s="4">
        <f t="shared" si="78"/>
        <v>0</v>
      </c>
      <c r="AB474" s="5">
        <f>SUMIFS('XBS '!T:T,'XBS '!H:H,' General Stock Summary View  '!$AB$2,'XBS '!B:B,' General Stock Summary View  '!C474,'XBS '!L:L,' General Stock Summary View  '!B474)</f>
        <v>0</v>
      </c>
      <c r="AC474" s="3">
        <f>SUMIFS('PowerApp_Physical count'!H:H,'PowerApp_Physical count'!B:B,' General Stock Summary View  '!$AB$2,'PowerApp_Physical count'!C:C,' General Stock Summary View  '!C474,'PowerApp_Physical count'!A:A,' General Stock Summary View  '!B474)</f>
        <v>0</v>
      </c>
      <c r="AD474" s="6">
        <f t="shared" si="79"/>
        <v>0</v>
      </c>
      <c r="AE474" s="7">
        <f t="shared" si="80"/>
        <v>0</v>
      </c>
      <c r="AF474" s="8">
        <f t="shared" si="81"/>
        <v>-3.0666666666666669</v>
      </c>
      <c r="AG474" s="112"/>
    </row>
    <row r="475" spans="2:33" s="113" customFormat="1" ht="61.15">
      <c r="B475" s="117" t="s">
        <v>429</v>
      </c>
      <c r="C475" s="111" t="s">
        <v>430</v>
      </c>
      <c r="D475" s="11">
        <f>SUMIFS('XBS '!T:T,'XBS '!C:C,' General Stock Summary View  '!C475,'XBS '!L:L,' General Stock Summary View  '!B475)</f>
        <v>5.7833333333333332</v>
      </c>
      <c r="E475" s="2">
        <f>SUMIFS('Blocked for Processing'!P:P,'Blocked for Processing'!I:I,' General Stock Summary View  '!B475,'Blocked for Processing'!C:C,' General Stock Summary View  '!C475)</f>
        <v>0</v>
      </c>
      <c r="F475" s="122">
        <f t="shared" si="70"/>
        <v>5.7833333333333332</v>
      </c>
      <c r="G475" s="148">
        <f>SUMIFS('XBS '!T:T,'XBS '!H:H,' General Stock Summary View  '!$G$2,'XBS '!L:L,' General Stock Summary View  '!B475,'XBS '!C:C,' General Stock Summary View  '!C475)</f>
        <v>0</v>
      </c>
      <c r="H475" s="3">
        <f>SUMIFS('PowerApp_Physical count'!H:H,'PowerApp_Physical count'!B:B,' General Stock Summary View  '!$G$2,'PowerApp_Physical count'!C:C,' General Stock Summary View  '!C475,'PowerApp_Physical count'!A:A,' General Stock Summary View  '!B475)</f>
        <v>0</v>
      </c>
      <c r="I475" s="154">
        <f t="shared" si="82"/>
        <v>0</v>
      </c>
      <c r="J475" s="11">
        <f>SUMIFS('XBS '!T:T,'XBS '!H:H,' General Stock Summary View  '!$J$2,'XBS '!L:L,' General Stock Summary View  '!B475,'XBS '!C:C,' General Stock Summary View  '!C475)</f>
        <v>0</v>
      </c>
      <c r="K475" s="157">
        <f>SUMIFS('PowerApp_Physical count'!H:H,'PowerApp_Physical count'!B:B,' General Stock Summary View  '!$J$2,'PowerApp_Physical count'!C:C,' General Stock Summary View  '!C475,'PowerApp_Physical count'!A:A,' General Stock Summary View  '!B475)</f>
        <v>0</v>
      </c>
      <c r="L475" s="127">
        <f t="shared" si="71"/>
        <v>0</v>
      </c>
      <c r="M475" s="126">
        <f t="shared" si="72"/>
        <v>0</v>
      </c>
      <c r="N475" s="11">
        <f t="shared" si="73"/>
        <v>0</v>
      </c>
      <c r="O475" s="144">
        <f t="shared" si="74"/>
        <v>0</v>
      </c>
      <c r="P475" s="2">
        <f>SUMIFS('XBS '!T:T,'XBS '!H:H,' General Stock Summary View  '!$P$2,'XBS '!L:L,' General Stock Summary View  '!B475,'XBS '!C:C,' General Stock Summary View  '!C475)</f>
        <v>5.7833333333333332</v>
      </c>
      <c r="Q475" s="3">
        <f>SUMIFS('PowerApp_Physical count'!H:H,'PowerApp_Physical count'!B:B,' General Stock Summary View  '!$P$2,'PowerApp_Physical count'!C:C,' General Stock Summary View  '!C475,'PowerApp_Physical count'!A:A,' General Stock Summary View  '!B475)</f>
        <v>0</v>
      </c>
      <c r="R475" s="4">
        <f t="shared" si="75"/>
        <v>-5.7833333333333332</v>
      </c>
      <c r="S475" s="5">
        <f>SUMIFS('XBS '!T:T,'XBS '!L:L,' General Stock Summary View  '!B475,'XBS '!H:H,' General Stock Summary View  '!$S$2,'XBS '!C:C,' General Stock Summary View  '!C475)</f>
        <v>0</v>
      </c>
      <c r="T475" s="3">
        <f>SUMIFS('PowerApp_Physical count'!H:H,'PowerApp_Physical count'!B:B,' General Stock Summary View  '!$S$2,'PowerApp_Physical count'!C:C,' General Stock Summary View  '!C475,'PowerApp_Physical count'!A:A,' General Stock Summary View  '!B475)</f>
        <v>0</v>
      </c>
      <c r="U475" s="4">
        <f t="shared" si="76"/>
        <v>0</v>
      </c>
      <c r="V475" s="2">
        <f>SUMIFS('XBS '!T:T,'XBS '!H:H,' General Stock Summary View  '!$V$2,'XBS '!B:B,' General Stock Summary View  '!C475,'XBS '!L:L,' General Stock Summary View  '!B475)</f>
        <v>0</v>
      </c>
      <c r="W475" s="3">
        <f>SUMIFS('PowerApp_Physical count'!H:H,'PowerApp_Physical count'!B:B,' General Stock Summary View  '!$V$2,'PowerApp_Physical count'!C:C,' General Stock Summary View  '!C475,'PowerApp_Physical count'!A:A,' General Stock Summary View  '!B475)</f>
        <v>0</v>
      </c>
      <c r="X475" s="4">
        <f t="shared" si="77"/>
        <v>0</v>
      </c>
      <c r="Y475" s="5">
        <f>SUMIFS('XBS '!T:T,'XBS '!H:H,' General Stock Summary View  '!$Y$2,'XBS '!B:B,' General Stock Summary View  '!C475,'XBS '!L:L,' General Stock Summary View  '!B475)</f>
        <v>0</v>
      </c>
      <c r="Z475" s="3">
        <f>SUMIFS('PowerApp_Physical count'!H:H,'PowerApp_Physical count'!B:B,' General Stock Summary View  '!$Y$2,'PowerApp_Physical count'!C:C,' General Stock Summary View  '!C475,'PowerApp_Physical count'!A:A,' General Stock Summary View  '!B475)</f>
        <v>0</v>
      </c>
      <c r="AA475" s="4">
        <f t="shared" si="78"/>
        <v>0</v>
      </c>
      <c r="AB475" s="5">
        <f>SUMIFS('XBS '!T:T,'XBS '!H:H,' General Stock Summary View  '!$AB$2,'XBS '!B:B,' General Stock Summary View  '!C475,'XBS '!L:L,' General Stock Summary View  '!B475)</f>
        <v>0</v>
      </c>
      <c r="AC475" s="3">
        <f>SUMIFS('PowerApp_Physical count'!H:H,'PowerApp_Physical count'!B:B,' General Stock Summary View  '!$AB$2,'PowerApp_Physical count'!C:C,' General Stock Summary View  '!C475,'PowerApp_Physical count'!A:A,' General Stock Summary View  '!B475)</f>
        <v>0</v>
      </c>
      <c r="AD475" s="6">
        <f t="shared" si="79"/>
        <v>0</v>
      </c>
      <c r="AE475" s="7">
        <f t="shared" si="80"/>
        <v>0</v>
      </c>
      <c r="AF475" s="8">
        <f t="shared" si="81"/>
        <v>-5.7833333333333332</v>
      </c>
      <c r="AG475" s="112"/>
    </row>
    <row r="476" spans="2:33" s="113" customFormat="1" ht="61.15">
      <c r="B476" s="117" t="s">
        <v>431</v>
      </c>
      <c r="C476" s="111" t="s">
        <v>430</v>
      </c>
      <c r="D476" s="11">
        <f>SUMIFS('XBS '!T:T,'XBS '!C:C,' General Stock Summary View  '!C476,'XBS '!L:L,' General Stock Summary View  '!B476)</f>
        <v>4.0166666666666666</v>
      </c>
      <c r="E476" s="2">
        <f>SUMIFS('Blocked for Processing'!P:P,'Blocked for Processing'!I:I,' General Stock Summary View  '!B476,'Blocked for Processing'!C:C,' General Stock Summary View  '!C476)</f>
        <v>0</v>
      </c>
      <c r="F476" s="122">
        <f t="shared" si="70"/>
        <v>4.0166666666666666</v>
      </c>
      <c r="G476" s="148">
        <f>SUMIFS('XBS '!T:T,'XBS '!H:H,' General Stock Summary View  '!$G$2,'XBS '!L:L,' General Stock Summary View  '!B476,'XBS '!C:C,' General Stock Summary View  '!C476)</f>
        <v>0</v>
      </c>
      <c r="H476" s="3">
        <f>SUMIFS('PowerApp_Physical count'!H:H,'PowerApp_Physical count'!B:B,' General Stock Summary View  '!$G$2,'PowerApp_Physical count'!C:C,' General Stock Summary View  '!C476,'PowerApp_Physical count'!A:A,' General Stock Summary View  '!B476)</f>
        <v>0</v>
      </c>
      <c r="I476" s="154">
        <f t="shared" si="82"/>
        <v>0</v>
      </c>
      <c r="J476" s="11">
        <f>SUMIFS('XBS '!T:T,'XBS '!H:H,' General Stock Summary View  '!$J$2,'XBS '!L:L,' General Stock Summary View  '!B476,'XBS '!C:C,' General Stock Summary View  '!C476)</f>
        <v>0</v>
      </c>
      <c r="K476" s="157">
        <f>SUMIFS('PowerApp_Physical count'!H:H,'PowerApp_Physical count'!B:B,' General Stock Summary View  '!$J$2,'PowerApp_Physical count'!C:C,' General Stock Summary View  '!C476,'PowerApp_Physical count'!A:A,' General Stock Summary View  '!B476)</f>
        <v>0</v>
      </c>
      <c r="L476" s="127">
        <f t="shared" si="71"/>
        <v>0</v>
      </c>
      <c r="M476" s="126">
        <f t="shared" si="72"/>
        <v>0</v>
      </c>
      <c r="N476" s="11">
        <f t="shared" si="73"/>
        <v>0</v>
      </c>
      <c r="O476" s="144">
        <f t="shared" si="74"/>
        <v>0</v>
      </c>
      <c r="P476" s="2">
        <f>SUMIFS('XBS '!T:T,'XBS '!H:H,' General Stock Summary View  '!$P$2,'XBS '!L:L,' General Stock Summary View  '!B476,'XBS '!C:C,' General Stock Summary View  '!C476)</f>
        <v>4.0166666666666666</v>
      </c>
      <c r="Q476" s="3">
        <f>SUMIFS('PowerApp_Physical count'!H:H,'PowerApp_Physical count'!B:B,' General Stock Summary View  '!$P$2,'PowerApp_Physical count'!C:C,' General Stock Summary View  '!C476,'PowerApp_Physical count'!A:A,' General Stock Summary View  '!B476)</f>
        <v>0</v>
      </c>
      <c r="R476" s="4">
        <f t="shared" si="75"/>
        <v>-4.0166666666666666</v>
      </c>
      <c r="S476" s="5">
        <f>SUMIFS('XBS '!T:T,'XBS '!L:L,' General Stock Summary View  '!B476,'XBS '!H:H,' General Stock Summary View  '!$S$2,'XBS '!C:C,' General Stock Summary View  '!C476)</f>
        <v>0</v>
      </c>
      <c r="T476" s="3">
        <f>SUMIFS('PowerApp_Physical count'!H:H,'PowerApp_Physical count'!B:B,' General Stock Summary View  '!$S$2,'PowerApp_Physical count'!C:C,' General Stock Summary View  '!C476,'PowerApp_Physical count'!A:A,' General Stock Summary View  '!B476)</f>
        <v>0</v>
      </c>
      <c r="U476" s="4">
        <f t="shared" si="76"/>
        <v>0</v>
      </c>
      <c r="V476" s="2">
        <f>SUMIFS('XBS '!T:T,'XBS '!H:H,' General Stock Summary View  '!$V$2,'XBS '!B:B,' General Stock Summary View  '!C476,'XBS '!L:L,' General Stock Summary View  '!B476)</f>
        <v>0</v>
      </c>
      <c r="W476" s="3">
        <f>SUMIFS('PowerApp_Physical count'!H:H,'PowerApp_Physical count'!B:B,' General Stock Summary View  '!$V$2,'PowerApp_Physical count'!C:C,' General Stock Summary View  '!C476,'PowerApp_Physical count'!A:A,' General Stock Summary View  '!B476)</f>
        <v>0</v>
      </c>
      <c r="X476" s="4">
        <f t="shared" si="77"/>
        <v>0</v>
      </c>
      <c r="Y476" s="5">
        <f>SUMIFS('XBS '!T:T,'XBS '!H:H,' General Stock Summary View  '!$Y$2,'XBS '!B:B,' General Stock Summary View  '!C476,'XBS '!L:L,' General Stock Summary View  '!B476)</f>
        <v>0</v>
      </c>
      <c r="Z476" s="3">
        <f>SUMIFS('PowerApp_Physical count'!H:H,'PowerApp_Physical count'!B:B,' General Stock Summary View  '!$Y$2,'PowerApp_Physical count'!C:C,' General Stock Summary View  '!C476,'PowerApp_Physical count'!A:A,' General Stock Summary View  '!B476)</f>
        <v>0</v>
      </c>
      <c r="AA476" s="4">
        <f t="shared" si="78"/>
        <v>0</v>
      </c>
      <c r="AB476" s="5">
        <f>SUMIFS('XBS '!T:T,'XBS '!H:H,' General Stock Summary View  '!$AB$2,'XBS '!B:B,' General Stock Summary View  '!C476,'XBS '!L:L,' General Stock Summary View  '!B476)</f>
        <v>0</v>
      </c>
      <c r="AC476" s="3">
        <f>SUMIFS('PowerApp_Physical count'!H:H,'PowerApp_Physical count'!B:B,' General Stock Summary View  '!$AB$2,'PowerApp_Physical count'!C:C,' General Stock Summary View  '!C476,'PowerApp_Physical count'!A:A,' General Stock Summary View  '!B476)</f>
        <v>0</v>
      </c>
      <c r="AD476" s="6">
        <f t="shared" si="79"/>
        <v>0</v>
      </c>
      <c r="AE476" s="7">
        <f t="shared" si="80"/>
        <v>0</v>
      </c>
      <c r="AF476" s="8">
        <f t="shared" si="81"/>
        <v>-4.0166666666666666</v>
      </c>
      <c r="AG476" s="112"/>
    </row>
    <row r="477" spans="2:33" s="113" customFormat="1" ht="61.15">
      <c r="B477" s="117" t="s">
        <v>432</v>
      </c>
      <c r="C477" s="111" t="s">
        <v>430</v>
      </c>
      <c r="D477" s="11">
        <f>SUMIFS('XBS '!T:T,'XBS '!C:C,' General Stock Summary View  '!C477,'XBS '!L:L,' General Stock Summary View  '!B477)</f>
        <v>18.5</v>
      </c>
      <c r="E477" s="2">
        <f>SUMIFS('Blocked for Processing'!P:P,'Blocked for Processing'!I:I,' General Stock Summary View  '!B477,'Blocked for Processing'!C:C,' General Stock Summary View  '!C477)</f>
        <v>0</v>
      </c>
      <c r="F477" s="122">
        <f t="shared" si="70"/>
        <v>18.5</v>
      </c>
      <c r="G477" s="148">
        <f>SUMIFS('XBS '!T:T,'XBS '!H:H,' General Stock Summary View  '!$G$2,'XBS '!L:L,' General Stock Summary View  '!B477,'XBS '!C:C,' General Stock Summary View  '!C477)</f>
        <v>0</v>
      </c>
      <c r="H477" s="3">
        <f>SUMIFS('PowerApp_Physical count'!H:H,'PowerApp_Physical count'!B:B,' General Stock Summary View  '!$G$2,'PowerApp_Physical count'!C:C,' General Stock Summary View  '!C477,'PowerApp_Physical count'!A:A,' General Stock Summary View  '!B477)</f>
        <v>0</v>
      </c>
      <c r="I477" s="154">
        <f t="shared" si="82"/>
        <v>0</v>
      </c>
      <c r="J477" s="11">
        <f>SUMIFS('XBS '!T:T,'XBS '!H:H,' General Stock Summary View  '!$J$2,'XBS '!L:L,' General Stock Summary View  '!B477,'XBS '!C:C,' General Stock Summary View  '!C477)</f>
        <v>0</v>
      </c>
      <c r="K477" s="157">
        <f>SUMIFS('PowerApp_Physical count'!H:H,'PowerApp_Physical count'!B:B,' General Stock Summary View  '!$J$2,'PowerApp_Physical count'!C:C,' General Stock Summary View  '!C477,'PowerApp_Physical count'!A:A,' General Stock Summary View  '!B477)</f>
        <v>0</v>
      </c>
      <c r="L477" s="127">
        <f t="shared" si="71"/>
        <v>0</v>
      </c>
      <c r="M477" s="126">
        <f t="shared" si="72"/>
        <v>0</v>
      </c>
      <c r="N477" s="11">
        <f t="shared" si="73"/>
        <v>0</v>
      </c>
      <c r="O477" s="144">
        <f t="shared" si="74"/>
        <v>0</v>
      </c>
      <c r="P477" s="2">
        <f>SUMIFS('XBS '!T:T,'XBS '!H:H,' General Stock Summary View  '!$P$2,'XBS '!L:L,' General Stock Summary View  '!B477,'XBS '!C:C,' General Stock Summary View  '!C477)</f>
        <v>18.5</v>
      </c>
      <c r="Q477" s="3">
        <f>SUMIFS('PowerApp_Physical count'!H:H,'PowerApp_Physical count'!B:B,' General Stock Summary View  '!$P$2,'PowerApp_Physical count'!C:C,' General Stock Summary View  '!C477,'PowerApp_Physical count'!A:A,' General Stock Summary View  '!B477)</f>
        <v>0</v>
      </c>
      <c r="R477" s="4">
        <f t="shared" si="75"/>
        <v>-18.5</v>
      </c>
      <c r="S477" s="5">
        <f>SUMIFS('XBS '!T:T,'XBS '!L:L,' General Stock Summary View  '!B477,'XBS '!H:H,' General Stock Summary View  '!$S$2,'XBS '!C:C,' General Stock Summary View  '!C477)</f>
        <v>0</v>
      </c>
      <c r="T477" s="3">
        <f>SUMIFS('PowerApp_Physical count'!H:H,'PowerApp_Physical count'!B:B,' General Stock Summary View  '!$S$2,'PowerApp_Physical count'!C:C,' General Stock Summary View  '!C477,'PowerApp_Physical count'!A:A,' General Stock Summary View  '!B477)</f>
        <v>0</v>
      </c>
      <c r="U477" s="4">
        <f t="shared" si="76"/>
        <v>0</v>
      </c>
      <c r="V477" s="2">
        <f>SUMIFS('XBS '!T:T,'XBS '!H:H,' General Stock Summary View  '!$V$2,'XBS '!B:B,' General Stock Summary View  '!C477,'XBS '!L:L,' General Stock Summary View  '!B477)</f>
        <v>0</v>
      </c>
      <c r="W477" s="3">
        <f>SUMIFS('PowerApp_Physical count'!H:H,'PowerApp_Physical count'!B:B,' General Stock Summary View  '!$V$2,'PowerApp_Physical count'!C:C,' General Stock Summary View  '!C477,'PowerApp_Physical count'!A:A,' General Stock Summary View  '!B477)</f>
        <v>0</v>
      </c>
      <c r="X477" s="4">
        <f t="shared" si="77"/>
        <v>0</v>
      </c>
      <c r="Y477" s="5">
        <f>SUMIFS('XBS '!T:T,'XBS '!H:H,' General Stock Summary View  '!$Y$2,'XBS '!B:B,' General Stock Summary View  '!C477,'XBS '!L:L,' General Stock Summary View  '!B477)</f>
        <v>0</v>
      </c>
      <c r="Z477" s="3">
        <f>SUMIFS('PowerApp_Physical count'!H:H,'PowerApp_Physical count'!B:B,' General Stock Summary View  '!$Y$2,'PowerApp_Physical count'!C:C,' General Stock Summary View  '!C477,'PowerApp_Physical count'!A:A,' General Stock Summary View  '!B477)</f>
        <v>0</v>
      </c>
      <c r="AA477" s="4">
        <f t="shared" si="78"/>
        <v>0</v>
      </c>
      <c r="AB477" s="5">
        <f>SUMIFS('XBS '!T:T,'XBS '!H:H,' General Stock Summary View  '!$AB$2,'XBS '!B:B,' General Stock Summary View  '!C477,'XBS '!L:L,' General Stock Summary View  '!B477)</f>
        <v>0</v>
      </c>
      <c r="AC477" s="3">
        <f>SUMIFS('PowerApp_Physical count'!H:H,'PowerApp_Physical count'!B:B,' General Stock Summary View  '!$AB$2,'PowerApp_Physical count'!C:C,' General Stock Summary View  '!C477,'PowerApp_Physical count'!A:A,' General Stock Summary View  '!B477)</f>
        <v>0</v>
      </c>
      <c r="AD477" s="6">
        <f t="shared" si="79"/>
        <v>0</v>
      </c>
      <c r="AE477" s="7">
        <f t="shared" si="80"/>
        <v>0</v>
      </c>
      <c r="AF477" s="8">
        <f t="shared" si="81"/>
        <v>-18.5</v>
      </c>
      <c r="AG477" s="112"/>
    </row>
    <row r="478" spans="2:33" s="113" customFormat="1" ht="61.15">
      <c r="B478" s="117" t="s">
        <v>433</v>
      </c>
      <c r="C478" s="111" t="s">
        <v>430</v>
      </c>
      <c r="D478" s="11">
        <f>SUMIFS('XBS '!T:T,'XBS '!C:C,' General Stock Summary View  '!C478,'XBS '!L:L,' General Stock Summary View  '!B478)</f>
        <v>88.164999999999992</v>
      </c>
      <c r="E478" s="2">
        <f>SUMIFS('Blocked for Processing'!P:P,'Blocked for Processing'!I:I,' General Stock Summary View  '!B478,'Blocked for Processing'!C:C,' General Stock Summary View  '!C478)</f>
        <v>0</v>
      </c>
      <c r="F478" s="122">
        <f t="shared" si="70"/>
        <v>88.164999999999992</v>
      </c>
      <c r="G478" s="148">
        <f>SUMIFS('XBS '!T:T,'XBS '!H:H,' General Stock Summary View  '!$G$2,'XBS '!L:L,' General Stock Summary View  '!B478,'XBS '!C:C,' General Stock Summary View  '!C478)</f>
        <v>88.164999999999992</v>
      </c>
      <c r="H478" s="3">
        <f>SUMIFS('PowerApp_Physical count'!H:H,'PowerApp_Physical count'!B:B,' General Stock Summary View  '!$G$2,'PowerApp_Physical count'!C:C,' General Stock Summary View  '!C478,'PowerApp_Physical count'!A:A,' General Stock Summary View  '!B478)</f>
        <v>88.233333333333334</v>
      </c>
      <c r="I478" s="154">
        <f t="shared" si="82"/>
        <v>6.8333333333342239E-2</v>
      </c>
      <c r="J478" s="11">
        <f>SUMIFS('XBS '!T:T,'XBS '!H:H,' General Stock Summary View  '!$J$2,'XBS '!L:L,' General Stock Summary View  '!B478,'XBS '!C:C,' General Stock Summary View  '!C478)</f>
        <v>0</v>
      </c>
      <c r="K478" s="157">
        <f>SUMIFS('PowerApp_Physical count'!H:H,'PowerApp_Physical count'!B:B,' General Stock Summary View  '!$J$2,'PowerApp_Physical count'!C:C,' General Stock Summary View  '!C478,'PowerApp_Physical count'!A:A,' General Stock Summary View  '!B478)</f>
        <v>0</v>
      </c>
      <c r="L478" s="127">
        <f t="shared" si="71"/>
        <v>0</v>
      </c>
      <c r="M478" s="126">
        <f t="shared" si="72"/>
        <v>88.164999999999992</v>
      </c>
      <c r="N478" s="11">
        <f t="shared" si="73"/>
        <v>88.233333333333334</v>
      </c>
      <c r="O478" s="144">
        <f t="shared" si="74"/>
        <v>6.8333333333342239E-2</v>
      </c>
      <c r="P478" s="2">
        <f>SUMIFS('XBS '!T:T,'XBS '!H:H,' General Stock Summary View  '!$P$2,'XBS '!L:L,' General Stock Summary View  '!B478,'XBS '!C:C,' General Stock Summary View  '!C478)</f>
        <v>0</v>
      </c>
      <c r="Q478" s="3">
        <f>SUMIFS('PowerApp_Physical count'!H:H,'PowerApp_Physical count'!B:B,' General Stock Summary View  '!$P$2,'PowerApp_Physical count'!C:C,' General Stock Summary View  '!C478,'PowerApp_Physical count'!A:A,' General Stock Summary View  '!B478)</f>
        <v>0</v>
      </c>
      <c r="R478" s="4">
        <f t="shared" si="75"/>
        <v>0</v>
      </c>
      <c r="S478" s="5">
        <f>SUMIFS('XBS '!T:T,'XBS '!L:L,' General Stock Summary View  '!B478,'XBS '!H:H,' General Stock Summary View  '!$S$2,'XBS '!C:C,' General Stock Summary View  '!C478)</f>
        <v>0</v>
      </c>
      <c r="T478" s="3">
        <f>SUMIFS('PowerApp_Physical count'!H:H,'PowerApp_Physical count'!B:B,' General Stock Summary View  '!$S$2,'PowerApp_Physical count'!C:C,' General Stock Summary View  '!C478,'PowerApp_Physical count'!A:A,' General Stock Summary View  '!B478)</f>
        <v>0</v>
      </c>
      <c r="U478" s="4">
        <f t="shared" si="76"/>
        <v>0</v>
      </c>
      <c r="V478" s="2">
        <f>SUMIFS('XBS '!T:T,'XBS '!H:H,' General Stock Summary View  '!$V$2,'XBS '!B:B,' General Stock Summary View  '!C478,'XBS '!L:L,' General Stock Summary View  '!B478)</f>
        <v>0</v>
      </c>
      <c r="W478" s="3">
        <f>SUMIFS('PowerApp_Physical count'!H:H,'PowerApp_Physical count'!B:B,' General Stock Summary View  '!$V$2,'PowerApp_Physical count'!C:C,' General Stock Summary View  '!C478,'PowerApp_Physical count'!A:A,' General Stock Summary View  '!B478)</f>
        <v>0</v>
      </c>
      <c r="X478" s="4">
        <f t="shared" si="77"/>
        <v>0</v>
      </c>
      <c r="Y478" s="5">
        <f>SUMIFS('XBS '!T:T,'XBS '!H:H,' General Stock Summary View  '!$Y$2,'XBS '!B:B,' General Stock Summary View  '!C478,'XBS '!L:L,' General Stock Summary View  '!B478)</f>
        <v>0</v>
      </c>
      <c r="Z478" s="3">
        <f>SUMIFS('PowerApp_Physical count'!H:H,'PowerApp_Physical count'!B:B,' General Stock Summary View  '!$Y$2,'PowerApp_Physical count'!C:C,' General Stock Summary View  '!C478,'PowerApp_Physical count'!A:A,' General Stock Summary View  '!B478)</f>
        <v>0</v>
      </c>
      <c r="AA478" s="4">
        <f t="shared" si="78"/>
        <v>0</v>
      </c>
      <c r="AB478" s="5">
        <f>SUMIFS('XBS '!T:T,'XBS '!H:H,' General Stock Summary View  '!$AB$2,'XBS '!B:B,' General Stock Summary View  '!C478,'XBS '!L:L,' General Stock Summary View  '!B478)</f>
        <v>0</v>
      </c>
      <c r="AC478" s="3">
        <f>SUMIFS('PowerApp_Physical count'!H:H,'PowerApp_Physical count'!B:B,' General Stock Summary View  '!$AB$2,'PowerApp_Physical count'!C:C,' General Stock Summary View  '!C478,'PowerApp_Physical count'!A:A,' General Stock Summary View  '!B478)</f>
        <v>0</v>
      </c>
      <c r="AD478" s="6">
        <f t="shared" si="79"/>
        <v>0</v>
      </c>
      <c r="AE478" s="7">
        <f t="shared" si="80"/>
        <v>88.233333333333334</v>
      </c>
      <c r="AF478" s="8">
        <f t="shared" si="81"/>
        <v>6.8333333333342239E-2</v>
      </c>
      <c r="AG478" s="112"/>
    </row>
    <row r="479" spans="2:33" s="113" customFormat="1" ht="61.15">
      <c r="B479" s="117" t="s">
        <v>434</v>
      </c>
      <c r="C479" s="111" t="s">
        <v>430</v>
      </c>
      <c r="D479" s="11">
        <f>SUMIFS('XBS '!T:T,'XBS '!C:C,' General Stock Summary View  '!C479,'XBS '!L:L,' General Stock Summary View  '!B479)</f>
        <v>43.84</v>
      </c>
      <c r="E479" s="2">
        <f>SUMIFS('Blocked for Processing'!P:P,'Blocked for Processing'!I:I,' General Stock Summary View  '!B479,'Blocked for Processing'!C:C,' General Stock Summary View  '!C479)</f>
        <v>0</v>
      </c>
      <c r="F479" s="122">
        <f t="shared" si="70"/>
        <v>43.84</v>
      </c>
      <c r="G479" s="148">
        <f>SUMIFS('XBS '!T:T,'XBS '!H:H,' General Stock Summary View  '!$G$2,'XBS '!L:L,' General Stock Summary View  '!B479,'XBS '!C:C,' General Stock Summary View  '!C479)</f>
        <v>43.84</v>
      </c>
      <c r="H479" s="3">
        <f>SUMIFS('PowerApp_Physical count'!H:H,'PowerApp_Physical count'!B:B,' General Stock Summary View  '!$G$2,'PowerApp_Physical count'!C:C,' General Stock Summary View  '!C479,'PowerApp_Physical count'!A:A,' General Stock Summary View  '!B479)</f>
        <v>44.06666666666667</v>
      </c>
      <c r="I479" s="154">
        <f t="shared" si="82"/>
        <v>0.22666666666666657</v>
      </c>
      <c r="J479" s="11">
        <f>SUMIFS('XBS '!T:T,'XBS '!H:H,' General Stock Summary View  '!$J$2,'XBS '!L:L,' General Stock Summary View  '!B479,'XBS '!C:C,' General Stock Summary View  '!C479)</f>
        <v>0</v>
      </c>
      <c r="K479" s="157">
        <f>SUMIFS('PowerApp_Physical count'!H:H,'PowerApp_Physical count'!B:B,' General Stock Summary View  '!$J$2,'PowerApp_Physical count'!C:C,' General Stock Summary View  '!C479,'PowerApp_Physical count'!A:A,' General Stock Summary View  '!B479)</f>
        <v>0</v>
      </c>
      <c r="L479" s="127">
        <f t="shared" si="71"/>
        <v>0</v>
      </c>
      <c r="M479" s="126">
        <f t="shared" si="72"/>
        <v>43.84</v>
      </c>
      <c r="N479" s="11">
        <f t="shared" si="73"/>
        <v>44.06666666666667</v>
      </c>
      <c r="O479" s="144">
        <f t="shared" si="74"/>
        <v>0.22666666666666657</v>
      </c>
      <c r="P479" s="2">
        <f>SUMIFS('XBS '!T:T,'XBS '!H:H,' General Stock Summary View  '!$P$2,'XBS '!L:L,' General Stock Summary View  '!B479,'XBS '!C:C,' General Stock Summary View  '!C479)</f>
        <v>0</v>
      </c>
      <c r="Q479" s="3">
        <f>SUMIFS('PowerApp_Physical count'!H:H,'PowerApp_Physical count'!B:B,' General Stock Summary View  '!$P$2,'PowerApp_Physical count'!C:C,' General Stock Summary View  '!C479,'PowerApp_Physical count'!A:A,' General Stock Summary View  '!B479)</f>
        <v>0</v>
      </c>
      <c r="R479" s="4">
        <f t="shared" si="75"/>
        <v>0</v>
      </c>
      <c r="S479" s="5">
        <f>SUMIFS('XBS '!T:T,'XBS '!L:L,' General Stock Summary View  '!B479,'XBS '!H:H,' General Stock Summary View  '!$S$2,'XBS '!C:C,' General Stock Summary View  '!C479)</f>
        <v>0</v>
      </c>
      <c r="T479" s="3">
        <f>SUMIFS('PowerApp_Physical count'!H:H,'PowerApp_Physical count'!B:B,' General Stock Summary View  '!$S$2,'PowerApp_Physical count'!C:C,' General Stock Summary View  '!C479,'PowerApp_Physical count'!A:A,' General Stock Summary View  '!B479)</f>
        <v>0</v>
      </c>
      <c r="U479" s="4">
        <f t="shared" si="76"/>
        <v>0</v>
      </c>
      <c r="V479" s="2">
        <f>SUMIFS('XBS '!T:T,'XBS '!H:H,' General Stock Summary View  '!$V$2,'XBS '!B:B,' General Stock Summary View  '!C479,'XBS '!L:L,' General Stock Summary View  '!B479)</f>
        <v>0</v>
      </c>
      <c r="W479" s="3">
        <f>SUMIFS('PowerApp_Physical count'!H:H,'PowerApp_Physical count'!B:B,' General Stock Summary View  '!$V$2,'PowerApp_Physical count'!C:C,' General Stock Summary View  '!C479,'PowerApp_Physical count'!A:A,' General Stock Summary View  '!B479)</f>
        <v>0</v>
      </c>
      <c r="X479" s="4">
        <f t="shared" si="77"/>
        <v>0</v>
      </c>
      <c r="Y479" s="5">
        <f>SUMIFS('XBS '!T:T,'XBS '!H:H,' General Stock Summary View  '!$Y$2,'XBS '!B:B,' General Stock Summary View  '!C479,'XBS '!L:L,' General Stock Summary View  '!B479)</f>
        <v>0</v>
      </c>
      <c r="Z479" s="3">
        <f>SUMIFS('PowerApp_Physical count'!H:H,'PowerApp_Physical count'!B:B,' General Stock Summary View  '!$Y$2,'PowerApp_Physical count'!C:C,' General Stock Summary View  '!C479,'PowerApp_Physical count'!A:A,' General Stock Summary View  '!B479)</f>
        <v>0</v>
      </c>
      <c r="AA479" s="4">
        <f t="shared" si="78"/>
        <v>0</v>
      </c>
      <c r="AB479" s="5">
        <f>SUMIFS('XBS '!T:T,'XBS '!H:H,' General Stock Summary View  '!$AB$2,'XBS '!B:B,' General Stock Summary View  '!C479,'XBS '!L:L,' General Stock Summary View  '!B479)</f>
        <v>0</v>
      </c>
      <c r="AC479" s="3">
        <f>SUMIFS('PowerApp_Physical count'!H:H,'PowerApp_Physical count'!B:B,' General Stock Summary View  '!$AB$2,'PowerApp_Physical count'!C:C,' General Stock Summary View  '!C479,'PowerApp_Physical count'!A:A,' General Stock Summary View  '!B479)</f>
        <v>0</v>
      </c>
      <c r="AD479" s="6">
        <f t="shared" si="79"/>
        <v>0</v>
      </c>
      <c r="AE479" s="7">
        <f t="shared" si="80"/>
        <v>44.06666666666667</v>
      </c>
      <c r="AF479" s="8">
        <f t="shared" si="81"/>
        <v>0.22666666666666657</v>
      </c>
      <c r="AG479" s="112"/>
    </row>
    <row r="480" spans="2:33" s="113" customFormat="1" ht="61.15">
      <c r="B480" s="117" t="s">
        <v>144</v>
      </c>
      <c r="C480" s="111" t="s">
        <v>133</v>
      </c>
      <c r="D480" s="11">
        <f>SUMIFS('XBS '!T:T,'XBS '!C:C,' General Stock Summary View  '!C480,'XBS '!L:L,' General Stock Summary View  '!B480)</f>
        <v>0</v>
      </c>
      <c r="E480" s="2">
        <f>SUMIFS('Blocked for Processing'!P:P,'Blocked for Processing'!I:I,' General Stock Summary View  '!B480,'Blocked for Processing'!C:C,' General Stock Summary View  '!C480)</f>
        <v>82.2</v>
      </c>
      <c r="F480" s="122">
        <f t="shared" si="70"/>
        <v>82.2</v>
      </c>
      <c r="G480" s="148">
        <f>SUMIFS('XBS '!T:T,'XBS '!H:H,' General Stock Summary View  '!$G$2,'XBS '!L:L,' General Stock Summary View  '!B480,'XBS '!C:C,' General Stock Summary View  '!C480)</f>
        <v>0</v>
      </c>
      <c r="H480" s="3">
        <f>SUMIFS('PowerApp_Physical count'!H:H,'PowerApp_Physical count'!B:B,' General Stock Summary View  '!$G$2,'PowerApp_Physical count'!C:C,' General Stock Summary View  '!C480,'PowerApp_Physical count'!A:A,' General Stock Summary View  '!B480)</f>
        <v>82.2</v>
      </c>
      <c r="I480" s="154">
        <f t="shared" si="82"/>
        <v>82.2</v>
      </c>
      <c r="J480" s="11">
        <f>SUMIFS('XBS '!T:T,'XBS '!H:H,' General Stock Summary View  '!$J$2,'XBS '!L:L,' General Stock Summary View  '!B480,'XBS '!C:C,' General Stock Summary View  '!C480)</f>
        <v>0</v>
      </c>
      <c r="K480" s="157">
        <f>SUMIFS('PowerApp_Physical count'!H:H,'PowerApp_Physical count'!B:B,' General Stock Summary View  '!$J$2,'PowerApp_Physical count'!C:C,' General Stock Summary View  '!C480,'PowerApp_Physical count'!A:A,' General Stock Summary View  '!B480)</f>
        <v>0</v>
      </c>
      <c r="L480" s="127">
        <f t="shared" si="71"/>
        <v>0</v>
      </c>
      <c r="M480" s="126">
        <f t="shared" si="72"/>
        <v>82.2</v>
      </c>
      <c r="N480" s="11">
        <f t="shared" si="73"/>
        <v>82.2</v>
      </c>
      <c r="O480" s="144">
        <f t="shared" si="74"/>
        <v>0</v>
      </c>
      <c r="P480" s="2">
        <f>SUMIFS('XBS '!T:T,'XBS '!H:H,' General Stock Summary View  '!$P$2,'XBS '!L:L,' General Stock Summary View  '!B480,'XBS '!C:C,' General Stock Summary View  '!C480)</f>
        <v>0</v>
      </c>
      <c r="Q480" s="3">
        <f>SUMIFS('PowerApp_Physical count'!H:H,'PowerApp_Physical count'!B:B,' General Stock Summary View  '!$P$2,'PowerApp_Physical count'!C:C,' General Stock Summary View  '!C480,'PowerApp_Physical count'!A:A,' General Stock Summary View  '!B480)</f>
        <v>0</v>
      </c>
      <c r="R480" s="4">
        <f t="shared" si="75"/>
        <v>0</v>
      </c>
      <c r="S480" s="5">
        <f>SUMIFS('XBS '!T:T,'XBS '!L:L,' General Stock Summary View  '!B480,'XBS '!H:H,' General Stock Summary View  '!$S$2,'XBS '!C:C,' General Stock Summary View  '!C480)</f>
        <v>0</v>
      </c>
      <c r="T480" s="3">
        <f>SUMIFS('PowerApp_Physical count'!H:H,'PowerApp_Physical count'!B:B,' General Stock Summary View  '!$S$2,'PowerApp_Physical count'!C:C,' General Stock Summary View  '!C480,'PowerApp_Physical count'!A:A,' General Stock Summary View  '!B480)</f>
        <v>0</v>
      </c>
      <c r="U480" s="4">
        <f t="shared" si="76"/>
        <v>0</v>
      </c>
      <c r="V480" s="2">
        <f>SUMIFS('XBS '!T:T,'XBS '!H:H,' General Stock Summary View  '!$V$2,'XBS '!B:B,' General Stock Summary View  '!C480,'XBS '!L:L,' General Stock Summary View  '!B480)</f>
        <v>0</v>
      </c>
      <c r="W480" s="3">
        <f>SUMIFS('PowerApp_Physical count'!H:H,'PowerApp_Physical count'!B:B,' General Stock Summary View  '!$V$2,'PowerApp_Physical count'!C:C,' General Stock Summary View  '!C480,'PowerApp_Physical count'!A:A,' General Stock Summary View  '!B480)</f>
        <v>0</v>
      </c>
      <c r="X480" s="4">
        <f t="shared" si="77"/>
        <v>0</v>
      </c>
      <c r="Y480" s="5">
        <f>SUMIFS('XBS '!T:T,'XBS '!H:H,' General Stock Summary View  '!$Y$2,'XBS '!B:B,' General Stock Summary View  '!C480,'XBS '!L:L,' General Stock Summary View  '!B480)</f>
        <v>0</v>
      </c>
      <c r="Z480" s="3">
        <f>SUMIFS('PowerApp_Physical count'!H:H,'PowerApp_Physical count'!B:B,' General Stock Summary View  '!$Y$2,'PowerApp_Physical count'!C:C,' General Stock Summary View  '!C480,'PowerApp_Physical count'!A:A,' General Stock Summary View  '!B480)</f>
        <v>0</v>
      </c>
      <c r="AA480" s="4">
        <f t="shared" si="78"/>
        <v>0</v>
      </c>
      <c r="AB480" s="5">
        <f>SUMIFS('XBS '!T:T,'XBS '!H:H,' General Stock Summary View  '!$AB$2,'XBS '!B:B,' General Stock Summary View  '!C480,'XBS '!L:L,' General Stock Summary View  '!B480)</f>
        <v>0</v>
      </c>
      <c r="AC480" s="3">
        <f>SUMIFS('PowerApp_Physical count'!H:H,'PowerApp_Physical count'!B:B,' General Stock Summary View  '!$AB$2,'PowerApp_Physical count'!C:C,' General Stock Summary View  '!C480,'PowerApp_Physical count'!A:A,' General Stock Summary View  '!B480)</f>
        <v>0</v>
      </c>
      <c r="AD480" s="6">
        <f t="shared" si="79"/>
        <v>0</v>
      </c>
      <c r="AE480" s="7">
        <f t="shared" si="80"/>
        <v>82.2</v>
      </c>
      <c r="AF480" s="8">
        <f t="shared" si="81"/>
        <v>0</v>
      </c>
      <c r="AG480" s="112"/>
    </row>
    <row r="481" spans="2:33" s="113" customFormat="1" ht="61.15">
      <c r="B481" s="117" t="s">
        <v>143</v>
      </c>
      <c r="C481" s="111" t="s">
        <v>133</v>
      </c>
      <c r="D481" s="11">
        <f>SUMIFS('XBS '!T:T,'XBS '!C:C,' General Stock Summary View  '!C481,'XBS '!L:L,' General Stock Summary View  '!B481)</f>
        <v>0</v>
      </c>
      <c r="E481" s="2">
        <f>SUMIFS('Blocked for Processing'!P:P,'Blocked for Processing'!I:I,' General Stock Summary View  '!B481,'Blocked for Processing'!C:C,' General Stock Summary View  '!C481)</f>
        <v>67.61666666666666</v>
      </c>
      <c r="F481" s="122">
        <f t="shared" si="70"/>
        <v>67.61666666666666</v>
      </c>
      <c r="G481" s="148">
        <f>SUMIFS('XBS '!T:T,'XBS '!H:H,' General Stock Summary View  '!$G$2,'XBS '!L:L,' General Stock Summary View  '!B481,'XBS '!C:C,' General Stock Summary View  '!C481)</f>
        <v>0</v>
      </c>
      <c r="H481" s="3">
        <f>SUMIFS('PowerApp_Physical count'!H:H,'PowerApp_Physical count'!B:B,' General Stock Summary View  '!$G$2,'PowerApp_Physical count'!C:C,' General Stock Summary View  '!C481,'PowerApp_Physical count'!A:A,' General Stock Summary View  '!B481)</f>
        <v>67.650000000000006</v>
      </c>
      <c r="I481" s="154">
        <f t="shared" si="82"/>
        <v>67.650000000000006</v>
      </c>
      <c r="J481" s="11">
        <f>SUMIFS('XBS '!T:T,'XBS '!H:H,' General Stock Summary View  '!$J$2,'XBS '!L:L,' General Stock Summary View  '!B481,'XBS '!C:C,' General Stock Summary View  '!C481)</f>
        <v>0</v>
      </c>
      <c r="K481" s="157">
        <f>SUMIFS('PowerApp_Physical count'!H:H,'PowerApp_Physical count'!B:B,' General Stock Summary View  '!$J$2,'PowerApp_Physical count'!C:C,' General Stock Summary View  '!C481,'PowerApp_Physical count'!A:A,' General Stock Summary View  '!B481)</f>
        <v>0</v>
      </c>
      <c r="L481" s="127">
        <f t="shared" si="71"/>
        <v>0</v>
      </c>
      <c r="M481" s="126">
        <f t="shared" si="72"/>
        <v>67.61666666666666</v>
      </c>
      <c r="N481" s="11">
        <f t="shared" si="73"/>
        <v>67.650000000000006</v>
      </c>
      <c r="O481" s="144">
        <f t="shared" si="74"/>
        <v>3.3333333333345649E-2</v>
      </c>
      <c r="P481" s="2">
        <f>SUMIFS('XBS '!T:T,'XBS '!H:H,' General Stock Summary View  '!$P$2,'XBS '!L:L,' General Stock Summary View  '!B481,'XBS '!C:C,' General Stock Summary View  '!C481)</f>
        <v>0</v>
      </c>
      <c r="Q481" s="3">
        <f>SUMIFS('PowerApp_Physical count'!H:H,'PowerApp_Physical count'!B:B,' General Stock Summary View  '!$P$2,'PowerApp_Physical count'!C:C,' General Stock Summary View  '!C481,'PowerApp_Physical count'!A:A,' General Stock Summary View  '!B481)</f>
        <v>0</v>
      </c>
      <c r="R481" s="4">
        <f t="shared" si="75"/>
        <v>0</v>
      </c>
      <c r="S481" s="5">
        <f>SUMIFS('XBS '!T:T,'XBS '!L:L,' General Stock Summary View  '!B481,'XBS '!H:H,' General Stock Summary View  '!$S$2,'XBS '!C:C,' General Stock Summary View  '!C481)</f>
        <v>0</v>
      </c>
      <c r="T481" s="3">
        <f>SUMIFS('PowerApp_Physical count'!H:H,'PowerApp_Physical count'!B:B,' General Stock Summary View  '!$S$2,'PowerApp_Physical count'!C:C,' General Stock Summary View  '!C481,'PowerApp_Physical count'!A:A,' General Stock Summary View  '!B481)</f>
        <v>0</v>
      </c>
      <c r="U481" s="4">
        <f t="shared" si="76"/>
        <v>0</v>
      </c>
      <c r="V481" s="2">
        <f>SUMIFS('XBS '!T:T,'XBS '!H:H,' General Stock Summary View  '!$V$2,'XBS '!B:B,' General Stock Summary View  '!C481,'XBS '!L:L,' General Stock Summary View  '!B481)</f>
        <v>0</v>
      </c>
      <c r="W481" s="3">
        <f>SUMIFS('PowerApp_Physical count'!H:H,'PowerApp_Physical count'!B:B,' General Stock Summary View  '!$V$2,'PowerApp_Physical count'!C:C,' General Stock Summary View  '!C481,'PowerApp_Physical count'!A:A,' General Stock Summary View  '!B481)</f>
        <v>0</v>
      </c>
      <c r="X481" s="4">
        <f t="shared" si="77"/>
        <v>0</v>
      </c>
      <c r="Y481" s="5">
        <f>SUMIFS('XBS '!T:T,'XBS '!H:H,' General Stock Summary View  '!$Y$2,'XBS '!B:B,' General Stock Summary View  '!C481,'XBS '!L:L,' General Stock Summary View  '!B481)</f>
        <v>0</v>
      </c>
      <c r="Z481" s="3">
        <f>SUMIFS('PowerApp_Physical count'!H:H,'PowerApp_Physical count'!B:B,' General Stock Summary View  '!$Y$2,'PowerApp_Physical count'!C:C,' General Stock Summary View  '!C481,'PowerApp_Physical count'!A:A,' General Stock Summary View  '!B481)</f>
        <v>0</v>
      </c>
      <c r="AA481" s="4">
        <f t="shared" si="78"/>
        <v>0</v>
      </c>
      <c r="AB481" s="5">
        <f>SUMIFS('XBS '!T:T,'XBS '!H:H,' General Stock Summary View  '!$AB$2,'XBS '!B:B,' General Stock Summary View  '!C481,'XBS '!L:L,' General Stock Summary View  '!B481)</f>
        <v>0</v>
      </c>
      <c r="AC481" s="3">
        <f>SUMIFS('PowerApp_Physical count'!H:H,'PowerApp_Physical count'!B:B,' General Stock Summary View  '!$AB$2,'PowerApp_Physical count'!C:C,' General Stock Summary View  '!C481,'PowerApp_Physical count'!A:A,' General Stock Summary View  '!B481)</f>
        <v>0</v>
      </c>
      <c r="AD481" s="6">
        <f t="shared" si="79"/>
        <v>0</v>
      </c>
      <c r="AE481" s="7">
        <f t="shared" si="80"/>
        <v>67.650000000000006</v>
      </c>
      <c r="AF481" s="8">
        <f t="shared" si="81"/>
        <v>3.3333333333345649E-2</v>
      </c>
      <c r="AG481" s="112"/>
    </row>
    <row r="482" spans="2:33" s="113" customFormat="1" ht="61.15">
      <c r="B482" s="117" t="s">
        <v>435</v>
      </c>
      <c r="C482" s="111" t="s">
        <v>154</v>
      </c>
      <c r="D482" s="11">
        <f>SUMIFS('XBS '!T:T,'XBS '!C:C,' General Stock Summary View  '!C482,'XBS '!L:L,' General Stock Summary View  '!B482)</f>
        <v>0</v>
      </c>
      <c r="E482" s="2">
        <f>SUMIFS('Blocked for Processing'!P:P,'Blocked for Processing'!I:I,' General Stock Summary View  '!B482,'Blocked for Processing'!C:C,' General Stock Summary View  '!C482)</f>
        <v>49.2</v>
      </c>
      <c r="F482" s="122">
        <f t="shared" si="70"/>
        <v>49.2</v>
      </c>
      <c r="G482" s="148">
        <f>SUMIFS('XBS '!T:T,'XBS '!H:H,' General Stock Summary View  '!$G$2,'XBS '!L:L,' General Stock Summary View  '!B482,'XBS '!C:C,' General Stock Summary View  '!C482)</f>
        <v>0</v>
      </c>
      <c r="H482" s="3">
        <f>SUMIFS('PowerApp_Physical count'!H:H,'PowerApp_Physical count'!B:B,' General Stock Summary View  '!$G$2,'PowerApp_Physical count'!C:C,' General Stock Summary View  '!C482,'PowerApp_Physical count'!A:A,' General Stock Summary View  '!B482)</f>
        <v>49.2</v>
      </c>
      <c r="I482" s="154">
        <f t="shared" si="82"/>
        <v>49.2</v>
      </c>
      <c r="J482" s="11">
        <f>SUMIFS('XBS '!T:T,'XBS '!H:H,' General Stock Summary View  '!$J$2,'XBS '!L:L,' General Stock Summary View  '!B482,'XBS '!C:C,' General Stock Summary View  '!C482)</f>
        <v>0</v>
      </c>
      <c r="K482" s="157">
        <f>SUMIFS('PowerApp_Physical count'!H:H,'PowerApp_Physical count'!B:B,' General Stock Summary View  '!$J$2,'PowerApp_Physical count'!C:C,' General Stock Summary View  '!C482,'PowerApp_Physical count'!A:A,' General Stock Summary View  '!B482)</f>
        <v>0</v>
      </c>
      <c r="L482" s="127">
        <f t="shared" si="71"/>
        <v>0</v>
      </c>
      <c r="M482" s="126">
        <f t="shared" si="72"/>
        <v>49.2</v>
      </c>
      <c r="N482" s="11">
        <f t="shared" si="73"/>
        <v>49.2</v>
      </c>
      <c r="O482" s="144">
        <f t="shared" si="74"/>
        <v>0</v>
      </c>
      <c r="P482" s="2">
        <f>SUMIFS('XBS '!T:T,'XBS '!H:H,' General Stock Summary View  '!$P$2,'XBS '!L:L,' General Stock Summary View  '!B482,'XBS '!C:C,' General Stock Summary View  '!C482)</f>
        <v>0</v>
      </c>
      <c r="Q482" s="3">
        <f>SUMIFS('PowerApp_Physical count'!H:H,'PowerApp_Physical count'!B:B,' General Stock Summary View  '!$P$2,'PowerApp_Physical count'!C:C,' General Stock Summary View  '!C482,'PowerApp_Physical count'!A:A,' General Stock Summary View  '!B482)</f>
        <v>0</v>
      </c>
      <c r="R482" s="4">
        <f t="shared" si="75"/>
        <v>0</v>
      </c>
      <c r="S482" s="5">
        <f>SUMIFS('XBS '!T:T,'XBS '!L:L,' General Stock Summary View  '!B482,'XBS '!H:H,' General Stock Summary View  '!$S$2,'XBS '!C:C,' General Stock Summary View  '!C482)</f>
        <v>0</v>
      </c>
      <c r="T482" s="3">
        <f>SUMIFS('PowerApp_Physical count'!H:H,'PowerApp_Physical count'!B:B,' General Stock Summary View  '!$S$2,'PowerApp_Physical count'!C:C,' General Stock Summary View  '!C482,'PowerApp_Physical count'!A:A,' General Stock Summary View  '!B482)</f>
        <v>0</v>
      </c>
      <c r="U482" s="4">
        <f t="shared" si="76"/>
        <v>0</v>
      </c>
      <c r="V482" s="2">
        <f>SUMIFS('XBS '!T:T,'XBS '!H:H,' General Stock Summary View  '!$V$2,'XBS '!B:B,' General Stock Summary View  '!C482,'XBS '!L:L,' General Stock Summary View  '!B482)</f>
        <v>0</v>
      </c>
      <c r="W482" s="3">
        <f>SUMIFS('PowerApp_Physical count'!H:H,'PowerApp_Physical count'!B:B,' General Stock Summary View  '!$V$2,'PowerApp_Physical count'!C:C,' General Stock Summary View  '!C482,'PowerApp_Physical count'!A:A,' General Stock Summary View  '!B482)</f>
        <v>0</v>
      </c>
      <c r="X482" s="4">
        <f t="shared" si="77"/>
        <v>0</v>
      </c>
      <c r="Y482" s="5">
        <f>SUMIFS('XBS '!T:T,'XBS '!H:H,' General Stock Summary View  '!$Y$2,'XBS '!B:B,' General Stock Summary View  '!C482,'XBS '!L:L,' General Stock Summary View  '!B482)</f>
        <v>0</v>
      </c>
      <c r="Z482" s="3">
        <f>SUMIFS('PowerApp_Physical count'!H:H,'PowerApp_Physical count'!B:B,' General Stock Summary View  '!$Y$2,'PowerApp_Physical count'!C:C,' General Stock Summary View  '!C482,'PowerApp_Physical count'!A:A,' General Stock Summary View  '!B482)</f>
        <v>0</v>
      </c>
      <c r="AA482" s="4">
        <f t="shared" si="78"/>
        <v>0</v>
      </c>
      <c r="AB482" s="5">
        <f>SUMIFS('XBS '!T:T,'XBS '!H:H,' General Stock Summary View  '!$AB$2,'XBS '!B:B,' General Stock Summary View  '!C482,'XBS '!L:L,' General Stock Summary View  '!B482)</f>
        <v>0</v>
      </c>
      <c r="AC482" s="3">
        <f>SUMIFS('PowerApp_Physical count'!H:H,'PowerApp_Physical count'!B:B,' General Stock Summary View  '!$AB$2,'PowerApp_Physical count'!C:C,' General Stock Summary View  '!C482,'PowerApp_Physical count'!A:A,' General Stock Summary View  '!B482)</f>
        <v>0</v>
      </c>
      <c r="AD482" s="6">
        <f t="shared" si="79"/>
        <v>0</v>
      </c>
      <c r="AE482" s="7">
        <f t="shared" si="80"/>
        <v>49.2</v>
      </c>
      <c r="AF482" s="8">
        <f t="shared" si="81"/>
        <v>0</v>
      </c>
      <c r="AG482" s="112"/>
    </row>
    <row r="483" spans="2:33" s="113" customFormat="1" ht="61.15">
      <c r="B483" s="117" t="s">
        <v>358</v>
      </c>
      <c r="C483" s="111" t="s">
        <v>197</v>
      </c>
      <c r="D483" s="11">
        <f>SUMIFS('XBS '!T:T,'XBS '!C:C,' General Stock Summary View  '!C483,'XBS '!L:L,' General Stock Summary View  '!B483)</f>
        <v>0</v>
      </c>
      <c r="E483" s="2">
        <f>SUMIFS('Blocked for Processing'!P:P,'Blocked for Processing'!I:I,' General Stock Summary View  '!B483,'Blocked for Processing'!C:C,' General Stock Summary View  '!C483)</f>
        <v>12.805</v>
      </c>
      <c r="F483" s="122">
        <f t="shared" si="70"/>
        <v>12.805</v>
      </c>
      <c r="G483" s="148">
        <f>SUMIFS('XBS '!T:T,'XBS '!H:H,' General Stock Summary View  '!$G$2,'XBS '!L:L,' General Stock Summary View  '!B483,'XBS '!C:C,' General Stock Summary View  '!C483)</f>
        <v>0</v>
      </c>
      <c r="H483" s="3">
        <f>SUMIFS('PowerApp_Physical count'!H:H,'PowerApp_Physical count'!B:B,' General Stock Summary View  '!$G$2,'PowerApp_Physical count'!C:C,' General Stock Summary View  '!C483,'PowerApp_Physical count'!A:A,' General Stock Summary View  '!B483)</f>
        <v>12.966666666666667</v>
      </c>
      <c r="I483" s="154">
        <f t="shared" si="82"/>
        <v>12.966666666666667</v>
      </c>
      <c r="J483" s="11">
        <f>SUMIFS('XBS '!T:T,'XBS '!H:H,' General Stock Summary View  '!$J$2,'XBS '!L:L,' General Stock Summary View  '!B483,'XBS '!C:C,' General Stock Summary View  '!C483)</f>
        <v>0</v>
      </c>
      <c r="K483" s="157">
        <f>SUMIFS('PowerApp_Physical count'!H:H,'PowerApp_Physical count'!B:B,' General Stock Summary View  '!$J$2,'PowerApp_Physical count'!C:C,' General Stock Summary View  '!C483,'PowerApp_Physical count'!A:A,' General Stock Summary View  '!B483)</f>
        <v>0</v>
      </c>
      <c r="L483" s="127">
        <f t="shared" si="71"/>
        <v>0</v>
      </c>
      <c r="M483" s="126">
        <f t="shared" si="72"/>
        <v>12.805</v>
      </c>
      <c r="N483" s="11">
        <f t="shared" si="73"/>
        <v>12.966666666666667</v>
      </c>
      <c r="O483" s="144">
        <f t="shared" si="74"/>
        <v>0.16166666666666707</v>
      </c>
      <c r="P483" s="2">
        <f>SUMIFS('XBS '!T:T,'XBS '!H:H,' General Stock Summary View  '!$P$2,'XBS '!L:L,' General Stock Summary View  '!B483,'XBS '!C:C,' General Stock Summary View  '!C483)</f>
        <v>0</v>
      </c>
      <c r="Q483" s="3">
        <f>SUMIFS('PowerApp_Physical count'!H:H,'PowerApp_Physical count'!B:B,' General Stock Summary View  '!$P$2,'PowerApp_Physical count'!C:C,' General Stock Summary View  '!C483,'PowerApp_Physical count'!A:A,' General Stock Summary View  '!B483)</f>
        <v>0</v>
      </c>
      <c r="R483" s="4">
        <f t="shared" si="75"/>
        <v>0</v>
      </c>
      <c r="S483" s="5">
        <f>SUMIFS('XBS '!T:T,'XBS '!L:L,' General Stock Summary View  '!B483,'XBS '!H:H,' General Stock Summary View  '!$S$2,'XBS '!C:C,' General Stock Summary View  '!C483)</f>
        <v>0</v>
      </c>
      <c r="T483" s="3">
        <f>SUMIFS('PowerApp_Physical count'!H:H,'PowerApp_Physical count'!B:B,' General Stock Summary View  '!$S$2,'PowerApp_Physical count'!C:C,' General Stock Summary View  '!C483,'PowerApp_Physical count'!A:A,' General Stock Summary View  '!B483)</f>
        <v>0</v>
      </c>
      <c r="U483" s="4">
        <f t="shared" si="76"/>
        <v>0</v>
      </c>
      <c r="V483" s="2">
        <f>SUMIFS('XBS '!T:T,'XBS '!H:H,' General Stock Summary View  '!$V$2,'XBS '!B:B,' General Stock Summary View  '!C483,'XBS '!L:L,' General Stock Summary View  '!B483)</f>
        <v>0</v>
      </c>
      <c r="W483" s="3">
        <f>SUMIFS('PowerApp_Physical count'!H:H,'PowerApp_Physical count'!B:B,' General Stock Summary View  '!$V$2,'PowerApp_Physical count'!C:C,' General Stock Summary View  '!C483,'PowerApp_Physical count'!A:A,' General Stock Summary View  '!B483)</f>
        <v>0</v>
      </c>
      <c r="X483" s="4">
        <f t="shared" si="77"/>
        <v>0</v>
      </c>
      <c r="Y483" s="5">
        <f>SUMIFS('XBS '!T:T,'XBS '!H:H,' General Stock Summary View  '!$Y$2,'XBS '!B:B,' General Stock Summary View  '!C483,'XBS '!L:L,' General Stock Summary View  '!B483)</f>
        <v>0</v>
      </c>
      <c r="Z483" s="3">
        <f>SUMIFS('PowerApp_Physical count'!H:H,'PowerApp_Physical count'!B:B,' General Stock Summary View  '!$Y$2,'PowerApp_Physical count'!C:C,' General Stock Summary View  '!C483,'PowerApp_Physical count'!A:A,' General Stock Summary View  '!B483)</f>
        <v>0</v>
      </c>
      <c r="AA483" s="4">
        <f t="shared" si="78"/>
        <v>0</v>
      </c>
      <c r="AB483" s="5">
        <f>SUMIFS('XBS '!T:T,'XBS '!H:H,' General Stock Summary View  '!$AB$2,'XBS '!B:B,' General Stock Summary View  '!C483,'XBS '!L:L,' General Stock Summary View  '!B483)</f>
        <v>0</v>
      </c>
      <c r="AC483" s="3">
        <f>SUMIFS('PowerApp_Physical count'!H:H,'PowerApp_Physical count'!B:B,' General Stock Summary View  '!$AB$2,'PowerApp_Physical count'!C:C,' General Stock Summary View  '!C483,'PowerApp_Physical count'!A:A,' General Stock Summary View  '!B483)</f>
        <v>0</v>
      </c>
      <c r="AD483" s="6">
        <f t="shared" si="79"/>
        <v>0</v>
      </c>
      <c r="AE483" s="7">
        <f t="shared" si="80"/>
        <v>12.966666666666667</v>
      </c>
      <c r="AF483" s="8">
        <f t="shared" si="81"/>
        <v>0.16166666666666707</v>
      </c>
      <c r="AG483" s="112"/>
    </row>
    <row r="484" spans="2:33" s="113" customFormat="1" ht="61.15">
      <c r="B484" s="117" t="s">
        <v>436</v>
      </c>
      <c r="C484" s="111" t="s">
        <v>197</v>
      </c>
      <c r="D484" s="11">
        <f>SUMIFS('XBS '!T:T,'XBS '!C:C,' General Stock Summary View  '!C484,'XBS '!L:L,' General Stock Summary View  '!B484)</f>
        <v>0</v>
      </c>
      <c r="E484" s="2">
        <f>SUMIFS('Blocked for Processing'!P:P,'Blocked for Processing'!I:I,' General Stock Summary View  '!B484,'Blocked for Processing'!C:C,' General Stock Summary View  '!C484)</f>
        <v>28.13</v>
      </c>
      <c r="F484" s="122">
        <f t="shared" si="70"/>
        <v>28.13</v>
      </c>
      <c r="G484" s="148">
        <f>SUMIFS('XBS '!T:T,'XBS '!H:H,' General Stock Summary View  '!$G$2,'XBS '!L:L,' General Stock Summary View  '!B484,'XBS '!C:C,' General Stock Summary View  '!C484)</f>
        <v>0</v>
      </c>
      <c r="H484" s="3">
        <f>SUMIFS('PowerApp_Physical count'!H:H,'PowerApp_Physical count'!B:B,' General Stock Summary View  '!$G$2,'PowerApp_Physical count'!C:C,' General Stock Summary View  '!C484,'PowerApp_Physical count'!A:A,' General Stock Summary View  '!B484)</f>
        <v>28.116666666666667</v>
      </c>
      <c r="I484" s="154">
        <f t="shared" si="82"/>
        <v>28.116666666666667</v>
      </c>
      <c r="J484" s="11">
        <f>SUMIFS('XBS '!T:T,'XBS '!H:H,' General Stock Summary View  '!$J$2,'XBS '!L:L,' General Stock Summary View  '!B484,'XBS '!C:C,' General Stock Summary View  '!C484)</f>
        <v>0</v>
      </c>
      <c r="K484" s="157">
        <f>SUMIFS('PowerApp_Physical count'!H:H,'PowerApp_Physical count'!B:B,' General Stock Summary View  '!$J$2,'PowerApp_Physical count'!C:C,' General Stock Summary View  '!C484,'PowerApp_Physical count'!A:A,' General Stock Summary View  '!B484)</f>
        <v>0</v>
      </c>
      <c r="L484" s="127">
        <f t="shared" si="71"/>
        <v>0</v>
      </c>
      <c r="M484" s="126">
        <f t="shared" si="72"/>
        <v>28.13</v>
      </c>
      <c r="N484" s="11">
        <f t="shared" si="73"/>
        <v>28.116666666666667</v>
      </c>
      <c r="O484" s="144">
        <f t="shared" si="74"/>
        <v>-1.3333333333331865E-2</v>
      </c>
      <c r="P484" s="2">
        <f>SUMIFS('XBS '!T:T,'XBS '!H:H,' General Stock Summary View  '!$P$2,'XBS '!L:L,' General Stock Summary View  '!B484,'XBS '!C:C,' General Stock Summary View  '!C484)</f>
        <v>0</v>
      </c>
      <c r="Q484" s="3">
        <f>SUMIFS('PowerApp_Physical count'!H:H,'PowerApp_Physical count'!B:B,' General Stock Summary View  '!$P$2,'PowerApp_Physical count'!C:C,' General Stock Summary View  '!C484,'PowerApp_Physical count'!A:A,' General Stock Summary View  '!B484)</f>
        <v>0</v>
      </c>
      <c r="R484" s="4">
        <f t="shared" si="75"/>
        <v>0</v>
      </c>
      <c r="S484" s="5">
        <f>SUMIFS('XBS '!T:T,'XBS '!L:L,' General Stock Summary View  '!B484,'XBS '!H:H,' General Stock Summary View  '!$S$2,'XBS '!C:C,' General Stock Summary View  '!C484)</f>
        <v>0</v>
      </c>
      <c r="T484" s="3">
        <f>SUMIFS('PowerApp_Physical count'!H:H,'PowerApp_Physical count'!B:B,' General Stock Summary View  '!$S$2,'PowerApp_Physical count'!C:C,' General Stock Summary View  '!C484,'PowerApp_Physical count'!A:A,' General Stock Summary View  '!B484)</f>
        <v>0</v>
      </c>
      <c r="U484" s="4">
        <f t="shared" si="76"/>
        <v>0</v>
      </c>
      <c r="V484" s="2">
        <f>SUMIFS('XBS '!T:T,'XBS '!H:H,' General Stock Summary View  '!$V$2,'XBS '!B:B,' General Stock Summary View  '!C484,'XBS '!L:L,' General Stock Summary View  '!B484)</f>
        <v>0</v>
      </c>
      <c r="W484" s="3">
        <f>SUMIFS('PowerApp_Physical count'!H:H,'PowerApp_Physical count'!B:B,' General Stock Summary View  '!$V$2,'PowerApp_Physical count'!C:C,' General Stock Summary View  '!C484,'PowerApp_Physical count'!A:A,' General Stock Summary View  '!B484)</f>
        <v>0</v>
      </c>
      <c r="X484" s="4">
        <f t="shared" si="77"/>
        <v>0</v>
      </c>
      <c r="Y484" s="5">
        <f>SUMIFS('XBS '!T:T,'XBS '!H:H,' General Stock Summary View  '!$Y$2,'XBS '!B:B,' General Stock Summary View  '!C484,'XBS '!L:L,' General Stock Summary View  '!B484)</f>
        <v>0</v>
      </c>
      <c r="Z484" s="3">
        <f>SUMIFS('PowerApp_Physical count'!H:H,'PowerApp_Physical count'!B:B,' General Stock Summary View  '!$Y$2,'PowerApp_Physical count'!C:C,' General Stock Summary View  '!C484,'PowerApp_Physical count'!A:A,' General Stock Summary View  '!B484)</f>
        <v>0</v>
      </c>
      <c r="AA484" s="4">
        <f t="shared" si="78"/>
        <v>0</v>
      </c>
      <c r="AB484" s="5">
        <f>SUMIFS('XBS '!T:T,'XBS '!H:H,' General Stock Summary View  '!$AB$2,'XBS '!B:B,' General Stock Summary View  '!C484,'XBS '!L:L,' General Stock Summary View  '!B484)</f>
        <v>0</v>
      </c>
      <c r="AC484" s="3">
        <f>SUMIFS('PowerApp_Physical count'!H:H,'PowerApp_Physical count'!B:B,' General Stock Summary View  '!$AB$2,'PowerApp_Physical count'!C:C,' General Stock Summary View  '!C484,'PowerApp_Physical count'!A:A,' General Stock Summary View  '!B484)</f>
        <v>0</v>
      </c>
      <c r="AD484" s="6">
        <f t="shared" si="79"/>
        <v>0</v>
      </c>
      <c r="AE484" s="7">
        <f t="shared" si="80"/>
        <v>28.116666666666667</v>
      </c>
      <c r="AF484" s="8">
        <f t="shared" si="81"/>
        <v>-1.3333333333331865E-2</v>
      </c>
      <c r="AG484" s="112"/>
    </row>
    <row r="485" spans="2:33" s="113" customFormat="1" ht="61.15">
      <c r="B485" s="117" t="s">
        <v>437</v>
      </c>
      <c r="C485" s="111" t="s">
        <v>197</v>
      </c>
      <c r="D485" s="11">
        <f>SUMIFS('XBS '!T:T,'XBS '!C:C,' General Stock Summary View  '!C485,'XBS '!L:L,' General Stock Summary View  '!B485)</f>
        <v>0</v>
      </c>
      <c r="E485" s="2">
        <f>SUMIFS('Blocked for Processing'!P:P,'Blocked for Processing'!I:I,' General Stock Summary View  '!B485,'Blocked for Processing'!C:C,' General Stock Summary View  '!C485)</f>
        <v>22.038333333333334</v>
      </c>
      <c r="F485" s="122">
        <f t="shared" si="70"/>
        <v>22.038333333333334</v>
      </c>
      <c r="G485" s="148">
        <f>SUMIFS('XBS '!T:T,'XBS '!H:H,' General Stock Summary View  '!$G$2,'XBS '!L:L,' General Stock Summary View  '!B485,'XBS '!C:C,' General Stock Summary View  '!C485)</f>
        <v>0</v>
      </c>
      <c r="H485" s="3">
        <f>SUMIFS('PowerApp_Physical count'!H:H,'PowerApp_Physical count'!B:B,' General Stock Summary View  '!$G$2,'PowerApp_Physical count'!C:C,' General Stock Summary View  '!C485,'PowerApp_Physical count'!A:A,' General Stock Summary View  '!B485)</f>
        <v>22.166666666666668</v>
      </c>
      <c r="I485" s="154">
        <f t="shared" si="82"/>
        <v>22.166666666666668</v>
      </c>
      <c r="J485" s="11">
        <f>SUMIFS('XBS '!T:T,'XBS '!H:H,' General Stock Summary View  '!$J$2,'XBS '!L:L,' General Stock Summary View  '!B485,'XBS '!C:C,' General Stock Summary View  '!C485)</f>
        <v>0</v>
      </c>
      <c r="K485" s="157">
        <f>SUMIFS('PowerApp_Physical count'!H:H,'PowerApp_Physical count'!B:B,' General Stock Summary View  '!$J$2,'PowerApp_Physical count'!C:C,' General Stock Summary View  '!C485,'PowerApp_Physical count'!A:A,' General Stock Summary View  '!B485)</f>
        <v>0</v>
      </c>
      <c r="L485" s="127">
        <f t="shared" si="71"/>
        <v>0</v>
      </c>
      <c r="M485" s="126">
        <f t="shared" si="72"/>
        <v>22.038333333333334</v>
      </c>
      <c r="N485" s="11">
        <f t="shared" si="73"/>
        <v>22.166666666666668</v>
      </c>
      <c r="O485" s="144">
        <f t="shared" si="74"/>
        <v>0.12833333333333385</v>
      </c>
      <c r="P485" s="2">
        <f>SUMIFS('XBS '!T:T,'XBS '!H:H,' General Stock Summary View  '!$P$2,'XBS '!L:L,' General Stock Summary View  '!B485,'XBS '!C:C,' General Stock Summary View  '!C485)</f>
        <v>0</v>
      </c>
      <c r="Q485" s="3">
        <f>SUMIFS('PowerApp_Physical count'!H:H,'PowerApp_Physical count'!B:B,' General Stock Summary View  '!$P$2,'PowerApp_Physical count'!C:C,' General Stock Summary View  '!C485,'PowerApp_Physical count'!A:A,' General Stock Summary View  '!B485)</f>
        <v>0</v>
      </c>
      <c r="R485" s="4">
        <f t="shared" si="75"/>
        <v>0</v>
      </c>
      <c r="S485" s="5">
        <f>SUMIFS('XBS '!T:T,'XBS '!L:L,' General Stock Summary View  '!B485,'XBS '!H:H,' General Stock Summary View  '!$S$2,'XBS '!C:C,' General Stock Summary View  '!C485)</f>
        <v>0</v>
      </c>
      <c r="T485" s="3">
        <f>SUMIFS('PowerApp_Physical count'!H:H,'PowerApp_Physical count'!B:B,' General Stock Summary View  '!$S$2,'PowerApp_Physical count'!C:C,' General Stock Summary View  '!C485,'PowerApp_Physical count'!A:A,' General Stock Summary View  '!B485)</f>
        <v>0</v>
      </c>
      <c r="U485" s="4">
        <f t="shared" si="76"/>
        <v>0</v>
      </c>
      <c r="V485" s="2">
        <f>SUMIFS('XBS '!T:T,'XBS '!H:H,' General Stock Summary View  '!$V$2,'XBS '!B:B,' General Stock Summary View  '!C485,'XBS '!L:L,' General Stock Summary View  '!B485)</f>
        <v>0</v>
      </c>
      <c r="W485" s="3">
        <f>SUMIFS('PowerApp_Physical count'!H:H,'PowerApp_Physical count'!B:B,' General Stock Summary View  '!$V$2,'PowerApp_Physical count'!C:C,' General Stock Summary View  '!C485,'PowerApp_Physical count'!A:A,' General Stock Summary View  '!B485)</f>
        <v>0</v>
      </c>
      <c r="X485" s="4">
        <f t="shared" si="77"/>
        <v>0</v>
      </c>
      <c r="Y485" s="5">
        <f>SUMIFS('XBS '!T:T,'XBS '!H:H,' General Stock Summary View  '!$Y$2,'XBS '!B:B,' General Stock Summary View  '!C485,'XBS '!L:L,' General Stock Summary View  '!B485)</f>
        <v>0</v>
      </c>
      <c r="Z485" s="3">
        <f>SUMIFS('PowerApp_Physical count'!H:H,'PowerApp_Physical count'!B:B,' General Stock Summary View  '!$Y$2,'PowerApp_Physical count'!C:C,' General Stock Summary View  '!C485,'PowerApp_Physical count'!A:A,' General Stock Summary View  '!B485)</f>
        <v>0</v>
      </c>
      <c r="AA485" s="4">
        <f t="shared" si="78"/>
        <v>0</v>
      </c>
      <c r="AB485" s="5">
        <f>SUMIFS('XBS '!T:T,'XBS '!H:H,' General Stock Summary View  '!$AB$2,'XBS '!B:B,' General Stock Summary View  '!C485,'XBS '!L:L,' General Stock Summary View  '!B485)</f>
        <v>0</v>
      </c>
      <c r="AC485" s="3">
        <f>SUMIFS('PowerApp_Physical count'!H:H,'PowerApp_Physical count'!B:B,' General Stock Summary View  '!$AB$2,'PowerApp_Physical count'!C:C,' General Stock Summary View  '!C485,'PowerApp_Physical count'!A:A,' General Stock Summary View  '!B485)</f>
        <v>0</v>
      </c>
      <c r="AD485" s="6">
        <f t="shared" si="79"/>
        <v>0</v>
      </c>
      <c r="AE485" s="7">
        <f t="shared" si="80"/>
        <v>22.166666666666668</v>
      </c>
      <c r="AF485" s="8">
        <f t="shared" si="81"/>
        <v>0.12833333333333385</v>
      </c>
      <c r="AG485" s="112"/>
    </row>
    <row r="486" spans="2:33" s="113" customFormat="1" ht="61.15">
      <c r="B486" s="117" t="s">
        <v>438</v>
      </c>
      <c r="C486" s="111" t="s">
        <v>197</v>
      </c>
      <c r="D486" s="11">
        <f>SUMIFS('XBS '!T:T,'XBS '!C:C,' General Stock Summary View  '!C486,'XBS '!L:L,' General Stock Summary View  '!B486)</f>
        <v>0</v>
      </c>
      <c r="E486" s="2">
        <f>SUMIFS('Blocked for Processing'!P:P,'Blocked for Processing'!I:I,' General Stock Summary View  '!B486,'Blocked for Processing'!C:C,' General Stock Summary View  '!C486)</f>
        <v>26.828333333333333</v>
      </c>
      <c r="F486" s="122">
        <f t="shared" si="70"/>
        <v>26.828333333333333</v>
      </c>
      <c r="G486" s="148">
        <f>SUMIFS('XBS '!T:T,'XBS '!H:H,' General Stock Summary View  '!$G$2,'XBS '!L:L,' General Stock Summary View  '!B486,'XBS '!C:C,' General Stock Summary View  '!C486)</f>
        <v>0</v>
      </c>
      <c r="H486" s="3">
        <f>SUMIFS('PowerApp_Physical count'!H:H,'PowerApp_Physical count'!B:B,' General Stock Summary View  '!$G$2,'PowerApp_Physical count'!C:C,' General Stock Summary View  '!C486,'PowerApp_Physical count'!A:A,' General Stock Summary View  '!B486)</f>
        <v>26.95</v>
      </c>
      <c r="I486" s="154">
        <f t="shared" si="82"/>
        <v>26.95</v>
      </c>
      <c r="J486" s="11">
        <f>SUMIFS('XBS '!T:T,'XBS '!H:H,' General Stock Summary View  '!$J$2,'XBS '!L:L,' General Stock Summary View  '!B486,'XBS '!C:C,' General Stock Summary View  '!C486)</f>
        <v>0</v>
      </c>
      <c r="K486" s="157">
        <f>SUMIFS('PowerApp_Physical count'!H:H,'PowerApp_Physical count'!B:B,' General Stock Summary View  '!$J$2,'PowerApp_Physical count'!C:C,' General Stock Summary View  '!C486,'PowerApp_Physical count'!A:A,' General Stock Summary View  '!B486)</f>
        <v>0</v>
      </c>
      <c r="L486" s="127">
        <f t="shared" si="71"/>
        <v>0</v>
      </c>
      <c r="M486" s="126">
        <f t="shared" si="72"/>
        <v>26.828333333333333</v>
      </c>
      <c r="N486" s="11">
        <f t="shared" si="73"/>
        <v>26.95</v>
      </c>
      <c r="O486" s="144">
        <f t="shared" si="74"/>
        <v>0.12166666666666615</v>
      </c>
      <c r="P486" s="2">
        <f>SUMIFS('XBS '!T:T,'XBS '!H:H,' General Stock Summary View  '!$P$2,'XBS '!L:L,' General Stock Summary View  '!B486,'XBS '!C:C,' General Stock Summary View  '!C486)</f>
        <v>0</v>
      </c>
      <c r="Q486" s="3">
        <f>SUMIFS('PowerApp_Physical count'!H:H,'PowerApp_Physical count'!B:B,' General Stock Summary View  '!$P$2,'PowerApp_Physical count'!C:C,' General Stock Summary View  '!C486,'PowerApp_Physical count'!A:A,' General Stock Summary View  '!B486)</f>
        <v>0</v>
      </c>
      <c r="R486" s="4">
        <f t="shared" si="75"/>
        <v>0</v>
      </c>
      <c r="S486" s="5">
        <f>SUMIFS('XBS '!T:T,'XBS '!L:L,' General Stock Summary View  '!B486,'XBS '!H:H,' General Stock Summary View  '!$S$2,'XBS '!C:C,' General Stock Summary View  '!C486)</f>
        <v>0</v>
      </c>
      <c r="T486" s="3">
        <f>SUMIFS('PowerApp_Physical count'!H:H,'PowerApp_Physical count'!B:B,' General Stock Summary View  '!$S$2,'PowerApp_Physical count'!C:C,' General Stock Summary View  '!C486,'PowerApp_Physical count'!A:A,' General Stock Summary View  '!B486)</f>
        <v>0</v>
      </c>
      <c r="U486" s="4">
        <f t="shared" si="76"/>
        <v>0</v>
      </c>
      <c r="V486" s="2">
        <f>SUMIFS('XBS '!T:T,'XBS '!H:H,' General Stock Summary View  '!$V$2,'XBS '!B:B,' General Stock Summary View  '!C486,'XBS '!L:L,' General Stock Summary View  '!B486)</f>
        <v>0</v>
      </c>
      <c r="W486" s="3">
        <f>SUMIFS('PowerApp_Physical count'!H:H,'PowerApp_Physical count'!B:B,' General Stock Summary View  '!$V$2,'PowerApp_Physical count'!C:C,' General Stock Summary View  '!C486,'PowerApp_Physical count'!A:A,' General Stock Summary View  '!B486)</f>
        <v>0</v>
      </c>
      <c r="X486" s="4">
        <f t="shared" si="77"/>
        <v>0</v>
      </c>
      <c r="Y486" s="5">
        <f>SUMIFS('XBS '!T:T,'XBS '!H:H,' General Stock Summary View  '!$Y$2,'XBS '!B:B,' General Stock Summary View  '!C486,'XBS '!L:L,' General Stock Summary View  '!B486)</f>
        <v>0</v>
      </c>
      <c r="Z486" s="3">
        <f>SUMIFS('PowerApp_Physical count'!H:H,'PowerApp_Physical count'!B:B,' General Stock Summary View  '!$Y$2,'PowerApp_Physical count'!C:C,' General Stock Summary View  '!C486,'PowerApp_Physical count'!A:A,' General Stock Summary View  '!B486)</f>
        <v>0</v>
      </c>
      <c r="AA486" s="4">
        <f t="shared" si="78"/>
        <v>0</v>
      </c>
      <c r="AB486" s="5">
        <f>SUMIFS('XBS '!T:T,'XBS '!H:H,' General Stock Summary View  '!$AB$2,'XBS '!B:B,' General Stock Summary View  '!C486,'XBS '!L:L,' General Stock Summary View  '!B486)</f>
        <v>0</v>
      </c>
      <c r="AC486" s="3">
        <f>SUMIFS('PowerApp_Physical count'!H:H,'PowerApp_Physical count'!B:B,' General Stock Summary View  '!$AB$2,'PowerApp_Physical count'!C:C,' General Stock Summary View  '!C486,'PowerApp_Physical count'!A:A,' General Stock Summary View  '!B486)</f>
        <v>0</v>
      </c>
      <c r="AD486" s="6">
        <f t="shared" si="79"/>
        <v>0</v>
      </c>
      <c r="AE486" s="7">
        <f t="shared" si="80"/>
        <v>26.95</v>
      </c>
      <c r="AF486" s="8">
        <f t="shared" si="81"/>
        <v>0.12166666666666615</v>
      </c>
      <c r="AG486" s="112"/>
    </row>
    <row r="487" spans="2:33" s="113" customFormat="1" ht="61.15">
      <c r="B487" s="117" t="s">
        <v>439</v>
      </c>
      <c r="C487" s="111" t="s">
        <v>197</v>
      </c>
      <c r="D487" s="11">
        <f>SUMIFS('XBS '!T:T,'XBS '!C:C,' General Stock Summary View  '!C487,'XBS '!L:L,' General Stock Summary View  '!B487)</f>
        <v>0</v>
      </c>
      <c r="E487" s="2">
        <f>SUMIFS('Blocked for Processing'!P:P,'Blocked for Processing'!I:I,' General Stock Summary View  '!B487,'Blocked for Processing'!C:C,' General Stock Summary View  '!C487)</f>
        <v>13.623333333333333</v>
      </c>
      <c r="F487" s="122">
        <f t="shared" si="70"/>
        <v>13.623333333333333</v>
      </c>
      <c r="G487" s="148">
        <f>SUMIFS('XBS '!T:T,'XBS '!H:H,' General Stock Summary View  '!$G$2,'XBS '!L:L,' General Stock Summary View  '!B487,'XBS '!C:C,' General Stock Summary View  '!C487)</f>
        <v>0</v>
      </c>
      <c r="H487" s="3">
        <f>SUMIFS('PowerApp_Physical count'!H:H,'PowerApp_Physical count'!B:B,' General Stock Summary View  '!$G$2,'PowerApp_Physical count'!C:C,' General Stock Summary View  '!C487,'PowerApp_Physical count'!A:A,' General Stock Summary View  '!B487)</f>
        <v>13.7</v>
      </c>
      <c r="I487" s="154">
        <f t="shared" si="82"/>
        <v>13.7</v>
      </c>
      <c r="J487" s="11">
        <f>SUMIFS('XBS '!T:T,'XBS '!H:H,' General Stock Summary View  '!$J$2,'XBS '!L:L,' General Stock Summary View  '!B487,'XBS '!C:C,' General Stock Summary View  '!C487)</f>
        <v>0</v>
      </c>
      <c r="K487" s="157">
        <f>SUMIFS('PowerApp_Physical count'!H:H,'PowerApp_Physical count'!B:B,' General Stock Summary View  '!$J$2,'PowerApp_Physical count'!C:C,' General Stock Summary View  '!C487,'PowerApp_Physical count'!A:A,' General Stock Summary View  '!B487)</f>
        <v>0</v>
      </c>
      <c r="L487" s="127">
        <f t="shared" si="71"/>
        <v>0</v>
      </c>
      <c r="M487" s="126">
        <f t="shared" si="72"/>
        <v>13.623333333333333</v>
      </c>
      <c r="N487" s="11">
        <f t="shared" si="73"/>
        <v>13.7</v>
      </c>
      <c r="O487" s="144">
        <f t="shared" si="74"/>
        <v>7.6666666666666217E-2</v>
      </c>
      <c r="P487" s="2">
        <f>SUMIFS('XBS '!T:T,'XBS '!H:H,' General Stock Summary View  '!$P$2,'XBS '!L:L,' General Stock Summary View  '!B487,'XBS '!C:C,' General Stock Summary View  '!C487)</f>
        <v>0</v>
      </c>
      <c r="Q487" s="3">
        <f>SUMIFS('PowerApp_Physical count'!H:H,'PowerApp_Physical count'!B:B,' General Stock Summary View  '!$P$2,'PowerApp_Physical count'!C:C,' General Stock Summary View  '!C487,'PowerApp_Physical count'!A:A,' General Stock Summary View  '!B487)</f>
        <v>0</v>
      </c>
      <c r="R487" s="4">
        <f t="shared" si="75"/>
        <v>0</v>
      </c>
      <c r="S487" s="5">
        <f>SUMIFS('XBS '!T:T,'XBS '!L:L,' General Stock Summary View  '!B487,'XBS '!H:H,' General Stock Summary View  '!$S$2,'XBS '!C:C,' General Stock Summary View  '!C487)</f>
        <v>0</v>
      </c>
      <c r="T487" s="3">
        <f>SUMIFS('PowerApp_Physical count'!H:H,'PowerApp_Physical count'!B:B,' General Stock Summary View  '!$S$2,'PowerApp_Physical count'!C:C,' General Stock Summary View  '!C487,'PowerApp_Physical count'!A:A,' General Stock Summary View  '!B487)</f>
        <v>0</v>
      </c>
      <c r="U487" s="4">
        <f t="shared" si="76"/>
        <v>0</v>
      </c>
      <c r="V487" s="2">
        <f>SUMIFS('XBS '!T:T,'XBS '!H:H,' General Stock Summary View  '!$V$2,'XBS '!B:B,' General Stock Summary View  '!C487,'XBS '!L:L,' General Stock Summary View  '!B487)</f>
        <v>0</v>
      </c>
      <c r="W487" s="3">
        <f>SUMIFS('PowerApp_Physical count'!H:H,'PowerApp_Physical count'!B:B,' General Stock Summary View  '!$V$2,'PowerApp_Physical count'!C:C,' General Stock Summary View  '!C487,'PowerApp_Physical count'!A:A,' General Stock Summary View  '!B487)</f>
        <v>0</v>
      </c>
      <c r="X487" s="4">
        <f t="shared" si="77"/>
        <v>0</v>
      </c>
      <c r="Y487" s="5">
        <f>SUMIFS('XBS '!T:T,'XBS '!H:H,' General Stock Summary View  '!$Y$2,'XBS '!B:B,' General Stock Summary View  '!C487,'XBS '!L:L,' General Stock Summary View  '!B487)</f>
        <v>0</v>
      </c>
      <c r="Z487" s="3">
        <f>SUMIFS('PowerApp_Physical count'!H:H,'PowerApp_Physical count'!B:B,' General Stock Summary View  '!$Y$2,'PowerApp_Physical count'!C:C,' General Stock Summary View  '!C487,'PowerApp_Physical count'!A:A,' General Stock Summary View  '!B487)</f>
        <v>0</v>
      </c>
      <c r="AA487" s="4">
        <f t="shared" si="78"/>
        <v>0</v>
      </c>
      <c r="AB487" s="5">
        <f>SUMIFS('XBS '!T:T,'XBS '!H:H,' General Stock Summary View  '!$AB$2,'XBS '!B:B,' General Stock Summary View  '!C487,'XBS '!L:L,' General Stock Summary View  '!B487)</f>
        <v>0</v>
      </c>
      <c r="AC487" s="3">
        <f>SUMIFS('PowerApp_Physical count'!H:H,'PowerApp_Physical count'!B:B,' General Stock Summary View  '!$AB$2,'PowerApp_Physical count'!C:C,' General Stock Summary View  '!C487,'PowerApp_Physical count'!A:A,' General Stock Summary View  '!B487)</f>
        <v>0</v>
      </c>
      <c r="AD487" s="6">
        <f t="shared" si="79"/>
        <v>0</v>
      </c>
      <c r="AE487" s="7">
        <f t="shared" si="80"/>
        <v>13.7</v>
      </c>
      <c r="AF487" s="8">
        <f t="shared" si="81"/>
        <v>7.6666666666666217E-2</v>
      </c>
      <c r="AG487" s="112"/>
    </row>
    <row r="488" spans="2:33" s="113" customFormat="1" ht="61.15">
      <c r="B488" s="117" t="s">
        <v>440</v>
      </c>
      <c r="C488" s="111" t="s">
        <v>197</v>
      </c>
      <c r="D488" s="11">
        <f>SUMIFS('XBS '!T:T,'XBS '!C:C,' General Stock Summary View  '!C488,'XBS '!L:L,' General Stock Summary View  '!B488)</f>
        <v>0</v>
      </c>
      <c r="E488" s="2">
        <f>SUMIFS('Blocked for Processing'!P:P,'Blocked for Processing'!I:I,' General Stock Summary View  '!B488,'Blocked for Processing'!C:C,' General Stock Summary View  '!C488)</f>
        <v>10.301666666666668</v>
      </c>
      <c r="F488" s="122">
        <f t="shared" si="70"/>
        <v>10.301666666666668</v>
      </c>
      <c r="G488" s="148">
        <f>SUMIFS('XBS '!T:T,'XBS '!H:H,' General Stock Summary View  '!$G$2,'XBS '!L:L,' General Stock Summary View  '!B488,'XBS '!C:C,' General Stock Summary View  '!C488)</f>
        <v>0</v>
      </c>
      <c r="H488" s="3">
        <f>SUMIFS('PowerApp_Physical count'!H:H,'PowerApp_Physical count'!B:B,' General Stock Summary View  '!$G$2,'PowerApp_Physical count'!C:C,' General Stock Summary View  '!C488,'PowerApp_Physical count'!A:A,' General Stock Summary View  '!B488)</f>
        <v>10.35</v>
      </c>
      <c r="I488" s="154">
        <f t="shared" si="82"/>
        <v>10.35</v>
      </c>
      <c r="J488" s="11">
        <f>SUMIFS('XBS '!T:T,'XBS '!H:H,' General Stock Summary View  '!$J$2,'XBS '!L:L,' General Stock Summary View  '!B488,'XBS '!C:C,' General Stock Summary View  '!C488)</f>
        <v>0</v>
      </c>
      <c r="K488" s="157">
        <f>SUMIFS('PowerApp_Physical count'!H:H,'PowerApp_Physical count'!B:B,' General Stock Summary View  '!$J$2,'PowerApp_Physical count'!C:C,' General Stock Summary View  '!C488,'PowerApp_Physical count'!A:A,' General Stock Summary View  '!B488)</f>
        <v>0</v>
      </c>
      <c r="L488" s="127">
        <f t="shared" si="71"/>
        <v>0</v>
      </c>
      <c r="M488" s="126">
        <f t="shared" si="72"/>
        <v>10.301666666666668</v>
      </c>
      <c r="N488" s="11">
        <f t="shared" si="73"/>
        <v>10.35</v>
      </c>
      <c r="O488" s="144">
        <f t="shared" si="74"/>
        <v>4.8333333333332007E-2</v>
      </c>
      <c r="P488" s="2">
        <f>SUMIFS('XBS '!T:T,'XBS '!H:H,' General Stock Summary View  '!$P$2,'XBS '!L:L,' General Stock Summary View  '!B488,'XBS '!C:C,' General Stock Summary View  '!C488)</f>
        <v>0</v>
      </c>
      <c r="Q488" s="3">
        <f>SUMIFS('PowerApp_Physical count'!H:H,'PowerApp_Physical count'!B:B,' General Stock Summary View  '!$P$2,'PowerApp_Physical count'!C:C,' General Stock Summary View  '!C488,'PowerApp_Physical count'!A:A,' General Stock Summary View  '!B488)</f>
        <v>0</v>
      </c>
      <c r="R488" s="4">
        <f t="shared" si="75"/>
        <v>0</v>
      </c>
      <c r="S488" s="5">
        <f>SUMIFS('XBS '!T:T,'XBS '!L:L,' General Stock Summary View  '!B488,'XBS '!H:H,' General Stock Summary View  '!$S$2,'XBS '!C:C,' General Stock Summary View  '!C488)</f>
        <v>0</v>
      </c>
      <c r="T488" s="3">
        <f>SUMIFS('PowerApp_Physical count'!H:H,'PowerApp_Physical count'!B:B,' General Stock Summary View  '!$S$2,'PowerApp_Physical count'!C:C,' General Stock Summary View  '!C488,'PowerApp_Physical count'!A:A,' General Stock Summary View  '!B488)</f>
        <v>0</v>
      </c>
      <c r="U488" s="4">
        <f t="shared" si="76"/>
        <v>0</v>
      </c>
      <c r="V488" s="2">
        <f>SUMIFS('XBS '!T:T,'XBS '!H:H,' General Stock Summary View  '!$V$2,'XBS '!B:B,' General Stock Summary View  '!C488,'XBS '!L:L,' General Stock Summary View  '!B488)</f>
        <v>0</v>
      </c>
      <c r="W488" s="3">
        <f>SUMIFS('PowerApp_Physical count'!H:H,'PowerApp_Physical count'!B:B,' General Stock Summary View  '!$V$2,'PowerApp_Physical count'!C:C,' General Stock Summary View  '!C488,'PowerApp_Physical count'!A:A,' General Stock Summary View  '!B488)</f>
        <v>0</v>
      </c>
      <c r="X488" s="4">
        <f t="shared" si="77"/>
        <v>0</v>
      </c>
      <c r="Y488" s="5">
        <f>SUMIFS('XBS '!T:T,'XBS '!H:H,' General Stock Summary View  '!$Y$2,'XBS '!B:B,' General Stock Summary View  '!C488,'XBS '!L:L,' General Stock Summary View  '!B488)</f>
        <v>0</v>
      </c>
      <c r="Z488" s="3">
        <f>SUMIFS('PowerApp_Physical count'!H:H,'PowerApp_Physical count'!B:B,' General Stock Summary View  '!$Y$2,'PowerApp_Physical count'!C:C,' General Stock Summary View  '!C488,'PowerApp_Physical count'!A:A,' General Stock Summary View  '!B488)</f>
        <v>0</v>
      </c>
      <c r="AA488" s="4">
        <f t="shared" si="78"/>
        <v>0</v>
      </c>
      <c r="AB488" s="5">
        <f>SUMIFS('XBS '!T:T,'XBS '!H:H,' General Stock Summary View  '!$AB$2,'XBS '!B:B,' General Stock Summary View  '!C488,'XBS '!L:L,' General Stock Summary View  '!B488)</f>
        <v>0</v>
      </c>
      <c r="AC488" s="3">
        <f>SUMIFS('PowerApp_Physical count'!H:H,'PowerApp_Physical count'!B:B,' General Stock Summary View  '!$AB$2,'PowerApp_Physical count'!C:C,' General Stock Summary View  '!C488,'PowerApp_Physical count'!A:A,' General Stock Summary View  '!B488)</f>
        <v>0</v>
      </c>
      <c r="AD488" s="6">
        <f t="shared" si="79"/>
        <v>0</v>
      </c>
      <c r="AE488" s="7">
        <f t="shared" si="80"/>
        <v>10.35</v>
      </c>
      <c r="AF488" s="8">
        <f t="shared" si="81"/>
        <v>4.8333333333332007E-2</v>
      </c>
      <c r="AG488" s="112"/>
    </row>
    <row r="489" spans="2:33" s="113" customFormat="1" ht="61.15">
      <c r="B489" s="117" t="s">
        <v>441</v>
      </c>
      <c r="C489" s="111" t="s">
        <v>197</v>
      </c>
      <c r="D489" s="11">
        <f>SUMIFS('XBS '!T:T,'XBS '!C:C,' General Stock Summary View  '!C489,'XBS '!L:L,' General Stock Summary View  '!B489)</f>
        <v>0</v>
      </c>
      <c r="E489" s="2">
        <f>SUMIFS('Blocked for Processing'!P:P,'Blocked for Processing'!I:I,' General Stock Summary View  '!B489,'Blocked for Processing'!C:C,' General Stock Summary View  '!C489)</f>
        <v>15.993333333333334</v>
      </c>
      <c r="F489" s="122">
        <f t="shared" si="70"/>
        <v>15.993333333333334</v>
      </c>
      <c r="G489" s="148">
        <f>SUMIFS('XBS '!T:T,'XBS '!H:H,' General Stock Summary View  '!$G$2,'XBS '!L:L,' General Stock Summary View  '!B489,'XBS '!C:C,' General Stock Summary View  '!C489)</f>
        <v>0</v>
      </c>
      <c r="H489" s="3">
        <f>SUMIFS('PowerApp_Physical count'!H:H,'PowerApp_Physical count'!B:B,' General Stock Summary View  '!$G$2,'PowerApp_Physical count'!C:C,' General Stock Summary View  '!C489,'PowerApp_Physical count'!A:A,' General Stock Summary View  '!B489)</f>
        <v>16.133333333333333</v>
      </c>
      <c r="I489" s="154">
        <f t="shared" si="82"/>
        <v>16.133333333333333</v>
      </c>
      <c r="J489" s="11">
        <f>SUMIFS('XBS '!T:T,'XBS '!H:H,' General Stock Summary View  '!$J$2,'XBS '!L:L,' General Stock Summary View  '!B489,'XBS '!C:C,' General Stock Summary View  '!C489)</f>
        <v>0</v>
      </c>
      <c r="K489" s="157">
        <f>SUMIFS('PowerApp_Physical count'!H:H,'PowerApp_Physical count'!B:B,' General Stock Summary View  '!$J$2,'PowerApp_Physical count'!C:C,' General Stock Summary View  '!C489,'PowerApp_Physical count'!A:A,' General Stock Summary View  '!B489)</f>
        <v>0</v>
      </c>
      <c r="L489" s="127">
        <f t="shared" si="71"/>
        <v>0</v>
      </c>
      <c r="M489" s="126">
        <f t="shared" si="72"/>
        <v>15.993333333333334</v>
      </c>
      <c r="N489" s="11">
        <f t="shared" si="73"/>
        <v>16.133333333333333</v>
      </c>
      <c r="O489" s="144">
        <f t="shared" si="74"/>
        <v>0.13999999999999879</v>
      </c>
      <c r="P489" s="2">
        <f>SUMIFS('XBS '!T:T,'XBS '!H:H,' General Stock Summary View  '!$P$2,'XBS '!L:L,' General Stock Summary View  '!B489,'XBS '!C:C,' General Stock Summary View  '!C489)</f>
        <v>0</v>
      </c>
      <c r="Q489" s="3">
        <f>SUMIFS('PowerApp_Physical count'!H:H,'PowerApp_Physical count'!B:B,' General Stock Summary View  '!$P$2,'PowerApp_Physical count'!C:C,' General Stock Summary View  '!C489,'PowerApp_Physical count'!A:A,' General Stock Summary View  '!B489)</f>
        <v>0</v>
      </c>
      <c r="R489" s="4">
        <f t="shared" si="75"/>
        <v>0</v>
      </c>
      <c r="S489" s="5">
        <f>SUMIFS('XBS '!T:T,'XBS '!L:L,' General Stock Summary View  '!B489,'XBS '!H:H,' General Stock Summary View  '!$S$2,'XBS '!C:C,' General Stock Summary View  '!C489)</f>
        <v>0</v>
      </c>
      <c r="T489" s="3">
        <f>SUMIFS('PowerApp_Physical count'!H:H,'PowerApp_Physical count'!B:B,' General Stock Summary View  '!$S$2,'PowerApp_Physical count'!C:C,' General Stock Summary View  '!C489,'PowerApp_Physical count'!A:A,' General Stock Summary View  '!B489)</f>
        <v>0</v>
      </c>
      <c r="U489" s="4">
        <f t="shared" si="76"/>
        <v>0</v>
      </c>
      <c r="V489" s="2">
        <f>SUMIFS('XBS '!T:T,'XBS '!H:H,' General Stock Summary View  '!$V$2,'XBS '!B:B,' General Stock Summary View  '!C489,'XBS '!L:L,' General Stock Summary View  '!B489)</f>
        <v>0</v>
      </c>
      <c r="W489" s="3">
        <f>SUMIFS('PowerApp_Physical count'!H:H,'PowerApp_Physical count'!B:B,' General Stock Summary View  '!$V$2,'PowerApp_Physical count'!C:C,' General Stock Summary View  '!C489,'PowerApp_Physical count'!A:A,' General Stock Summary View  '!B489)</f>
        <v>0</v>
      </c>
      <c r="X489" s="4">
        <f t="shared" si="77"/>
        <v>0</v>
      </c>
      <c r="Y489" s="5">
        <f>SUMIFS('XBS '!T:T,'XBS '!H:H,' General Stock Summary View  '!$Y$2,'XBS '!B:B,' General Stock Summary View  '!C489,'XBS '!L:L,' General Stock Summary View  '!B489)</f>
        <v>0</v>
      </c>
      <c r="Z489" s="3">
        <f>SUMIFS('PowerApp_Physical count'!H:H,'PowerApp_Physical count'!B:B,' General Stock Summary View  '!$Y$2,'PowerApp_Physical count'!C:C,' General Stock Summary View  '!C489,'PowerApp_Physical count'!A:A,' General Stock Summary View  '!B489)</f>
        <v>0</v>
      </c>
      <c r="AA489" s="4">
        <f t="shared" si="78"/>
        <v>0</v>
      </c>
      <c r="AB489" s="5">
        <f>SUMIFS('XBS '!T:T,'XBS '!H:H,' General Stock Summary View  '!$AB$2,'XBS '!B:B,' General Stock Summary View  '!C489,'XBS '!L:L,' General Stock Summary View  '!B489)</f>
        <v>0</v>
      </c>
      <c r="AC489" s="3">
        <f>SUMIFS('PowerApp_Physical count'!H:H,'PowerApp_Physical count'!B:B,' General Stock Summary View  '!$AB$2,'PowerApp_Physical count'!C:C,' General Stock Summary View  '!C489,'PowerApp_Physical count'!A:A,' General Stock Summary View  '!B489)</f>
        <v>0</v>
      </c>
      <c r="AD489" s="6">
        <f t="shared" si="79"/>
        <v>0</v>
      </c>
      <c r="AE489" s="7">
        <f t="shared" si="80"/>
        <v>16.133333333333333</v>
      </c>
      <c r="AF489" s="8">
        <f t="shared" si="81"/>
        <v>0.13999999999999879</v>
      </c>
      <c r="AG489" s="112"/>
    </row>
    <row r="490" spans="2:33" s="113" customFormat="1" ht="61.15">
      <c r="B490" s="117" t="s">
        <v>442</v>
      </c>
      <c r="C490" s="111" t="s">
        <v>197</v>
      </c>
      <c r="D490" s="11">
        <f>SUMIFS('XBS '!T:T,'XBS '!C:C,' General Stock Summary View  '!C490,'XBS '!L:L,' General Stock Summary View  '!B490)</f>
        <v>0</v>
      </c>
      <c r="E490" s="2">
        <f>SUMIFS('Blocked for Processing'!P:P,'Blocked for Processing'!I:I,' General Stock Summary View  '!B490,'Blocked for Processing'!C:C,' General Stock Summary View  '!C490)</f>
        <v>8.0299999999999994</v>
      </c>
      <c r="F490" s="122">
        <f t="shared" si="70"/>
        <v>8.0299999999999994</v>
      </c>
      <c r="G490" s="148">
        <f>SUMIFS('XBS '!T:T,'XBS '!H:H,' General Stock Summary View  '!$G$2,'XBS '!L:L,' General Stock Summary View  '!B490,'XBS '!C:C,' General Stock Summary View  '!C490)</f>
        <v>0</v>
      </c>
      <c r="H490" s="3">
        <f>SUMIFS('PowerApp_Physical count'!H:H,'PowerApp_Physical count'!B:B,' General Stock Summary View  '!$G$2,'PowerApp_Physical count'!C:C,' General Stock Summary View  '!C490,'PowerApp_Physical count'!A:A,' General Stock Summary View  '!B490)</f>
        <v>8.0666666666666664</v>
      </c>
      <c r="I490" s="154">
        <f t="shared" si="82"/>
        <v>8.0666666666666664</v>
      </c>
      <c r="J490" s="11">
        <f>SUMIFS('XBS '!T:T,'XBS '!H:H,' General Stock Summary View  '!$J$2,'XBS '!L:L,' General Stock Summary View  '!B490,'XBS '!C:C,' General Stock Summary View  '!C490)</f>
        <v>0</v>
      </c>
      <c r="K490" s="157">
        <f>SUMIFS('PowerApp_Physical count'!H:H,'PowerApp_Physical count'!B:B,' General Stock Summary View  '!$J$2,'PowerApp_Physical count'!C:C,' General Stock Summary View  '!C490,'PowerApp_Physical count'!A:A,' General Stock Summary View  '!B490)</f>
        <v>0</v>
      </c>
      <c r="L490" s="127">
        <f t="shared" si="71"/>
        <v>0</v>
      </c>
      <c r="M490" s="126">
        <f t="shared" si="72"/>
        <v>8.0299999999999994</v>
      </c>
      <c r="N490" s="11">
        <f t="shared" si="73"/>
        <v>8.0666666666666664</v>
      </c>
      <c r="O490" s="144">
        <f t="shared" si="74"/>
        <v>3.6666666666667069E-2</v>
      </c>
      <c r="P490" s="2">
        <f>SUMIFS('XBS '!T:T,'XBS '!H:H,' General Stock Summary View  '!$P$2,'XBS '!L:L,' General Stock Summary View  '!B490,'XBS '!C:C,' General Stock Summary View  '!C490)</f>
        <v>0</v>
      </c>
      <c r="Q490" s="3">
        <f>SUMIFS('PowerApp_Physical count'!H:H,'PowerApp_Physical count'!B:B,' General Stock Summary View  '!$P$2,'PowerApp_Physical count'!C:C,' General Stock Summary View  '!C490,'PowerApp_Physical count'!A:A,' General Stock Summary View  '!B490)</f>
        <v>0</v>
      </c>
      <c r="R490" s="4">
        <f t="shared" si="75"/>
        <v>0</v>
      </c>
      <c r="S490" s="5">
        <f>SUMIFS('XBS '!T:T,'XBS '!L:L,' General Stock Summary View  '!B490,'XBS '!H:H,' General Stock Summary View  '!$S$2,'XBS '!C:C,' General Stock Summary View  '!C490)</f>
        <v>0</v>
      </c>
      <c r="T490" s="3">
        <f>SUMIFS('PowerApp_Physical count'!H:H,'PowerApp_Physical count'!B:B,' General Stock Summary View  '!$S$2,'PowerApp_Physical count'!C:C,' General Stock Summary View  '!C490,'PowerApp_Physical count'!A:A,' General Stock Summary View  '!B490)</f>
        <v>0</v>
      </c>
      <c r="U490" s="4">
        <f t="shared" si="76"/>
        <v>0</v>
      </c>
      <c r="V490" s="2">
        <f>SUMIFS('XBS '!T:T,'XBS '!H:H,' General Stock Summary View  '!$V$2,'XBS '!B:B,' General Stock Summary View  '!C490,'XBS '!L:L,' General Stock Summary View  '!B490)</f>
        <v>0</v>
      </c>
      <c r="W490" s="3">
        <f>SUMIFS('PowerApp_Physical count'!H:H,'PowerApp_Physical count'!B:B,' General Stock Summary View  '!$V$2,'PowerApp_Physical count'!C:C,' General Stock Summary View  '!C490,'PowerApp_Physical count'!A:A,' General Stock Summary View  '!B490)</f>
        <v>0</v>
      </c>
      <c r="X490" s="4">
        <f t="shared" si="77"/>
        <v>0</v>
      </c>
      <c r="Y490" s="5">
        <f>SUMIFS('XBS '!T:T,'XBS '!H:H,' General Stock Summary View  '!$Y$2,'XBS '!B:B,' General Stock Summary View  '!C490,'XBS '!L:L,' General Stock Summary View  '!B490)</f>
        <v>0</v>
      </c>
      <c r="Z490" s="3">
        <f>SUMIFS('PowerApp_Physical count'!H:H,'PowerApp_Physical count'!B:B,' General Stock Summary View  '!$Y$2,'PowerApp_Physical count'!C:C,' General Stock Summary View  '!C490,'PowerApp_Physical count'!A:A,' General Stock Summary View  '!B490)</f>
        <v>0</v>
      </c>
      <c r="AA490" s="4">
        <f t="shared" si="78"/>
        <v>0</v>
      </c>
      <c r="AB490" s="5">
        <f>SUMIFS('XBS '!T:T,'XBS '!H:H,' General Stock Summary View  '!$AB$2,'XBS '!B:B,' General Stock Summary View  '!C490,'XBS '!L:L,' General Stock Summary View  '!B490)</f>
        <v>0</v>
      </c>
      <c r="AC490" s="3">
        <f>SUMIFS('PowerApp_Physical count'!H:H,'PowerApp_Physical count'!B:B,' General Stock Summary View  '!$AB$2,'PowerApp_Physical count'!C:C,' General Stock Summary View  '!C490,'PowerApp_Physical count'!A:A,' General Stock Summary View  '!B490)</f>
        <v>0</v>
      </c>
      <c r="AD490" s="6">
        <f t="shared" si="79"/>
        <v>0</v>
      </c>
      <c r="AE490" s="7">
        <f t="shared" si="80"/>
        <v>8.0666666666666664</v>
      </c>
      <c r="AF490" s="8">
        <f t="shared" si="81"/>
        <v>3.6666666666667069E-2</v>
      </c>
      <c r="AG490" s="112"/>
    </row>
    <row r="491" spans="2:33" s="113" customFormat="1" ht="61.15">
      <c r="B491" s="117" t="s">
        <v>443</v>
      </c>
      <c r="C491" s="111" t="s">
        <v>197</v>
      </c>
      <c r="D491" s="11">
        <f>SUMIFS('XBS '!T:T,'XBS '!C:C,' General Stock Summary View  '!C491,'XBS '!L:L,' General Stock Summary View  '!B491)</f>
        <v>0</v>
      </c>
      <c r="E491" s="2">
        <f>SUMIFS('Blocked for Processing'!P:P,'Blocked for Processing'!I:I,' General Stock Summary View  '!B491,'Blocked for Processing'!C:C,' General Stock Summary View  '!C491)</f>
        <v>6.5116666666666667</v>
      </c>
      <c r="F491" s="122">
        <f t="shared" si="70"/>
        <v>6.5116666666666667</v>
      </c>
      <c r="G491" s="148">
        <f>SUMIFS('XBS '!T:T,'XBS '!H:H,' General Stock Summary View  '!$G$2,'XBS '!L:L,' General Stock Summary View  '!B491,'XBS '!C:C,' General Stock Summary View  '!C491)</f>
        <v>0</v>
      </c>
      <c r="H491" s="3">
        <f>SUMIFS('PowerApp_Physical count'!H:H,'PowerApp_Physical count'!B:B,' General Stock Summary View  '!$G$2,'PowerApp_Physical count'!C:C,' General Stock Summary View  '!C491,'PowerApp_Physical count'!A:A,' General Stock Summary View  '!B491)</f>
        <v>6.65</v>
      </c>
      <c r="I491" s="154">
        <f t="shared" si="82"/>
        <v>6.65</v>
      </c>
      <c r="J491" s="11">
        <f>SUMIFS('XBS '!T:T,'XBS '!H:H,' General Stock Summary View  '!$J$2,'XBS '!L:L,' General Stock Summary View  '!B491,'XBS '!C:C,' General Stock Summary View  '!C491)</f>
        <v>0</v>
      </c>
      <c r="K491" s="157">
        <f>SUMIFS('PowerApp_Physical count'!H:H,'PowerApp_Physical count'!B:B,' General Stock Summary View  '!$J$2,'PowerApp_Physical count'!C:C,' General Stock Summary View  '!C491,'PowerApp_Physical count'!A:A,' General Stock Summary View  '!B491)</f>
        <v>0</v>
      </c>
      <c r="L491" s="127">
        <f t="shared" si="71"/>
        <v>0</v>
      </c>
      <c r="M491" s="126">
        <f t="shared" si="72"/>
        <v>6.5116666666666667</v>
      </c>
      <c r="N491" s="11">
        <f t="shared" si="73"/>
        <v>6.65</v>
      </c>
      <c r="O491" s="144">
        <f t="shared" si="74"/>
        <v>0.13833333333333364</v>
      </c>
      <c r="P491" s="2">
        <f>SUMIFS('XBS '!T:T,'XBS '!H:H,' General Stock Summary View  '!$P$2,'XBS '!L:L,' General Stock Summary View  '!B491,'XBS '!C:C,' General Stock Summary View  '!C491)</f>
        <v>0</v>
      </c>
      <c r="Q491" s="3">
        <f>SUMIFS('PowerApp_Physical count'!H:H,'PowerApp_Physical count'!B:B,' General Stock Summary View  '!$P$2,'PowerApp_Physical count'!C:C,' General Stock Summary View  '!C491,'PowerApp_Physical count'!A:A,' General Stock Summary View  '!B491)</f>
        <v>0</v>
      </c>
      <c r="R491" s="4">
        <f t="shared" si="75"/>
        <v>0</v>
      </c>
      <c r="S491" s="5">
        <f>SUMIFS('XBS '!T:T,'XBS '!L:L,' General Stock Summary View  '!B491,'XBS '!H:H,' General Stock Summary View  '!$S$2,'XBS '!C:C,' General Stock Summary View  '!C491)</f>
        <v>0</v>
      </c>
      <c r="T491" s="3">
        <f>SUMIFS('PowerApp_Physical count'!H:H,'PowerApp_Physical count'!B:B,' General Stock Summary View  '!$S$2,'PowerApp_Physical count'!C:C,' General Stock Summary View  '!C491,'PowerApp_Physical count'!A:A,' General Stock Summary View  '!B491)</f>
        <v>0</v>
      </c>
      <c r="U491" s="4">
        <f t="shared" si="76"/>
        <v>0</v>
      </c>
      <c r="V491" s="2">
        <f>SUMIFS('XBS '!T:T,'XBS '!H:H,' General Stock Summary View  '!$V$2,'XBS '!B:B,' General Stock Summary View  '!C491,'XBS '!L:L,' General Stock Summary View  '!B491)</f>
        <v>0</v>
      </c>
      <c r="W491" s="3">
        <f>SUMIFS('PowerApp_Physical count'!H:H,'PowerApp_Physical count'!B:B,' General Stock Summary View  '!$V$2,'PowerApp_Physical count'!C:C,' General Stock Summary View  '!C491,'PowerApp_Physical count'!A:A,' General Stock Summary View  '!B491)</f>
        <v>0</v>
      </c>
      <c r="X491" s="4">
        <f t="shared" si="77"/>
        <v>0</v>
      </c>
      <c r="Y491" s="5">
        <f>SUMIFS('XBS '!T:T,'XBS '!H:H,' General Stock Summary View  '!$Y$2,'XBS '!B:B,' General Stock Summary View  '!C491,'XBS '!L:L,' General Stock Summary View  '!B491)</f>
        <v>0</v>
      </c>
      <c r="Z491" s="3">
        <f>SUMIFS('PowerApp_Physical count'!H:H,'PowerApp_Physical count'!B:B,' General Stock Summary View  '!$Y$2,'PowerApp_Physical count'!C:C,' General Stock Summary View  '!C491,'PowerApp_Physical count'!A:A,' General Stock Summary View  '!B491)</f>
        <v>0</v>
      </c>
      <c r="AA491" s="4">
        <f t="shared" si="78"/>
        <v>0</v>
      </c>
      <c r="AB491" s="5">
        <f>SUMIFS('XBS '!T:T,'XBS '!H:H,' General Stock Summary View  '!$AB$2,'XBS '!B:B,' General Stock Summary View  '!C491,'XBS '!L:L,' General Stock Summary View  '!B491)</f>
        <v>0</v>
      </c>
      <c r="AC491" s="3">
        <f>SUMIFS('PowerApp_Physical count'!H:H,'PowerApp_Physical count'!B:B,' General Stock Summary View  '!$AB$2,'PowerApp_Physical count'!C:C,' General Stock Summary View  '!C491,'PowerApp_Physical count'!A:A,' General Stock Summary View  '!B491)</f>
        <v>0</v>
      </c>
      <c r="AD491" s="6">
        <f t="shared" si="79"/>
        <v>0</v>
      </c>
      <c r="AE491" s="7">
        <f t="shared" si="80"/>
        <v>6.65</v>
      </c>
      <c r="AF491" s="8">
        <f t="shared" si="81"/>
        <v>0.13833333333333364</v>
      </c>
      <c r="AG491" s="112"/>
    </row>
    <row r="492" spans="2:33" s="113" customFormat="1" ht="61.15">
      <c r="B492" s="117" t="s">
        <v>444</v>
      </c>
      <c r="C492" s="111" t="s">
        <v>197</v>
      </c>
      <c r="D492" s="11">
        <f>SUMIFS('XBS '!T:T,'XBS '!C:C,' General Stock Summary View  '!C492,'XBS '!L:L,' General Stock Summary View  '!B492)</f>
        <v>0</v>
      </c>
      <c r="E492" s="2">
        <f>SUMIFS('Blocked for Processing'!P:P,'Blocked for Processing'!I:I,' General Stock Summary View  '!B492,'Blocked for Processing'!C:C,' General Stock Summary View  '!C492)</f>
        <v>15.493333333333334</v>
      </c>
      <c r="F492" s="122">
        <f t="shared" si="70"/>
        <v>15.493333333333334</v>
      </c>
      <c r="G492" s="148">
        <f>SUMIFS('XBS '!T:T,'XBS '!H:H,' General Stock Summary View  '!$G$2,'XBS '!L:L,' General Stock Summary View  '!B492,'XBS '!C:C,' General Stock Summary View  '!C492)</f>
        <v>0</v>
      </c>
      <c r="H492" s="3">
        <f>SUMIFS('PowerApp_Physical count'!H:H,'PowerApp_Physical count'!B:B,' General Stock Summary View  '!$G$2,'PowerApp_Physical count'!C:C,' General Stock Summary View  '!C492,'PowerApp_Physical count'!A:A,' General Stock Summary View  '!B492)</f>
        <v>15.533333333333333</v>
      </c>
      <c r="I492" s="154">
        <f t="shared" si="82"/>
        <v>15.533333333333333</v>
      </c>
      <c r="J492" s="11">
        <f>SUMIFS('XBS '!T:T,'XBS '!H:H,' General Stock Summary View  '!$J$2,'XBS '!L:L,' General Stock Summary View  '!B492,'XBS '!C:C,' General Stock Summary View  '!C492)</f>
        <v>0</v>
      </c>
      <c r="K492" s="157">
        <f>SUMIFS('PowerApp_Physical count'!H:H,'PowerApp_Physical count'!B:B,' General Stock Summary View  '!$J$2,'PowerApp_Physical count'!C:C,' General Stock Summary View  '!C492,'PowerApp_Physical count'!A:A,' General Stock Summary View  '!B492)</f>
        <v>0</v>
      </c>
      <c r="L492" s="127">
        <f t="shared" si="71"/>
        <v>0</v>
      </c>
      <c r="M492" s="126">
        <f t="shared" si="72"/>
        <v>15.493333333333334</v>
      </c>
      <c r="N492" s="11">
        <f t="shared" si="73"/>
        <v>15.533333333333333</v>
      </c>
      <c r="O492" s="144">
        <f t="shared" si="74"/>
        <v>3.9999999999999147E-2</v>
      </c>
      <c r="P492" s="2">
        <f>SUMIFS('XBS '!T:T,'XBS '!H:H,' General Stock Summary View  '!$P$2,'XBS '!L:L,' General Stock Summary View  '!B492,'XBS '!C:C,' General Stock Summary View  '!C492)</f>
        <v>0</v>
      </c>
      <c r="Q492" s="3">
        <f>SUMIFS('PowerApp_Physical count'!H:H,'PowerApp_Physical count'!B:B,' General Stock Summary View  '!$P$2,'PowerApp_Physical count'!C:C,' General Stock Summary View  '!C492,'PowerApp_Physical count'!A:A,' General Stock Summary View  '!B492)</f>
        <v>0</v>
      </c>
      <c r="R492" s="4">
        <f t="shared" si="75"/>
        <v>0</v>
      </c>
      <c r="S492" s="5">
        <f>SUMIFS('XBS '!T:T,'XBS '!L:L,' General Stock Summary View  '!B492,'XBS '!H:H,' General Stock Summary View  '!$S$2,'XBS '!C:C,' General Stock Summary View  '!C492)</f>
        <v>0</v>
      </c>
      <c r="T492" s="3">
        <f>SUMIFS('PowerApp_Physical count'!H:H,'PowerApp_Physical count'!B:B,' General Stock Summary View  '!$S$2,'PowerApp_Physical count'!C:C,' General Stock Summary View  '!C492,'PowerApp_Physical count'!A:A,' General Stock Summary View  '!B492)</f>
        <v>0</v>
      </c>
      <c r="U492" s="4">
        <f t="shared" si="76"/>
        <v>0</v>
      </c>
      <c r="V492" s="2">
        <f>SUMIFS('XBS '!T:T,'XBS '!H:H,' General Stock Summary View  '!$V$2,'XBS '!B:B,' General Stock Summary View  '!C492,'XBS '!L:L,' General Stock Summary View  '!B492)</f>
        <v>0</v>
      </c>
      <c r="W492" s="3">
        <f>SUMIFS('PowerApp_Physical count'!H:H,'PowerApp_Physical count'!B:B,' General Stock Summary View  '!$V$2,'PowerApp_Physical count'!C:C,' General Stock Summary View  '!C492,'PowerApp_Physical count'!A:A,' General Stock Summary View  '!B492)</f>
        <v>0</v>
      </c>
      <c r="X492" s="4">
        <f t="shared" si="77"/>
        <v>0</v>
      </c>
      <c r="Y492" s="5">
        <f>SUMIFS('XBS '!T:T,'XBS '!H:H,' General Stock Summary View  '!$Y$2,'XBS '!B:B,' General Stock Summary View  '!C492,'XBS '!L:L,' General Stock Summary View  '!B492)</f>
        <v>0</v>
      </c>
      <c r="Z492" s="3">
        <f>SUMIFS('PowerApp_Physical count'!H:H,'PowerApp_Physical count'!B:B,' General Stock Summary View  '!$Y$2,'PowerApp_Physical count'!C:C,' General Stock Summary View  '!C492,'PowerApp_Physical count'!A:A,' General Stock Summary View  '!B492)</f>
        <v>0</v>
      </c>
      <c r="AA492" s="4">
        <f t="shared" si="78"/>
        <v>0</v>
      </c>
      <c r="AB492" s="5">
        <f>SUMIFS('XBS '!T:T,'XBS '!H:H,' General Stock Summary View  '!$AB$2,'XBS '!B:B,' General Stock Summary View  '!C492,'XBS '!L:L,' General Stock Summary View  '!B492)</f>
        <v>0</v>
      </c>
      <c r="AC492" s="3">
        <f>SUMIFS('PowerApp_Physical count'!H:H,'PowerApp_Physical count'!B:B,' General Stock Summary View  '!$AB$2,'PowerApp_Physical count'!C:C,' General Stock Summary View  '!C492,'PowerApp_Physical count'!A:A,' General Stock Summary View  '!B492)</f>
        <v>0</v>
      </c>
      <c r="AD492" s="6">
        <f t="shared" si="79"/>
        <v>0</v>
      </c>
      <c r="AE492" s="7">
        <f t="shared" si="80"/>
        <v>15.533333333333333</v>
      </c>
      <c r="AF492" s="8">
        <f t="shared" si="81"/>
        <v>3.9999999999999147E-2</v>
      </c>
      <c r="AG492" s="112"/>
    </row>
    <row r="493" spans="2:33" s="113" customFormat="1" ht="61.15">
      <c r="B493" s="117" t="s">
        <v>445</v>
      </c>
      <c r="C493" s="111" t="s">
        <v>197</v>
      </c>
      <c r="D493" s="11">
        <f>SUMIFS('XBS '!T:T,'XBS '!C:C,' General Stock Summary View  '!C493,'XBS '!L:L,' General Stock Summary View  '!B493)</f>
        <v>0</v>
      </c>
      <c r="E493" s="2">
        <f>SUMIFS('Blocked for Processing'!P:P,'Blocked for Processing'!I:I,' General Stock Summary View  '!B493,'Blocked for Processing'!C:C,' General Stock Summary View  '!C493)</f>
        <v>7.83</v>
      </c>
      <c r="F493" s="122">
        <f t="shared" si="70"/>
        <v>7.83</v>
      </c>
      <c r="G493" s="148">
        <f>SUMIFS('XBS '!T:T,'XBS '!H:H,' General Stock Summary View  '!$G$2,'XBS '!L:L,' General Stock Summary View  '!B493,'XBS '!C:C,' General Stock Summary View  '!C493)</f>
        <v>0</v>
      </c>
      <c r="H493" s="3">
        <f>SUMIFS('PowerApp_Physical count'!H:H,'PowerApp_Physical count'!B:B,' General Stock Summary View  '!$G$2,'PowerApp_Physical count'!C:C,' General Stock Summary View  '!C493,'PowerApp_Physical count'!A:A,' General Stock Summary View  '!B493)</f>
        <v>7.9833333333333334</v>
      </c>
      <c r="I493" s="154">
        <f t="shared" si="82"/>
        <v>7.9833333333333334</v>
      </c>
      <c r="J493" s="11">
        <f>SUMIFS('XBS '!T:T,'XBS '!H:H,' General Stock Summary View  '!$J$2,'XBS '!L:L,' General Stock Summary View  '!B493,'XBS '!C:C,' General Stock Summary View  '!C493)</f>
        <v>0</v>
      </c>
      <c r="K493" s="157">
        <f>SUMIFS('PowerApp_Physical count'!H:H,'PowerApp_Physical count'!B:B,' General Stock Summary View  '!$J$2,'PowerApp_Physical count'!C:C,' General Stock Summary View  '!C493,'PowerApp_Physical count'!A:A,' General Stock Summary View  '!B493)</f>
        <v>0</v>
      </c>
      <c r="L493" s="127">
        <f t="shared" si="71"/>
        <v>0</v>
      </c>
      <c r="M493" s="126">
        <f t="shared" si="72"/>
        <v>7.83</v>
      </c>
      <c r="N493" s="11">
        <f t="shared" si="73"/>
        <v>7.9833333333333334</v>
      </c>
      <c r="O493" s="144">
        <f t="shared" si="74"/>
        <v>0.15333333333333332</v>
      </c>
      <c r="P493" s="2">
        <f>SUMIFS('XBS '!T:T,'XBS '!H:H,' General Stock Summary View  '!$P$2,'XBS '!L:L,' General Stock Summary View  '!B493,'XBS '!C:C,' General Stock Summary View  '!C493)</f>
        <v>0</v>
      </c>
      <c r="Q493" s="3">
        <f>SUMIFS('PowerApp_Physical count'!H:H,'PowerApp_Physical count'!B:B,' General Stock Summary View  '!$P$2,'PowerApp_Physical count'!C:C,' General Stock Summary View  '!C493,'PowerApp_Physical count'!A:A,' General Stock Summary View  '!B493)</f>
        <v>0</v>
      </c>
      <c r="R493" s="4">
        <f t="shared" si="75"/>
        <v>0</v>
      </c>
      <c r="S493" s="5">
        <f>SUMIFS('XBS '!T:T,'XBS '!L:L,' General Stock Summary View  '!B493,'XBS '!H:H,' General Stock Summary View  '!$S$2,'XBS '!C:C,' General Stock Summary View  '!C493)</f>
        <v>0</v>
      </c>
      <c r="T493" s="3">
        <f>SUMIFS('PowerApp_Physical count'!H:H,'PowerApp_Physical count'!B:B,' General Stock Summary View  '!$S$2,'PowerApp_Physical count'!C:C,' General Stock Summary View  '!C493,'PowerApp_Physical count'!A:A,' General Stock Summary View  '!B493)</f>
        <v>0</v>
      </c>
      <c r="U493" s="4">
        <f t="shared" si="76"/>
        <v>0</v>
      </c>
      <c r="V493" s="2">
        <f>SUMIFS('XBS '!T:T,'XBS '!H:H,' General Stock Summary View  '!$V$2,'XBS '!B:B,' General Stock Summary View  '!C493,'XBS '!L:L,' General Stock Summary View  '!B493)</f>
        <v>0</v>
      </c>
      <c r="W493" s="3">
        <f>SUMIFS('PowerApp_Physical count'!H:H,'PowerApp_Physical count'!B:B,' General Stock Summary View  '!$V$2,'PowerApp_Physical count'!C:C,' General Stock Summary View  '!C493,'PowerApp_Physical count'!A:A,' General Stock Summary View  '!B493)</f>
        <v>0</v>
      </c>
      <c r="X493" s="4">
        <f t="shared" si="77"/>
        <v>0</v>
      </c>
      <c r="Y493" s="5">
        <f>SUMIFS('XBS '!T:T,'XBS '!H:H,' General Stock Summary View  '!$Y$2,'XBS '!B:B,' General Stock Summary View  '!C493,'XBS '!L:L,' General Stock Summary View  '!B493)</f>
        <v>0</v>
      </c>
      <c r="Z493" s="3">
        <f>SUMIFS('PowerApp_Physical count'!H:H,'PowerApp_Physical count'!B:B,' General Stock Summary View  '!$Y$2,'PowerApp_Physical count'!C:C,' General Stock Summary View  '!C493,'PowerApp_Physical count'!A:A,' General Stock Summary View  '!B493)</f>
        <v>0</v>
      </c>
      <c r="AA493" s="4">
        <f t="shared" si="78"/>
        <v>0</v>
      </c>
      <c r="AB493" s="5">
        <f>SUMIFS('XBS '!T:T,'XBS '!H:H,' General Stock Summary View  '!$AB$2,'XBS '!B:B,' General Stock Summary View  '!C493,'XBS '!L:L,' General Stock Summary View  '!B493)</f>
        <v>0</v>
      </c>
      <c r="AC493" s="3">
        <f>SUMIFS('PowerApp_Physical count'!H:H,'PowerApp_Physical count'!B:B,' General Stock Summary View  '!$AB$2,'PowerApp_Physical count'!C:C,' General Stock Summary View  '!C493,'PowerApp_Physical count'!A:A,' General Stock Summary View  '!B493)</f>
        <v>0</v>
      </c>
      <c r="AD493" s="6">
        <f t="shared" si="79"/>
        <v>0</v>
      </c>
      <c r="AE493" s="7">
        <f t="shared" si="80"/>
        <v>7.9833333333333334</v>
      </c>
      <c r="AF493" s="8">
        <f t="shared" si="81"/>
        <v>0.15333333333333332</v>
      </c>
      <c r="AG493" s="112"/>
    </row>
    <row r="494" spans="2:33" s="113" customFormat="1" ht="61.15">
      <c r="B494" s="117" t="s">
        <v>446</v>
      </c>
      <c r="C494" s="111" t="s">
        <v>197</v>
      </c>
      <c r="D494" s="11">
        <f>SUMIFS('XBS '!T:T,'XBS '!C:C,' General Stock Summary View  '!C494,'XBS '!L:L,' General Stock Summary View  '!B494)</f>
        <v>0</v>
      </c>
      <c r="E494" s="2">
        <f>SUMIFS('Blocked for Processing'!P:P,'Blocked for Processing'!I:I,' General Stock Summary View  '!B494,'Blocked for Processing'!C:C,' General Stock Summary View  '!C494)</f>
        <v>5.5266666666666673</v>
      </c>
      <c r="F494" s="122">
        <f t="shared" si="70"/>
        <v>5.5266666666666673</v>
      </c>
      <c r="G494" s="148">
        <f>SUMIFS('XBS '!T:T,'XBS '!H:H,' General Stock Summary View  '!$G$2,'XBS '!L:L,' General Stock Summary View  '!B494,'XBS '!C:C,' General Stock Summary View  '!C494)</f>
        <v>0</v>
      </c>
      <c r="H494" s="3">
        <f>SUMIFS('PowerApp_Physical count'!H:H,'PowerApp_Physical count'!B:B,' General Stock Summary View  '!$G$2,'PowerApp_Physical count'!C:C,' General Stock Summary View  '!C494,'PowerApp_Physical count'!A:A,' General Stock Summary View  '!B494)</f>
        <v>5.6833333333333336</v>
      </c>
      <c r="I494" s="154">
        <f t="shared" si="82"/>
        <v>5.6833333333333336</v>
      </c>
      <c r="J494" s="11">
        <f>SUMIFS('XBS '!T:T,'XBS '!H:H,' General Stock Summary View  '!$J$2,'XBS '!L:L,' General Stock Summary View  '!B494,'XBS '!C:C,' General Stock Summary View  '!C494)</f>
        <v>0</v>
      </c>
      <c r="K494" s="157">
        <f>SUMIFS('PowerApp_Physical count'!H:H,'PowerApp_Physical count'!B:B,' General Stock Summary View  '!$J$2,'PowerApp_Physical count'!C:C,' General Stock Summary View  '!C494,'PowerApp_Physical count'!A:A,' General Stock Summary View  '!B494)</f>
        <v>0</v>
      </c>
      <c r="L494" s="127">
        <f t="shared" si="71"/>
        <v>0</v>
      </c>
      <c r="M494" s="126">
        <f t="shared" si="72"/>
        <v>5.5266666666666673</v>
      </c>
      <c r="N494" s="11">
        <f t="shared" si="73"/>
        <v>5.6833333333333336</v>
      </c>
      <c r="O494" s="144">
        <f t="shared" si="74"/>
        <v>0.15666666666666629</v>
      </c>
      <c r="P494" s="2">
        <f>SUMIFS('XBS '!T:T,'XBS '!H:H,' General Stock Summary View  '!$P$2,'XBS '!L:L,' General Stock Summary View  '!B494,'XBS '!C:C,' General Stock Summary View  '!C494)</f>
        <v>0</v>
      </c>
      <c r="Q494" s="3">
        <f>SUMIFS('PowerApp_Physical count'!H:H,'PowerApp_Physical count'!B:B,' General Stock Summary View  '!$P$2,'PowerApp_Physical count'!C:C,' General Stock Summary View  '!C494,'PowerApp_Physical count'!A:A,' General Stock Summary View  '!B494)</f>
        <v>0</v>
      </c>
      <c r="R494" s="4">
        <f t="shared" si="75"/>
        <v>0</v>
      </c>
      <c r="S494" s="5">
        <f>SUMIFS('XBS '!T:T,'XBS '!L:L,' General Stock Summary View  '!B494,'XBS '!H:H,' General Stock Summary View  '!$S$2,'XBS '!C:C,' General Stock Summary View  '!C494)</f>
        <v>0</v>
      </c>
      <c r="T494" s="3">
        <f>SUMIFS('PowerApp_Physical count'!H:H,'PowerApp_Physical count'!B:B,' General Stock Summary View  '!$S$2,'PowerApp_Physical count'!C:C,' General Stock Summary View  '!C494,'PowerApp_Physical count'!A:A,' General Stock Summary View  '!B494)</f>
        <v>0</v>
      </c>
      <c r="U494" s="4">
        <f t="shared" si="76"/>
        <v>0</v>
      </c>
      <c r="V494" s="2">
        <f>SUMIFS('XBS '!T:T,'XBS '!H:H,' General Stock Summary View  '!$V$2,'XBS '!B:B,' General Stock Summary View  '!C494,'XBS '!L:L,' General Stock Summary View  '!B494)</f>
        <v>0</v>
      </c>
      <c r="W494" s="3">
        <f>SUMIFS('PowerApp_Physical count'!H:H,'PowerApp_Physical count'!B:B,' General Stock Summary View  '!$V$2,'PowerApp_Physical count'!C:C,' General Stock Summary View  '!C494,'PowerApp_Physical count'!A:A,' General Stock Summary View  '!B494)</f>
        <v>0</v>
      </c>
      <c r="X494" s="4">
        <f t="shared" si="77"/>
        <v>0</v>
      </c>
      <c r="Y494" s="5">
        <f>SUMIFS('XBS '!T:T,'XBS '!H:H,' General Stock Summary View  '!$Y$2,'XBS '!B:B,' General Stock Summary View  '!C494,'XBS '!L:L,' General Stock Summary View  '!B494)</f>
        <v>0</v>
      </c>
      <c r="Z494" s="3">
        <f>SUMIFS('PowerApp_Physical count'!H:H,'PowerApp_Physical count'!B:B,' General Stock Summary View  '!$Y$2,'PowerApp_Physical count'!C:C,' General Stock Summary View  '!C494,'PowerApp_Physical count'!A:A,' General Stock Summary View  '!B494)</f>
        <v>0</v>
      </c>
      <c r="AA494" s="4">
        <f t="shared" si="78"/>
        <v>0</v>
      </c>
      <c r="AB494" s="5">
        <f>SUMIFS('XBS '!T:T,'XBS '!H:H,' General Stock Summary View  '!$AB$2,'XBS '!B:B,' General Stock Summary View  '!C494,'XBS '!L:L,' General Stock Summary View  '!B494)</f>
        <v>0</v>
      </c>
      <c r="AC494" s="3">
        <f>SUMIFS('PowerApp_Physical count'!H:H,'PowerApp_Physical count'!B:B,' General Stock Summary View  '!$AB$2,'PowerApp_Physical count'!C:C,' General Stock Summary View  '!C494,'PowerApp_Physical count'!A:A,' General Stock Summary View  '!B494)</f>
        <v>0</v>
      </c>
      <c r="AD494" s="6">
        <f t="shared" si="79"/>
        <v>0</v>
      </c>
      <c r="AE494" s="7">
        <f t="shared" si="80"/>
        <v>5.6833333333333336</v>
      </c>
      <c r="AF494" s="8">
        <f t="shared" si="81"/>
        <v>0.15666666666666629</v>
      </c>
      <c r="AG494" s="112"/>
    </row>
    <row r="495" spans="2:33" s="113" customFormat="1" ht="61.15">
      <c r="B495" s="117" t="s">
        <v>447</v>
      </c>
      <c r="C495" s="111" t="s">
        <v>197</v>
      </c>
      <c r="D495" s="11">
        <f>SUMIFS('XBS '!T:T,'XBS '!C:C,' General Stock Summary View  '!C495,'XBS '!L:L,' General Stock Summary View  '!B495)</f>
        <v>0</v>
      </c>
      <c r="E495" s="2">
        <f>SUMIFS('Blocked for Processing'!P:P,'Blocked for Processing'!I:I,' General Stock Summary View  '!B495,'Blocked for Processing'!C:C,' General Stock Summary View  '!C495)</f>
        <v>3.3733333333333335</v>
      </c>
      <c r="F495" s="122">
        <f t="shared" si="70"/>
        <v>3.3733333333333335</v>
      </c>
      <c r="G495" s="148">
        <f>SUMIFS('XBS '!T:T,'XBS '!H:H,' General Stock Summary View  '!$G$2,'XBS '!L:L,' General Stock Summary View  '!B495,'XBS '!C:C,' General Stock Summary View  '!C495)</f>
        <v>0</v>
      </c>
      <c r="H495" s="3">
        <f>SUMIFS('PowerApp_Physical count'!H:H,'PowerApp_Physical count'!B:B,' General Stock Summary View  '!$G$2,'PowerApp_Physical count'!C:C,' General Stock Summary View  '!C495,'PowerApp_Physical count'!A:A,' General Stock Summary View  '!B495)</f>
        <v>3.5333333333333332</v>
      </c>
      <c r="I495" s="154">
        <f t="shared" si="82"/>
        <v>3.5333333333333332</v>
      </c>
      <c r="J495" s="11">
        <f>SUMIFS('XBS '!T:T,'XBS '!H:H,' General Stock Summary View  '!$J$2,'XBS '!L:L,' General Stock Summary View  '!B495,'XBS '!C:C,' General Stock Summary View  '!C495)</f>
        <v>0</v>
      </c>
      <c r="K495" s="157">
        <f>SUMIFS('PowerApp_Physical count'!H:H,'PowerApp_Physical count'!B:B,' General Stock Summary View  '!$J$2,'PowerApp_Physical count'!C:C,' General Stock Summary View  '!C495,'PowerApp_Physical count'!A:A,' General Stock Summary View  '!B495)</f>
        <v>0</v>
      </c>
      <c r="L495" s="127">
        <f t="shared" si="71"/>
        <v>0</v>
      </c>
      <c r="M495" s="126">
        <f t="shared" si="72"/>
        <v>3.3733333333333335</v>
      </c>
      <c r="N495" s="11">
        <f t="shared" si="73"/>
        <v>3.5333333333333332</v>
      </c>
      <c r="O495" s="144">
        <f t="shared" si="74"/>
        <v>0.1599999999999997</v>
      </c>
      <c r="P495" s="2">
        <f>SUMIFS('XBS '!T:T,'XBS '!H:H,' General Stock Summary View  '!$P$2,'XBS '!L:L,' General Stock Summary View  '!B495,'XBS '!C:C,' General Stock Summary View  '!C495)</f>
        <v>0</v>
      </c>
      <c r="Q495" s="3">
        <f>SUMIFS('PowerApp_Physical count'!H:H,'PowerApp_Physical count'!B:B,' General Stock Summary View  '!$P$2,'PowerApp_Physical count'!C:C,' General Stock Summary View  '!C495,'PowerApp_Physical count'!A:A,' General Stock Summary View  '!B495)</f>
        <v>0</v>
      </c>
      <c r="R495" s="4">
        <f t="shared" si="75"/>
        <v>0</v>
      </c>
      <c r="S495" s="5">
        <f>SUMIFS('XBS '!T:T,'XBS '!L:L,' General Stock Summary View  '!B495,'XBS '!H:H,' General Stock Summary View  '!$S$2,'XBS '!C:C,' General Stock Summary View  '!C495)</f>
        <v>0</v>
      </c>
      <c r="T495" s="3">
        <f>SUMIFS('PowerApp_Physical count'!H:H,'PowerApp_Physical count'!B:B,' General Stock Summary View  '!$S$2,'PowerApp_Physical count'!C:C,' General Stock Summary View  '!C495,'PowerApp_Physical count'!A:A,' General Stock Summary View  '!B495)</f>
        <v>0</v>
      </c>
      <c r="U495" s="4">
        <f t="shared" si="76"/>
        <v>0</v>
      </c>
      <c r="V495" s="2">
        <f>SUMIFS('XBS '!T:T,'XBS '!H:H,' General Stock Summary View  '!$V$2,'XBS '!B:B,' General Stock Summary View  '!C495,'XBS '!L:L,' General Stock Summary View  '!B495)</f>
        <v>0</v>
      </c>
      <c r="W495" s="3">
        <f>SUMIFS('PowerApp_Physical count'!H:H,'PowerApp_Physical count'!B:B,' General Stock Summary View  '!$V$2,'PowerApp_Physical count'!C:C,' General Stock Summary View  '!C495,'PowerApp_Physical count'!A:A,' General Stock Summary View  '!B495)</f>
        <v>0</v>
      </c>
      <c r="X495" s="4">
        <f t="shared" si="77"/>
        <v>0</v>
      </c>
      <c r="Y495" s="5">
        <f>SUMIFS('XBS '!T:T,'XBS '!H:H,' General Stock Summary View  '!$Y$2,'XBS '!B:B,' General Stock Summary View  '!C495,'XBS '!L:L,' General Stock Summary View  '!B495)</f>
        <v>0</v>
      </c>
      <c r="Z495" s="3">
        <f>SUMIFS('PowerApp_Physical count'!H:H,'PowerApp_Physical count'!B:B,' General Stock Summary View  '!$Y$2,'PowerApp_Physical count'!C:C,' General Stock Summary View  '!C495,'PowerApp_Physical count'!A:A,' General Stock Summary View  '!B495)</f>
        <v>0</v>
      </c>
      <c r="AA495" s="4">
        <f t="shared" si="78"/>
        <v>0</v>
      </c>
      <c r="AB495" s="5">
        <f>SUMIFS('XBS '!T:T,'XBS '!H:H,' General Stock Summary View  '!$AB$2,'XBS '!B:B,' General Stock Summary View  '!C495,'XBS '!L:L,' General Stock Summary View  '!B495)</f>
        <v>0</v>
      </c>
      <c r="AC495" s="3">
        <f>SUMIFS('PowerApp_Physical count'!H:H,'PowerApp_Physical count'!B:B,' General Stock Summary View  '!$AB$2,'PowerApp_Physical count'!C:C,' General Stock Summary View  '!C495,'PowerApp_Physical count'!A:A,' General Stock Summary View  '!B495)</f>
        <v>0</v>
      </c>
      <c r="AD495" s="6">
        <f t="shared" si="79"/>
        <v>0</v>
      </c>
      <c r="AE495" s="7">
        <f t="shared" si="80"/>
        <v>3.5333333333333332</v>
      </c>
      <c r="AF495" s="8">
        <f t="shared" si="81"/>
        <v>0.1599999999999997</v>
      </c>
      <c r="AG495" s="112"/>
    </row>
    <row r="496" spans="2:33" s="113" customFormat="1" ht="61.15">
      <c r="B496" s="117" t="s">
        <v>448</v>
      </c>
      <c r="C496" s="111" t="s">
        <v>197</v>
      </c>
      <c r="D496" s="11">
        <f>SUMIFS('XBS '!T:T,'XBS '!C:C,' General Stock Summary View  '!C496,'XBS '!L:L,' General Stock Summary View  '!B496)</f>
        <v>0</v>
      </c>
      <c r="E496" s="2">
        <f>SUMIFS('Blocked for Processing'!P:P,'Blocked for Processing'!I:I,' General Stock Summary View  '!B496,'Blocked for Processing'!C:C,' General Stock Summary View  '!C496)</f>
        <v>4.2750000000000004</v>
      </c>
      <c r="F496" s="122">
        <f t="shared" si="70"/>
        <v>4.2750000000000004</v>
      </c>
      <c r="G496" s="148">
        <f>SUMIFS('XBS '!T:T,'XBS '!H:H,' General Stock Summary View  '!$G$2,'XBS '!L:L,' General Stock Summary View  '!B496,'XBS '!C:C,' General Stock Summary View  '!C496)</f>
        <v>0</v>
      </c>
      <c r="H496" s="3">
        <f>SUMIFS('PowerApp_Physical count'!H:H,'PowerApp_Physical count'!B:B,' General Stock Summary View  '!$G$2,'PowerApp_Physical count'!C:C,' General Stock Summary View  '!C496,'PowerApp_Physical count'!A:A,' General Stock Summary View  '!B496)</f>
        <v>4.416666666666667</v>
      </c>
      <c r="I496" s="154">
        <f t="shared" si="82"/>
        <v>4.416666666666667</v>
      </c>
      <c r="J496" s="11">
        <f>SUMIFS('XBS '!T:T,'XBS '!H:H,' General Stock Summary View  '!$J$2,'XBS '!L:L,' General Stock Summary View  '!B496,'XBS '!C:C,' General Stock Summary View  '!C496)</f>
        <v>0</v>
      </c>
      <c r="K496" s="157">
        <f>SUMIFS('PowerApp_Physical count'!H:H,'PowerApp_Physical count'!B:B,' General Stock Summary View  '!$J$2,'PowerApp_Physical count'!C:C,' General Stock Summary View  '!C496,'PowerApp_Physical count'!A:A,' General Stock Summary View  '!B496)</f>
        <v>0</v>
      </c>
      <c r="L496" s="127">
        <f t="shared" si="71"/>
        <v>0</v>
      </c>
      <c r="M496" s="126">
        <f t="shared" si="72"/>
        <v>4.2750000000000004</v>
      </c>
      <c r="N496" s="11">
        <f t="shared" si="73"/>
        <v>4.416666666666667</v>
      </c>
      <c r="O496" s="144">
        <f t="shared" si="74"/>
        <v>0.14166666666666661</v>
      </c>
      <c r="P496" s="2">
        <f>SUMIFS('XBS '!T:T,'XBS '!H:H,' General Stock Summary View  '!$P$2,'XBS '!L:L,' General Stock Summary View  '!B496,'XBS '!C:C,' General Stock Summary View  '!C496)</f>
        <v>0</v>
      </c>
      <c r="Q496" s="3">
        <f>SUMIFS('PowerApp_Physical count'!H:H,'PowerApp_Physical count'!B:B,' General Stock Summary View  '!$P$2,'PowerApp_Physical count'!C:C,' General Stock Summary View  '!C496,'PowerApp_Physical count'!A:A,' General Stock Summary View  '!B496)</f>
        <v>0</v>
      </c>
      <c r="R496" s="4">
        <f t="shared" si="75"/>
        <v>0</v>
      </c>
      <c r="S496" s="5">
        <f>SUMIFS('XBS '!T:T,'XBS '!L:L,' General Stock Summary View  '!B496,'XBS '!H:H,' General Stock Summary View  '!$S$2,'XBS '!C:C,' General Stock Summary View  '!C496)</f>
        <v>0</v>
      </c>
      <c r="T496" s="3">
        <f>SUMIFS('PowerApp_Physical count'!H:H,'PowerApp_Physical count'!B:B,' General Stock Summary View  '!$S$2,'PowerApp_Physical count'!C:C,' General Stock Summary View  '!C496,'PowerApp_Physical count'!A:A,' General Stock Summary View  '!B496)</f>
        <v>0</v>
      </c>
      <c r="U496" s="4">
        <f t="shared" si="76"/>
        <v>0</v>
      </c>
      <c r="V496" s="2">
        <f>SUMIFS('XBS '!T:T,'XBS '!H:H,' General Stock Summary View  '!$V$2,'XBS '!B:B,' General Stock Summary View  '!C496,'XBS '!L:L,' General Stock Summary View  '!B496)</f>
        <v>0</v>
      </c>
      <c r="W496" s="3">
        <f>SUMIFS('PowerApp_Physical count'!H:H,'PowerApp_Physical count'!B:B,' General Stock Summary View  '!$V$2,'PowerApp_Physical count'!C:C,' General Stock Summary View  '!C496,'PowerApp_Physical count'!A:A,' General Stock Summary View  '!B496)</f>
        <v>0</v>
      </c>
      <c r="X496" s="4">
        <f t="shared" si="77"/>
        <v>0</v>
      </c>
      <c r="Y496" s="5">
        <f>SUMIFS('XBS '!T:T,'XBS '!H:H,' General Stock Summary View  '!$Y$2,'XBS '!B:B,' General Stock Summary View  '!C496,'XBS '!L:L,' General Stock Summary View  '!B496)</f>
        <v>0</v>
      </c>
      <c r="Z496" s="3">
        <f>SUMIFS('PowerApp_Physical count'!H:H,'PowerApp_Physical count'!B:B,' General Stock Summary View  '!$Y$2,'PowerApp_Physical count'!C:C,' General Stock Summary View  '!C496,'PowerApp_Physical count'!A:A,' General Stock Summary View  '!B496)</f>
        <v>0</v>
      </c>
      <c r="AA496" s="4">
        <f t="shared" si="78"/>
        <v>0</v>
      </c>
      <c r="AB496" s="5">
        <f>SUMIFS('XBS '!T:T,'XBS '!H:H,' General Stock Summary View  '!$AB$2,'XBS '!B:B,' General Stock Summary View  '!C496,'XBS '!L:L,' General Stock Summary View  '!B496)</f>
        <v>0</v>
      </c>
      <c r="AC496" s="3">
        <f>SUMIFS('PowerApp_Physical count'!H:H,'PowerApp_Physical count'!B:B,' General Stock Summary View  '!$AB$2,'PowerApp_Physical count'!C:C,' General Stock Summary View  '!C496,'PowerApp_Physical count'!A:A,' General Stock Summary View  '!B496)</f>
        <v>0</v>
      </c>
      <c r="AD496" s="6">
        <f t="shared" si="79"/>
        <v>0</v>
      </c>
      <c r="AE496" s="7">
        <f t="shared" si="80"/>
        <v>4.416666666666667</v>
      </c>
      <c r="AF496" s="8">
        <f t="shared" si="81"/>
        <v>0.14166666666666661</v>
      </c>
      <c r="AG496" s="112"/>
    </row>
    <row r="497" spans="2:33" s="113" customFormat="1" ht="61.15">
      <c r="B497" s="117" t="s">
        <v>449</v>
      </c>
      <c r="C497" s="111" t="s">
        <v>197</v>
      </c>
      <c r="D497" s="11">
        <f>SUMIFS('XBS '!T:T,'XBS '!C:C,' General Stock Summary View  '!C497,'XBS '!L:L,' General Stock Summary View  '!B497)</f>
        <v>0</v>
      </c>
      <c r="E497" s="2">
        <f>SUMIFS('Blocked for Processing'!P:P,'Blocked for Processing'!I:I,' General Stock Summary View  '!B497,'Blocked for Processing'!C:C,' General Stock Summary View  '!C497)</f>
        <v>3.4233333333333333</v>
      </c>
      <c r="F497" s="122">
        <f t="shared" si="70"/>
        <v>3.4233333333333333</v>
      </c>
      <c r="G497" s="148">
        <f>SUMIFS('XBS '!T:T,'XBS '!H:H,' General Stock Summary View  '!$G$2,'XBS '!L:L,' General Stock Summary View  '!B497,'XBS '!C:C,' General Stock Summary View  '!C497)</f>
        <v>0</v>
      </c>
      <c r="H497" s="3">
        <f>SUMIFS('PowerApp_Physical count'!H:H,'PowerApp_Physical count'!B:B,' General Stock Summary View  '!$G$2,'PowerApp_Physical count'!C:C,' General Stock Summary View  '!C497,'PowerApp_Physical count'!A:A,' General Stock Summary View  '!B497)</f>
        <v>3.4166666666666665</v>
      </c>
      <c r="I497" s="154">
        <f t="shared" si="82"/>
        <v>3.4166666666666665</v>
      </c>
      <c r="J497" s="11">
        <f>SUMIFS('XBS '!T:T,'XBS '!H:H,' General Stock Summary View  '!$J$2,'XBS '!L:L,' General Stock Summary View  '!B497,'XBS '!C:C,' General Stock Summary View  '!C497)</f>
        <v>0</v>
      </c>
      <c r="K497" s="157">
        <f>SUMIFS('PowerApp_Physical count'!H:H,'PowerApp_Physical count'!B:B,' General Stock Summary View  '!$J$2,'PowerApp_Physical count'!C:C,' General Stock Summary View  '!C497,'PowerApp_Physical count'!A:A,' General Stock Summary View  '!B497)</f>
        <v>0</v>
      </c>
      <c r="L497" s="127">
        <f t="shared" si="71"/>
        <v>0</v>
      </c>
      <c r="M497" s="126">
        <f t="shared" si="72"/>
        <v>3.4233333333333333</v>
      </c>
      <c r="N497" s="11">
        <f t="shared" si="73"/>
        <v>3.4166666666666665</v>
      </c>
      <c r="O497" s="144">
        <f t="shared" si="74"/>
        <v>-6.6666666666668206E-3</v>
      </c>
      <c r="P497" s="2">
        <f>SUMIFS('XBS '!T:T,'XBS '!H:H,' General Stock Summary View  '!$P$2,'XBS '!L:L,' General Stock Summary View  '!B497,'XBS '!C:C,' General Stock Summary View  '!C497)</f>
        <v>0</v>
      </c>
      <c r="Q497" s="3">
        <f>SUMIFS('PowerApp_Physical count'!H:H,'PowerApp_Physical count'!B:B,' General Stock Summary View  '!$P$2,'PowerApp_Physical count'!C:C,' General Stock Summary View  '!C497,'PowerApp_Physical count'!A:A,' General Stock Summary View  '!B497)</f>
        <v>0</v>
      </c>
      <c r="R497" s="4">
        <f t="shared" si="75"/>
        <v>0</v>
      </c>
      <c r="S497" s="5">
        <f>SUMIFS('XBS '!T:T,'XBS '!L:L,' General Stock Summary View  '!B497,'XBS '!H:H,' General Stock Summary View  '!$S$2,'XBS '!C:C,' General Stock Summary View  '!C497)</f>
        <v>0</v>
      </c>
      <c r="T497" s="3">
        <f>SUMIFS('PowerApp_Physical count'!H:H,'PowerApp_Physical count'!B:B,' General Stock Summary View  '!$S$2,'PowerApp_Physical count'!C:C,' General Stock Summary View  '!C497,'PowerApp_Physical count'!A:A,' General Stock Summary View  '!B497)</f>
        <v>0</v>
      </c>
      <c r="U497" s="4">
        <f t="shared" si="76"/>
        <v>0</v>
      </c>
      <c r="V497" s="2">
        <f>SUMIFS('XBS '!T:T,'XBS '!H:H,' General Stock Summary View  '!$V$2,'XBS '!B:B,' General Stock Summary View  '!C497,'XBS '!L:L,' General Stock Summary View  '!B497)</f>
        <v>0</v>
      </c>
      <c r="W497" s="3">
        <f>SUMIFS('PowerApp_Physical count'!H:H,'PowerApp_Physical count'!B:B,' General Stock Summary View  '!$V$2,'PowerApp_Physical count'!C:C,' General Stock Summary View  '!C497,'PowerApp_Physical count'!A:A,' General Stock Summary View  '!B497)</f>
        <v>0</v>
      </c>
      <c r="X497" s="4">
        <f t="shared" si="77"/>
        <v>0</v>
      </c>
      <c r="Y497" s="5">
        <f>SUMIFS('XBS '!T:T,'XBS '!H:H,' General Stock Summary View  '!$Y$2,'XBS '!B:B,' General Stock Summary View  '!C497,'XBS '!L:L,' General Stock Summary View  '!B497)</f>
        <v>0</v>
      </c>
      <c r="Z497" s="3">
        <f>SUMIFS('PowerApp_Physical count'!H:H,'PowerApp_Physical count'!B:B,' General Stock Summary View  '!$Y$2,'PowerApp_Physical count'!C:C,' General Stock Summary View  '!C497,'PowerApp_Physical count'!A:A,' General Stock Summary View  '!B497)</f>
        <v>0</v>
      </c>
      <c r="AA497" s="4">
        <f t="shared" si="78"/>
        <v>0</v>
      </c>
      <c r="AB497" s="5">
        <f>SUMIFS('XBS '!T:T,'XBS '!H:H,' General Stock Summary View  '!$AB$2,'XBS '!B:B,' General Stock Summary View  '!C497,'XBS '!L:L,' General Stock Summary View  '!B497)</f>
        <v>0</v>
      </c>
      <c r="AC497" s="3">
        <f>SUMIFS('PowerApp_Physical count'!H:H,'PowerApp_Physical count'!B:B,' General Stock Summary View  '!$AB$2,'PowerApp_Physical count'!C:C,' General Stock Summary View  '!C497,'PowerApp_Physical count'!A:A,' General Stock Summary View  '!B497)</f>
        <v>0</v>
      </c>
      <c r="AD497" s="6">
        <f t="shared" si="79"/>
        <v>0</v>
      </c>
      <c r="AE497" s="7">
        <f t="shared" si="80"/>
        <v>3.4166666666666665</v>
      </c>
      <c r="AF497" s="8">
        <f t="shared" si="81"/>
        <v>-6.6666666666668206E-3</v>
      </c>
      <c r="AG497" s="112"/>
    </row>
    <row r="498" spans="2:33" s="113" customFormat="1" ht="61.15">
      <c r="B498" s="117" t="s">
        <v>450</v>
      </c>
      <c r="C498" s="111" t="s">
        <v>197</v>
      </c>
      <c r="D498" s="11">
        <f>SUMIFS('XBS '!T:T,'XBS '!C:C,' General Stock Summary View  '!C498,'XBS '!L:L,' General Stock Summary View  '!B498)</f>
        <v>0</v>
      </c>
      <c r="E498" s="2">
        <f>SUMIFS('Blocked for Processing'!P:P,'Blocked for Processing'!I:I,' General Stock Summary View  '!B498,'Blocked for Processing'!C:C,' General Stock Summary View  '!C498)</f>
        <v>5.8433333333333337</v>
      </c>
      <c r="F498" s="122">
        <f t="shared" si="70"/>
        <v>5.8433333333333337</v>
      </c>
      <c r="G498" s="148">
        <f>SUMIFS('XBS '!T:T,'XBS '!H:H,' General Stock Summary View  '!$G$2,'XBS '!L:L,' General Stock Summary View  '!B498,'XBS '!C:C,' General Stock Summary View  '!C498)</f>
        <v>0</v>
      </c>
      <c r="H498" s="3">
        <f>SUMIFS('PowerApp_Physical count'!H:H,'PowerApp_Physical count'!B:B,' General Stock Summary View  '!$G$2,'PowerApp_Physical count'!C:C,' General Stock Summary View  '!C498,'PowerApp_Physical count'!A:A,' General Stock Summary View  '!B498)</f>
        <v>5.9</v>
      </c>
      <c r="I498" s="154">
        <f t="shared" si="82"/>
        <v>5.9</v>
      </c>
      <c r="J498" s="11">
        <f>SUMIFS('XBS '!T:T,'XBS '!H:H,' General Stock Summary View  '!$J$2,'XBS '!L:L,' General Stock Summary View  '!B498,'XBS '!C:C,' General Stock Summary View  '!C498)</f>
        <v>0</v>
      </c>
      <c r="K498" s="157">
        <f>SUMIFS('PowerApp_Physical count'!H:H,'PowerApp_Physical count'!B:B,' General Stock Summary View  '!$J$2,'PowerApp_Physical count'!C:C,' General Stock Summary View  '!C498,'PowerApp_Physical count'!A:A,' General Stock Summary View  '!B498)</f>
        <v>0</v>
      </c>
      <c r="L498" s="127">
        <f t="shared" si="71"/>
        <v>0</v>
      </c>
      <c r="M498" s="126">
        <f t="shared" si="72"/>
        <v>5.8433333333333337</v>
      </c>
      <c r="N498" s="11">
        <f t="shared" si="73"/>
        <v>5.9</v>
      </c>
      <c r="O498" s="144">
        <f t="shared" si="74"/>
        <v>5.6666666666666643E-2</v>
      </c>
      <c r="P498" s="2">
        <f>SUMIFS('XBS '!T:T,'XBS '!H:H,' General Stock Summary View  '!$P$2,'XBS '!L:L,' General Stock Summary View  '!B498,'XBS '!C:C,' General Stock Summary View  '!C498)</f>
        <v>0</v>
      </c>
      <c r="Q498" s="3">
        <f>SUMIFS('PowerApp_Physical count'!H:H,'PowerApp_Physical count'!B:B,' General Stock Summary View  '!$P$2,'PowerApp_Physical count'!C:C,' General Stock Summary View  '!C498,'PowerApp_Physical count'!A:A,' General Stock Summary View  '!B498)</f>
        <v>0</v>
      </c>
      <c r="R498" s="4">
        <f t="shared" si="75"/>
        <v>0</v>
      </c>
      <c r="S498" s="5">
        <f>SUMIFS('XBS '!T:T,'XBS '!L:L,' General Stock Summary View  '!B498,'XBS '!H:H,' General Stock Summary View  '!$S$2,'XBS '!C:C,' General Stock Summary View  '!C498)</f>
        <v>0</v>
      </c>
      <c r="T498" s="3">
        <f>SUMIFS('PowerApp_Physical count'!H:H,'PowerApp_Physical count'!B:B,' General Stock Summary View  '!$S$2,'PowerApp_Physical count'!C:C,' General Stock Summary View  '!C498,'PowerApp_Physical count'!A:A,' General Stock Summary View  '!B498)</f>
        <v>0</v>
      </c>
      <c r="U498" s="4">
        <f t="shared" si="76"/>
        <v>0</v>
      </c>
      <c r="V498" s="2">
        <f>SUMIFS('XBS '!T:T,'XBS '!H:H,' General Stock Summary View  '!$V$2,'XBS '!B:B,' General Stock Summary View  '!C498,'XBS '!L:L,' General Stock Summary View  '!B498)</f>
        <v>0</v>
      </c>
      <c r="W498" s="3">
        <f>SUMIFS('PowerApp_Physical count'!H:H,'PowerApp_Physical count'!B:B,' General Stock Summary View  '!$V$2,'PowerApp_Physical count'!C:C,' General Stock Summary View  '!C498,'PowerApp_Physical count'!A:A,' General Stock Summary View  '!B498)</f>
        <v>0</v>
      </c>
      <c r="X498" s="4">
        <f t="shared" si="77"/>
        <v>0</v>
      </c>
      <c r="Y498" s="5">
        <f>SUMIFS('XBS '!T:T,'XBS '!H:H,' General Stock Summary View  '!$Y$2,'XBS '!B:B,' General Stock Summary View  '!C498,'XBS '!L:L,' General Stock Summary View  '!B498)</f>
        <v>0</v>
      </c>
      <c r="Z498" s="3">
        <f>SUMIFS('PowerApp_Physical count'!H:H,'PowerApp_Physical count'!B:B,' General Stock Summary View  '!$Y$2,'PowerApp_Physical count'!C:C,' General Stock Summary View  '!C498,'PowerApp_Physical count'!A:A,' General Stock Summary View  '!B498)</f>
        <v>0</v>
      </c>
      <c r="AA498" s="4">
        <f t="shared" si="78"/>
        <v>0</v>
      </c>
      <c r="AB498" s="5">
        <f>SUMIFS('XBS '!T:T,'XBS '!H:H,' General Stock Summary View  '!$AB$2,'XBS '!B:B,' General Stock Summary View  '!C498,'XBS '!L:L,' General Stock Summary View  '!B498)</f>
        <v>0</v>
      </c>
      <c r="AC498" s="3">
        <f>SUMIFS('PowerApp_Physical count'!H:H,'PowerApp_Physical count'!B:B,' General Stock Summary View  '!$AB$2,'PowerApp_Physical count'!C:C,' General Stock Summary View  '!C498,'PowerApp_Physical count'!A:A,' General Stock Summary View  '!B498)</f>
        <v>0</v>
      </c>
      <c r="AD498" s="6">
        <f t="shared" si="79"/>
        <v>0</v>
      </c>
      <c r="AE498" s="7">
        <f t="shared" si="80"/>
        <v>5.9</v>
      </c>
      <c r="AF498" s="8">
        <f t="shared" si="81"/>
        <v>5.6666666666666643E-2</v>
      </c>
      <c r="AG498" s="112"/>
    </row>
    <row r="499" spans="2:33" s="113" customFormat="1" ht="61.15">
      <c r="B499" s="117" t="s">
        <v>451</v>
      </c>
      <c r="C499" s="111" t="s">
        <v>197</v>
      </c>
      <c r="D499" s="11">
        <f>SUMIFS('XBS '!T:T,'XBS '!C:C,' General Stock Summary View  '!C499,'XBS '!L:L,' General Stock Summary View  '!B499)</f>
        <v>0</v>
      </c>
      <c r="E499" s="2">
        <f>SUMIFS('Blocked for Processing'!P:P,'Blocked for Processing'!I:I,' General Stock Summary View  '!B499,'Blocked for Processing'!C:C,' General Stock Summary View  '!C499)</f>
        <v>4.3250000000000002</v>
      </c>
      <c r="F499" s="122">
        <f t="shared" si="70"/>
        <v>4.3250000000000002</v>
      </c>
      <c r="G499" s="148">
        <f>SUMIFS('XBS '!T:T,'XBS '!H:H,' General Stock Summary View  '!$G$2,'XBS '!L:L,' General Stock Summary View  '!B499,'XBS '!C:C,' General Stock Summary View  '!C499)</f>
        <v>0</v>
      </c>
      <c r="H499" s="3">
        <f>SUMIFS('PowerApp_Physical count'!H:H,'PowerApp_Physical count'!B:B,' General Stock Summary View  '!$G$2,'PowerApp_Physical count'!C:C,' General Stock Summary View  '!C499,'PowerApp_Physical count'!A:A,' General Stock Summary View  '!B499)</f>
        <v>4.333333333333333</v>
      </c>
      <c r="I499" s="154">
        <f t="shared" si="82"/>
        <v>4.333333333333333</v>
      </c>
      <c r="J499" s="11">
        <f>SUMIFS('XBS '!T:T,'XBS '!H:H,' General Stock Summary View  '!$J$2,'XBS '!L:L,' General Stock Summary View  '!B499,'XBS '!C:C,' General Stock Summary View  '!C499)</f>
        <v>0</v>
      </c>
      <c r="K499" s="157">
        <f>SUMIFS('PowerApp_Physical count'!H:H,'PowerApp_Physical count'!B:B,' General Stock Summary View  '!$J$2,'PowerApp_Physical count'!C:C,' General Stock Summary View  '!C499,'PowerApp_Physical count'!A:A,' General Stock Summary View  '!B499)</f>
        <v>0</v>
      </c>
      <c r="L499" s="127">
        <f t="shared" si="71"/>
        <v>0</v>
      </c>
      <c r="M499" s="126">
        <f t="shared" si="72"/>
        <v>4.3250000000000002</v>
      </c>
      <c r="N499" s="11">
        <f t="shared" si="73"/>
        <v>4.333333333333333</v>
      </c>
      <c r="O499" s="144">
        <f t="shared" si="74"/>
        <v>8.3333333333328596E-3</v>
      </c>
      <c r="P499" s="2">
        <f>SUMIFS('XBS '!T:T,'XBS '!H:H,' General Stock Summary View  '!$P$2,'XBS '!L:L,' General Stock Summary View  '!B499,'XBS '!C:C,' General Stock Summary View  '!C499)</f>
        <v>0</v>
      </c>
      <c r="Q499" s="3">
        <f>SUMIFS('PowerApp_Physical count'!H:H,'PowerApp_Physical count'!B:B,' General Stock Summary View  '!$P$2,'PowerApp_Physical count'!C:C,' General Stock Summary View  '!C499,'PowerApp_Physical count'!A:A,' General Stock Summary View  '!B499)</f>
        <v>0</v>
      </c>
      <c r="R499" s="4">
        <f t="shared" si="75"/>
        <v>0</v>
      </c>
      <c r="S499" s="5">
        <f>SUMIFS('XBS '!T:T,'XBS '!L:L,' General Stock Summary View  '!B499,'XBS '!H:H,' General Stock Summary View  '!$S$2,'XBS '!C:C,' General Stock Summary View  '!C499)</f>
        <v>0</v>
      </c>
      <c r="T499" s="3">
        <f>SUMIFS('PowerApp_Physical count'!H:H,'PowerApp_Physical count'!B:B,' General Stock Summary View  '!$S$2,'PowerApp_Physical count'!C:C,' General Stock Summary View  '!C499,'PowerApp_Physical count'!A:A,' General Stock Summary View  '!B499)</f>
        <v>0</v>
      </c>
      <c r="U499" s="4">
        <f t="shared" si="76"/>
        <v>0</v>
      </c>
      <c r="V499" s="2">
        <f>SUMIFS('XBS '!T:T,'XBS '!H:H,' General Stock Summary View  '!$V$2,'XBS '!B:B,' General Stock Summary View  '!C499,'XBS '!L:L,' General Stock Summary View  '!B499)</f>
        <v>0</v>
      </c>
      <c r="W499" s="3">
        <f>SUMIFS('PowerApp_Physical count'!H:H,'PowerApp_Physical count'!B:B,' General Stock Summary View  '!$V$2,'PowerApp_Physical count'!C:C,' General Stock Summary View  '!C499,'PowerApp_Physical count'!A:A,' General Stock Summary View  '!B499)</f>
        <v>0</v>
      </c>
      <c r="X499" s="4">
        <f t="shared" si="77"/>
        <v>0</v>
      </c>
      <c r="Y499" s="5">
        <f>SUMIFS('XBS '!T:T,'XBS '!H:H,' General Stock Summary View  '!$Y$2,'XBS '!B:B,' General Stock Summary View  '!C499,'XBS '!L:L,' General Stock Summary View  '!B499)</f>
        <v>0</v>
      </c>
      <c r="Z499" s="3">
        <f>SUMIFS('PowerApp_Physical count'!H:H,'PowerApp_Physical count'!B:B,' General Stock Summary View  '!$Y$2,'PowerApp_Physical count'!C:C,' General Stock Summary View  '!C499,'PowerApp_Physical count'!A:A,' General Stock Summary View  '!B499)</f>
        <v>0</v>
      </c>
      <c r="AA499" s="4">
        <f t="shared" si="78"/>
        <v>0</v>
      </c>
      <c r="AB499" s="5">
        <f>SUMIFS('XBS '!T:T,'XBS '!H:H,' General Stock Summary View  '!$AB$2,'XBS '!B:B,' General Stock Summary View  '!C499,'XBS '!L:L,' General Stock Summary View  '!B499)</f>
        <v>0</v>
      </c>
      <c r="AC499" s="3">
        <f>SUMIFS('PowerApp_Physical count'!H:H,'PowerApp_Physical count'!B:B,' General Stock Summary View  '!$AB$2,'PowerApp_Physical count'!C:C,' General Stock Summary View  '!C499,'PowerApp_Physical count'!A:A,' General Stock Summary View  '!B499)</f>
        <v>0</v>
      </c>
      <c r="AD499" s="6">
        <f t="shared" si="79"/>
        <v>0</v>
      </c>
      <c r="AE499" s="7">
        <f t="shared" si="80"/>
        <v>4.333333333333333</v>
      </c>
      <c r="AF499" s="8">
        <f t="shared" si="81"/>
        <v>8.3333333333328596E-3</v>
      </c>
      <c r="AG499" s="112"/>
    </row>
    <row r="500" spans="2:33" s="113" customFormat="1" ht="61.15">
      <c r="B500" s="117" t="s">
        <v>452</v>
      </c>
      <c r="C500" s="111" t="s">
        <v>197</v>
      </c>
      <c r="D500" s="11">
        <f>SUMIFS('XBS '!T:T,'XBS '!C:C,' General Stock Summary View  '!C500,'XBS '!L:L,' General Stock Summary View  '!B500)</f>
        <v>0</v>
      </c>
      <c r="E500" s="2">
        <f>SUMIFS('Blocked for Processing'!P:P,'Blocked for Processing'!I:I,' General Stock Summary View  '!B500,'Blocked for Processing'!C:C,' General Stock Summary View  '!C500)</f>
        <v>4.7583333333333337</v>
      </c>
      <c r="F500" s="122">
        <f t="shared" si="70"/>
        <v>4.7583333333333337</v>
      </c>
      <c r="G500" s="148">
        <f>SUMIFS('XBS '!T:T,'XBS '!H:H,' General Stock Summary View  '!$G$2,'XBS '!L:L,' General Stock Summary View  '!B500,'XBS '!C:C,' General Stock Summary View  '!C500)</f>
        <v>0</v>
      </c>
      <c r="H500" s="3">
        <f>SUMIFS('PowerApp_Physical count'!H:H,'PowerApp_Physical count'!B:B,' General Stock Summary View  '!$G$2,'PowerApp_Physical count'!C:C,' General Stock Summary View  '!C500,'PowerApp_Physical count'!A:A,' General Stock Summary View  '!B500)</f>
        <v>4.7666666666666666</v>
      </c>
      <c r="I500" s="154">
        <f t="shared" si="82"/>
        <v>4.7666666666666666</v>
      </c>
      <c r="J500" s="11">
        <f>SUMIFS('XBS '!T:T,'XBS '!H:H,' General Stock Summary View  '!$J$2,'XBS '!L:L,' General Stock Summary View  '!B500,'XBS '!C:C,' General Stock Summary View  '!C500)</f>
        <v>0</v>
      </c>
      <c r="K500" s="157">
        <f>SUMIFS('PowerApp_Physical count'!H:H,'PowerApp_Physical count'!B:B,' General Stock Summary View  '!$J$2,'PowerApp_Physical count'!C:C,' General Stock Summary View  '!C500,'PowerApp_Physical count'!A:A,' General Stock Summary View  '!B500)</f>
        <v>0</v>
      </c>
      <c r="L500" s="127">
        <f t="shared" si="71"/>
        <v>0</v>
      </c>
      <c r="M500" s="126">
        <f t="shared" si="72"/>
        <v>4.7583333333333337</v>
      </c>
      <c r="N500" s="11">
        <f t="shared" si="73"/>
        <v>4.7666666666666666</v>
      </c>
      <c r="O500" s="144">
        <f t="shared" si="74"/>
        <v>8.3333333333328596E-3</v>
      </c>
      <c r="P500" s="2">
        <f>SUMIFS('XBS '!T:T,'XBS '!H:H,' General Stock Summary View  '!$P$2,'XBS '!L:L,' General Stock Summary View  '!B500,'XBS '!C:C,' General Stock Summary View  '!C500)</f>
        <v>0</v>
      </c>
      <c r="Q500" s="3">
        <f>SUMIFS('PowerApp_Physical count'!H:H,'PowerApp_Physical count'!B:B,' General Stock Summary View  '!$P$2,'PowerApp_Physical count'!C:C,' General Stock Summary View  '!C500,'PowerApp_Physical count'!A:A,' General Stock Summary View  '!B500)</f>
        <v>0</v>
      </c>
      <c r="R500" s="4">
        <f t="shared" si="75"/>
        <v>0</v>
      </c>
      <c r="S500" s="5">
        <f>SUMIFS('XBS '!T:T,'XBS '!L:L,' General Stock Summary View  '!B500,'XBS '!H:H,' General Stock Summary View  '!$S$2,'XBS '!C:C,' General Stock Summary View  '!C500)</f>
        <v>0</v>
      </c>
      <c r="T500" s="3">
        <f>SUMIFS('PowerApp_Physical count'!H:H,'PowerApp_Physical count'!B:B,' General Stock Summary View  '!$S$2,'PowerApp_Physical count'!C:C,' General Stock Summary View  '!C500,'PowerApp_Physical count'!A:A,' General Stock Summary View  '!B500)</f>
        <v>0</v>
      </c>
      <c r="U500" s="4">
        <f t="shared" si="76"/>
        <v>0</v>
      </c>
      <c r="V500" s="2">
        <f>SUMIFS('XBS '!T:T,'XBS '!H:H,' General Stock Summary View  '!$V$2,'XBS '!B:B,' General Stock Summary View  '!C500,'XBS '!L:L,' General Stock Summary View  '!B500)</f>
        <v>0</v>
      </c>
      <c r="W500" s="3">
        <f>SUMIFS('PowerApp_Physical count'!H:H,'PowerApp_Physical count'!B:B,' General Stock Summary View  '!$V$2,'PowerApp_Physical count'!C:C,' General Stock Summary View  '!C500,'PowerApp_Physical count'!A:A,' General Stock Summary View  '!B500)</f>
        <v>0</v>
      </c>
      <c r="X500" s="4">
        <f t="shared" si="77"/>
        <v>0</v>
      </c>
      <c r="Y500" s="5">
        <f>SUMIFS('XBS '!T:T,'XBS '!H:H,' General Stock Summary View  '!$Y$2,'XBS '!B:B,' General Stock Summary View  '!C500,'XBS '!L:L,' General Stock Summary View  '!B500)</f>
        <v>0</v>
      </c>
      <c r="Z500" s="3">
        <f>SUMIFS('PowerApp_Physical count'!H:H,'PowerApp_Physical count'!B:B,' General Stock Summary View  '!$Y$2,'PowerApp_Physical count'!C:C,' General Stock Summary View  '!C500,'PowerApp_Physical count'!A:A,' General Stock Summary View  '!B500)</f>
        <v>0</v>
      </c>
      <c r="AA500" s="4">
        <f t="shared" si="78"/>
        <v>0</v>
      </c>
      <c r="AB500" s="5">
        <f>SUMIFS('XBS '!T:T,'XBS '!H:H,' General Stock Summary View  '!$AB$2,'XBS '!B:B,' General Stock Summary View  '!C500,'XBS '!L:L,' General Stock Summary View  '!B500)</f>
        <v>0</v>
      </c>
      <c r="AC500" s="3">
        <f>SUMIFS('PowerApp_Physical count'!H:H,'PowerApp_Physical count'!B:B,' General Stock Summary View  '!$AB$2,'PowerApp_Physical count'!C:C,' General Stock Summary View  '!C500,'PowerApp_Physical count'!A:A,' General Stock Summary View  '!B500)</f>
        <v>0</v>
      </c>
      <c r="AD500" s="6">
        <f t="shared" si="79"/>
        <v>0</v>
      </c>
      <c r="AE500" s="7">
        <f t="shared" si="80"/>
        <v>4.7666666666666666</v>
      </c>
      <c r="AF500" s="8">
        <f t="shared" si="81"/>
        <v>8.3333333333328596E-3</v>
      </c>
      <c r="AG500" s="112"/>
    </row>
    <row r="501" spans="2:33" s="113" customFormat="1" ht="61.15">
      <c r="B501" s="117" t="s">
        <v>453</v>
      </c>
      <c r="C501" s="111" t="s">
        <v>197</v>
      </c>
      <c r="D501" s="11">
        <f>SUMIFS('XBS '!T:T,'XBS '!C:C,' General Stock Summary View  '!C501,'XBS '!L:L,' General Stock Summary View  '!B501)</f>
        <v>0</v>
      </c>
      <c r="E501" s="2">
        <f>SUMIFS('Blocked for Processing'!P:P,'Blocked for Processing'!I:I,' General Stock Summary View  '!B501,'Blocked for Processing'!C:C,' General Stock Summary View  '!C501)</f>
        <v>13.856666666666666</v>
      </c>
      <c r="F501" s="122">
        <f t="shared" si="70"/>
        <v>13.856666666666666</v>
      </c>
      <c r="G501" s="148">
        <f>SUMIFS('XBS '!T:T,'XBS '!H:H,' General Stock Summary View  '!$G$2,'XBS '!L:L,' General Stock Summary View  '!B501,'XBS '!C:C,' General Stock Summary View  '!C501)</f>
        <v>0</v>
      </c>
      <c r="H501" s="3">
        <f>SUMIFS('PowerApp_Physical count'!H:H,'PowerApp_Physical count'!B:B,' General Stock Summary View  '!$G$2,'PowerApp_Physical count'!C:C,' General Stock Summary View  '!C501,'PowerApp_Physical count'!A:A,' General Stock Summary View  '!B501)</f>
        <v>14</v>
      </c>
      <c r="I501" s="154">
        <f t="shared" si="82"/>
        <v>14</v>
      </c>
      <c r="J501" s="11">
        <f>SUMIFS('XBS '!T:T,'XBS '!H:H,' General Stock Summary View  '!$J$2,'XBS '!L:L,' General Stock Summary View  '!B501,'XBS '!C:C,' General Stock Summary View  '!C501)</f>
        <v>0</v>
      </c>
      <c r="K501" s="157">
        <f>SUMIFS('PowerApp_Physical count'!H:H,'PowerApp_Physical count'!B:B,' General Stock Summary View  '!$J$2,'PowerApp_Physical count'!C:C,' General Stock Summary View  '!C501,'PowerApp_Physical count'!A:A,' General Stock Summary View  '!B501)</f>
        <v>0</v>
      </c>
      <c r="L501" s="127">
        <f t="shared" si="71"/>
        <v>0</v>
      </c>
      <c r="M501" s="126">
        <f t="shared" si="72"/>
        <v>13.856666666666666</v>
      </c>
      <c r="N501" s="11">
        <f t="shared" si="73"/>
        <v>14</v>
      </c>
      <c r="O501" s="144">
        <f t="shared" si="74"/>
        <v>0.14333333333333442</v>
      </c>
      <c r="P501" s="2">
        <f>SUMIFS('XBS '!T:T,'XBS '!H:H,' General Stock Summary View  '!$P$2,'XBS '!L:L,' General Stock Summary View  '!B501,'XBS '!C:C,' General Stock Summary View  '!C501)</f>
        <v>0</v>
      </c>
      <c r="Q501" s="3">
        <f>SUMIFS('PowerApp_Physical count'!H:H,'PowerApp_Physical count'!B:B,' General Stock Summary View  '!$P$2,'PowerApp_Physical count'!C:C,' General Stock Summary View  '!C501,'PowerApp_Physical count'!A:A,' General Stock Summary View  '!B501)</f>
        <v>0</v>
      </c>
      <c r="R501" s="4">
        <f t="shared" si="75"/>
        <v>0</v>
      </c>
      <c r="S501" s="5">
        <f>SUMIFS('XBS '!T:T,'XBS '!L:L,' General Stock Summary View  '!B501,'XBS '!H:H,' General Stock Summary View  '!$S$2,'XBS '!C:C,' General Stock Summary View  '!C501)</f>
        <v>0</v>
      </c>
      <c r="T501" s="3">
        <f>SUMIFS('PowerApp_Physical count'!H:H,'PowerApp_Physical count'!B:B,' General Stock Summary View  '!$S$2,'PowerApp_Physical count'!C:C,' General Stock Summary View  '!C501,'PowerApp_Physical count'!A:A,' General Stock Summary View  '!B501)</f>
        <v>0</v>
      </c>
      <c r="U501" s="4">
        <f t="shared" si="76"/>
        <v>0</v>
      </c>
      <c r="V501" s="2">
        <f>SUMIFS('XBS '!T:T,'XBS '!H:H,' General Stock Summary View  '!$V$2,'XBS '!B:B,' General Stock Summary View  '!C501,'XBS '!L:L,' General Stock Summary View  '!B501)</f>
        <v>0</v>
      </c>
      <c r="W501" s="3">
        <f>SUMIFS('PowerApp_Physical count'!H:H,'PowerApp_Physical count'!B:B,' General Stock Summary View  '!$V$2,'PowerApp_Physical count'!C:C,' General Stock Summary View  '!C501,'PowerApp_Physical count'!A:A,' General Stock Summary View  '!B501)</f>
        <v>0</v>
      </c>
      <c r="X501" s="4">
        <f t="shared" si="77"/>
        <v>0</v>
      </c>
      <c r="Y501" s="5">
        <f>SUMIFS('XBS '!T:T,'XBS '!H:H,' General Stock Summary View  '!$Y$2,'XBS '!B:B,' General Stock Summary View  '!C501,'XBS '!L:L,' General Stock Summary View  '!B501)</f>
        <v>0</v>
      </c>
      <c r="Z501" s="3">
        <f>SUMIFS('PowerApp_Physical count'!H:H,'PowerApp_Physical count'!B:B,' General Stock Summary View  '!$Y$2,'PowerApp_Physical count'!C:C,' General Stock Summary View  '!C501,'PowerApp_Physical count'!A:A,' General Stock Summary View  '!B501)</f>
        <v>0</v>
      </c>
      <c r="AA501" s="4">
        <f t="shared" si="78"/>
        <v>0</v>
      </c>
      <c r="AB501" s="5">
        <f>SUMIFS('XBS '!T:T,'XBS '!H:H,' General Stock Summary View  '!$AB$2,'XBS '!B:B,' General Stock Summary View  '!C501,'XBS '!L:L,' General Stock Summary View  '!B501)</f>
        <v>0</v>
      </c>
      <c r="AC501" s="3">
        <f>SUMIFS('PowerApp_Physical count'!H:H,'PowerApp_Physical count'!B:B,' General Stock Summary View  '!$AB$2,'PowerApp_Physical count'!C:C,' General Stock Summary View  '!C501,'PowerApp_Physical count'!A:A,' General Stock Summary View  '!B501)</f>
        <v>0</v>
      </c>
      <c r="AD501" s="6">
        <f t="shared" si="79"/>
        <v>0</v>
      </c>
      <c r="AE501" s="7">
        <f t="shared" si="80"/>
        <v>14</v>
      </c>
      <c r="AF501" s="8">
        <f t="shared" si="81"/>
        <v>0.14333333333333442</v>
      </c>
      <c r="AG501" s="112"/>
    </row>
    <row r="502" spans="2:33" s="113" customFormat="1" ht="61.15">
      <c r="B502" s="117" t="s">
        <v>454</v>
      </c>
      <c r="C502" s="111" t="s">
        <v>197</v>
      </c>
      <c r="D502" s="11">
        <f>SUMIFS('XBS '!T:T,'XBS '!C:C,' General Stock Summary View  '!C502,'XBS '!L:L,' General Stock Summary View  '!B502)</f>
        <v>0</v>
      </c>
      <c r="E502" s="2">
        <f>SUMIFS('Blocked for Processing'!P:P,'Blocked for Processing'!I:I,' General Stock Summary View  '!B502,'Blocked for Processing'!C:C,' General Stock Summary View  '!C502)</f>
        <v>49.3</v>
      </c>
      <c r="F502" s="122">
        <f t="shared" si="70"/>
        <v>49.3</v>
      </c>
      <c r="G502" s="148">
        <f>SUMIFS('XBS '!T:T,'XBS '!H:H,' General Stock Summary View  '!$G$2,'XBS '!L:L,' General Stock Summary View  '!B502,'XBS '!C:C,' General Stock Summary View  '!C502)</f>
        <v>0</v>
      </c>
      <c r="H502" s="3">
        <f>SUMIFS('PowerApp_Physical count'!H:H,'PowerApp_Physical count'!B:B,' General Stock Summary View  '!$G$2,'PowerApp_Physical count'!C:C,' General Stock Summary View  '!C502,'PowerApp_Physical count'!A:A,' General Stock Summary View  '!B502)</f>
        <v>49.583333333333336</v>
      </c>
      <c r="I502" s="154">
        <f t="shared" si="82"/>
        <v>49.583333333333336</v>
      </c>
      <c r="J502" s="11">
        <f>SUMIFS('XBS '!T:T,'XBS '!H:H,' General Stock Summary View  '!$J$2,'XBS '!L:L,' General Stock Summary View  '!B502,'XBS '!C:C,' General Stock Summary View  '!C502)</f>
        <v>0</v>
      </c>
      <c r="K502" s="157">
        <f>SUMIFS('PowerApp_Physical count'!H:H,'PowerApp_Physical count'!B:B,' General Stock Summary View  '!$J$2,'PowerApp_Physical count'!C:C,' General Stock Summary View  '!C502,'PowerApp_Physical count'!A:A,' General Stock Summary View  '!B502)</f>
        <v>0</v>
      </c>
      <c r="L502" s="127">
        <f t="shared" si="71"/>
        <v>0</v>
      </c>
      <c r="M502" s="126">
        <f t="shared" si="72"/>
        <v>49.3</v>
      </c>
      <c r="N502" s="11">
        <f t="shared" si="73"/>
        <v>49.583333333333336</v>
      </c>
      <c r="O502" s="144">
        <f t="shared" si="74"/>
        <v>0.28333333333333854</v>
      </c>
      <c r="P502" s="2">
        <f>SUMIFS('XBS '!T:T,'XBS '!H:H,' General Stock Summary View  '!$P$2,'XBS '!L:L,' General Stock Summary View  '!B502,'XBS '!C:C,' General Stock Summary View  '!C502)</f>
        <v>0</v>
      </c>
      <c r="Q502" s="3">
        <f>SUMIFS('PowerApp_Physical count'!H:H,'PowerApp_Physical count'!B:B,' General Stock Summary View  '!$P$2,'PowerApp_Physical count'!C:C,' General Stock Summary View  '!C502,'PowerApp_Physical count'!A:A,' General Stock Summary View  '!B502)</f>
        <v>0</v>
      </c>
      <c r="R502" s="4">
        <f t="shared" si="75"/>
        <v>0</v>
      </c>
      <c r="S502" s="5">
        <f>SUMIFS('XBS '!T:T,'XBS '!L:L,' General Stock Summary View  '!B502,'XBS '!H:H,' General Stock Summary View  '!$S$2,'XBS '!C:C,' General Stock Summary View  '!C502)</f>
        <v>0</v>
      </c>
      <c r="T502" s="3">
        <f>SUMIFS('PowerApp_Physical count'!H:H,'PowerApp_Physical count'!B:B,' General Stock Summary View  '!$S$2,'PowerApp_Physical count'!C:C,' General Stock Summary View  '!C502,'PowerApp_Physical count'!A:A,' General Stock Summary View  '!B502)</f>
        <v>0</v>
      </c>
      <c r="U502" s="4">
        <f t="shared" si="76"/>
        <v>0</v>
      </c>
      <c r="V502" s="2">
        <f>SUMIFS('XBS '!T:T,'XBS '!H:H,' General Stock Summary View  '!$V$2,'XBS '!B:B,' General Stock Summary View  '!C502,'XBS '!L:L,' General Stock Summary View  '!B502)</f>
        <v>0</v>
      </c>
      <c r="W502" s="3">
        <f>SUMIFS('PowerApp_Physical count'!H:H,'PowerApp_Physical count'!B:B,' General Stock Summary View  '!$V$2,'PowerApp_Physical count'!C:C,' General Stock Summary View  '!C502,'PowerApp_Physical count'!A:A,' General Stock Summary View  '!B502)</f>
        <v>0</v>
      </c>
      <c r="X502" s="4">
        <f t="shared" si="77"/>
        <v>0</v>
      </c>
      <c r="Y502" s="5">
        <f>SUMIFS('XBS '!T:T,'XBS '!H:H,' General Stock Summary View  '!$Y$2,'XBS '!B:B,' General Stock Summary View  '!C502,'XBS '!L:L,' General Stock Summary View  '!B502)</f>
        <v>0</v>
      </c>
      <c r="Z502" s="3">
        <f>SUMIFS('PowerApp_Physical count'!H:H,'PowerApp_Physical count'!B:B,' General Stock Summary View  '!$Y$2,'PowerApp_Physical count'!C:C,' General Stock Summary View  '!C502,'PowerApp_Physical count'!A:A,' General Stock Summary View  '!B502)</f>
        <v>0</v>
      </c>
      <c r="AA502" s="4">
        <f t="shared" si="78"/>
        <v>0</v>
      </c>
      <c r="AB502" s="5">
        <f>SUMIFS('XBS '!T:T,'XBS '!H:H,' General Stock Summary View  '!$AB$2,'XBS '!B:B,' General Stock Summary View  '!C502,'XBS '!L:L,' General Stock Summary View  '!B502)</f>
        <v>0</v>
      </c>
      <c r="AC502" s="3">
        <f>SUMIFS('PowerApp_Physical count'!H:H,'PowerApp_Physical count'!B:B,' General Stock Summary View  '!$AB$2,'PowerApp_Physical count'!C:C,' General Stock Summary View  '!C502,'PowerApp_Physical count'!A:A,' General Stock Summary View  '!B502)</f>
        <v>0</v>
      </c>
      <c r="AD502" s="6">
        <f t="shared" si="79"/>
        <v>0</v>
      </c>
      <c r="AE502" s="7">
        <f t="shared" si="80"/>
        <v>49.583333333333336</v>
      </c>
      <c r="AF502" s="8">
        <f t="shared" si="81"/>
        <v>0.28333333333333854</v>
      </c>
      <c r="AG502" s="112"/>
    </row>
    <row r="503" spans="2:33" s="113" customFormat="1" ht="61.15">
      <c r="B503" s="117" t="s">
        <v>455</v>
      </c>
      <c r="C503" s="111" t="s">
        <v>197</v>
      </c>
      <c r="D503" s="11">
        <f>SUMIFS('XBS '!T:T,'XBS '!C:C,' General Stock Summary View  '!C503,'XBS '!L:L,' General Stock Summary View  '!B503)</f>
        <v>0</v>
      </c>
      <c r="E503" s="2">
        <f>SUMIFS('Blocked for Processing'!P:P,'Blocked for Processing'!I:I,' General Stock Summary View  '!B503,'Blocked for Processing'!C:C,' General Stock Summary View  '!C503)</f>
        <v>4.9249999999999998</v>
      </c>
      <c r="F503" s="122">
        <f t="shared" si="70"/>
        <v>4.9249999999999998</v>
      </c>
      <c r="G503" s="148">
        <f>SUMIFS('XBS '!T:T,'XBS '!H:H,' General Stock Summary View  '!$G$2,'XBS '!L:L,' General Stock Summary View  '!B503,'XBS '!C:C,' General Stock Summary View  '!C503)</f>
        <v>0</v>
      </c>
      <c r="H503" s="3">
        <f>SUMIFS('PowerApp_Physical count'!H:H,'PowerApp_Physical count'!B:B,' General Stock Summary View  '!$G$2,'PowerApp_Physical count'!C:C,' General Stock Summary View  '!C503,'PowerApp_Physical count'!A:A,' General Stock Summary View  '!B503)</f>
        <v>5.0999999999999996</v>
      </c>
      <c r="I503" s="154">
        <f t="shared" si="82"/>
        <v>5.0999999999999996</v>
      </c>
      <c r="J503" s="11">
        <f>SUMIFS('XBS '!T:T,'XBS '!H:H,' General Stock Summary View  '!$J$2,'XBS '!L:L,' General Stock Summary View  '!B503,'XBS '!C:C,' General Stock Summary View  '!C503)</f>
        <v>0</v>
      </c>
      <c r="K503" s="157">
        <f>SUMIFS('PowerApp_Physical count'!H:H,'PowerApp_Physical count'!B:B,' General Stock Summary View  '!$J$2,'PowerApp_Physical count'!C:C,' General Stock Summary View  '!C503,'PowerApp_Physical count'!A:A,' General Stock Summary View  '!B503)</f>
        <v>0</v>
      </c>
      <c r="L503" s="127">
        <f t="shared" si="71"/>
        <v>0</v>
      </c>
      <c r="M503" s="126">
        <f t="shared" si="72"/>
        <v>4.9249999999999998</v>
      </c>
      <c r="N503" s="11">
        <f t="shared" si="73"/>
        <v>5.0999999999999996</v>
      </c>
      <c r="O503" s="144">
        <f t="shared" si="74"/>
        <v>0.17499999999999982</v>
      </c>
      <c r="P503" s="2">
        <f>SUMIFS('XBS '!T:T,'XBS '!H:H,' General Stock Summary View  '!$P$2,'XBS '!L:L,' General Stock Summary View  '!B503,'XBS '!C:C,' General Stock Summary View  '!C503)</f>
        <v>0</v>
      </c>
      <c r="Q503" s="3">
        <f>SUMIFS('PowerApp_Physical count'!H:H,'PowerApp_Physical count'!B:B,' General Stock Summary View  '!$P$2,'PowerApp_Physical count'!C:C,' General Stock Summary View  '!C503,'PowerApp_Physical count'!A:A,' General Stock Summary View  '!B503)</f>
        <v>0</v>
      </c>
      <c r="R503" s="4">
        <f t="shared" si="75"/>
        <v>0</v>
      </c>
      <c r="S503" s="5">
        <f>SUMIFS('XBS '!T:T,'XBS '!L:L,' General Stock Summary View  '!B503,'XBS '!H:H,' General Stock Summary View  '!$S$2,'XBS '!C:C,' General Stock Summary View  '!C503)</f>
        <v>0</v>
      </c>
      <c r="T503" s="3">
        <f>SUMIFS('PowerApp_Physical count'!H:H,'PowerApp_Physical count'!B:B,' General Stock Summary View  '!$S$2,'PowerApp_Physical count'!C:C,' General Stock Summary View  '!C503,'PowerApp_Physical count'!A:A,' General Stock Summary View  '!B503)</f>
        <v>0</v>
      </c>
      <c r="U503" s="4">
        <f t="shared" si="76"/>
        <v>0</v>
      </c>
      <c r="V503" s="2">
        <f>SUMIFS('XBS '!T:T,'XBS '!H:H,' General Stock Summary View  '!$V$2,'XBS '!B:B,' General Stock Summary View  '!C503,'XBS '!L:L,' General Stock Summary View  '!B503)</f>
        <v>0</v>
      </c>
      <c r="W503" s="3">
        <f>SUMIFS('PowerApp_Physical count'!H:H,'PowerApp_Physical count'!B:B,' General Stock Summary View  '!$V$2,'PowerApp_Physical count'!C:C,' General Stock Summary View  '!C503,'PowerApp_Physical count'!A:A,' General Stock Summary View  '!B503)</f>
        <v>0</v>
      </c>
      <c r="X503" s="4">
        <f t="shared" si="77"/>
        <v>0</v>
      </c>
      <c r="Y503" s="5">
        <f>SUMIFS('XBS '!T:T,'XBS '!H:H,' General Stock Summary View  '!$Y$2,'XBS '!B:B,' General Stock Summary View  '!C503,'XBS '!L:L,' General Stock Summary View  '!B503)</f>
        <v>0</v>
      </c>
      <c r="Z503" s="3">
        <f>SUMIFS('PowerApp_Physical count'!H:H,'PowerApp_Physical count'!B:B,' General Stock Summary View  '!$Y$2,'PowerApp_Physical count'!C:C,' General Stock Summary View  '!C503,'PowerApp_Physical count'!A:A,' General Stock Summary View  '!B503)</f>
        <v>0</v>
      </c>
      <c r="AA503" s="4">
        <f t="shared" si="78"/>
        <v>0</v>
      </c>
      <c r="AB503" s="5">
        <f>SUMIFS('XBS '!T:T,'XBS '!H:H,' General Stock Summary View  '!$AB$2,'XBS '!B:B,' General Stock Summary View  '!C503,'XBS '!L:L,' General Stock Summary View  '!B503)</f>
        <v>0</v>
      </c>
      <c r="AC503" s="3">
        <f>SUMIFS('PowerApp_Physical count'!H:H,'PowerApp_Physical count'!B:B,' General Stock Summary View  '!$AB$2,'PowerApp_Physical count'!C:C,' General Stock Summary View  '!C503,'PowerApp_Physical count'!A:A,' General Stock Summary View  '!B503)</f>
        <v>0</v>
      </c>
      <c r="AD503" s="6">
        <f t="shared" si="79"/>
        <v>0</v>
      </c>
      <c r="AE503" s="7">
        <f t="shared" si="80"/>
        <v>5.0999999999999996</v>
      </c>
      <c r="AF503" s="8">
        <f t="shared" si="81"/>
        <v>0.17499999999999982</v>
      </c>
      <c r="AG503" s="112"/>
    </row>
    <row r="504" spans="2:33" s="113" customFormat="1" ht="61.15">
      <c r="B504" s="117" t="s">
        <v>456</v>
      </c>
      <c r="C504" s="111" t="s">
        <v>197</v>
      </c>
      <c r="D504" s="11">
        <f>SUMIFS('XBS '!T:T,'XBS '!C:C,' General Stock Summary View  '!C504,'XBS '!L:L,' General Stock Summary View  '!B504)</f>
        <v>0</v>
      </c>
      <c r="E504" s="2">
        <f>SUMIFS('Blocked for Processing'!P:P,'Blocked for Processing'!I:I,' General Stock Summary View  '!B504,'Blocked for Processing'!C:C,' General Stock Summary View  '!C504)</f>
        <v>5.4933333333333341</v>
      </c>
      <c r="F504" s="122">
        <f t="shared" si="70"/>
        <v>5.4933333333333341</v>
      </c>
      <c r="G504" s="148">
        <f>SUMIFS('XBS '!T:T,'XBS '!H:H,' General Stock Summary View  '!$G$2,'XBS '!L:L,' General Stock Summary View  '!B504,'XBS '!C:C,' General Stock Summary View  '!C504)</f>
        <v>0</v>
      </c>
      <c r="H504" s="3">
        <f>SUMIFS('PowerApp_Physical count'!H:H,'PowerApp_Physical count'!B:B,' General Stock Summary View  '!$G$2,'PowerApp_Physical count'!C:C,' General Stock Summary View  '!C504,'PowerApp_Physical count'!A:A,' General Stock Summary View  '!B504)</f>
        <v>5.666666666666667</v>
      </c>
      <c r="I504" s="154">
        <f t="shared" si="82"/>
        <v>5.666666666666667</v>
      </c>
      <c r="J504" s="11">
        <f>SUMIFS('XBS '!T:T,'XBS '!H:H,' General Stock Summary View  '!$J$2,'XBS '!L:L,' General Stock Summary View  '!B504,'XBS '!C:C,' General Stock Summary View  '!C504)</f>
        <v>0</v>
      </c>
      <c r="K504" s="157">
        <f>SUMIFS('PowerApp_Physical count'!H:H,'PowerApp_Physical count'!B:B,' General Stock Summary View  '!$J$2,'PowerApp_Physical count'!C:C,' General Stock Summary View  '!C504,'PowerApp_Physical count'!A:A,' General Stock Summary View  '!B504)</f>
        <v>0</v>
      </c>
      <c r="L504" s="127">
        <f t="shared" si="71"/>
        <v>0</v>
      </c>
      <c r="M504" s="126">
        <f t="shared" si="72"/>
        <v>5.4933333333333341</v>
      </c>
      <c r="N504" s="11">
        <f t="shared" si="73"/>
        <v>5.666666666666667</v>
      </c>
      <c r="O504" s="144">
        <f t="shared" si="74"/>
        <v>0.1733333333333329</v>
      </c>
      <c r="P504" s="2">
        <f>SUMIFS('XBS '!T:T,'XBS '!H:H,' General Stock Summary View  '!$P$2,'XBS '!L:L,' General Stock Summary View  '!B504,'XBS '!C:C,' General Stock Summary View  '!C504)</f>
        <v>0</v>
      </c>
      <c r="Q504" s="3">
        <f>SUMIFS('PowerApp_Physical count'!H:H,'PowerApp_Physical count'!B:B,' General Stock Summary View  '!$P$2,'PowerApp_Physical count'!C:C,' General Stock Summary View  '!C504,'PowerApp_Physical count'!A:A,' General Stock Summary View  '!B504)</f>
        <v>0</v>
      </c>
      <c r="R504" s="4">
        <f t="shared" si="75"/>
        <v>0</v>
      </c>
      <c r="S504" s="5">
        <f>SUMIFS('XBS '!T:T,'XBS '!L:L,' General Stock Summary View  '!B504,'XBS '!H:H,' General Stock Summary View  '!$S$2,'XBS '!C:C,' General Stock Summary View  '!C504)</f>
        <v>0</v>
      </c>
      <c r="T504" s="3">
        <f>SUMIFS('PowerApp_Physical count'!H:H,'PowerApp_Physical count'!B:B,' General Stock Summary View  '!$S$2,'PowerApp_Physical count'!C:C,' General Stock Summary View  '!C504,'PowerApp_Physical count'!A:A,' General Stock Summary View  '!B504)</f>
        <v>0</v>
      </c>
      <c r="U504" s="4">
        <f t="shared" si="76"/>
        <v>0</v>
      </c>
      <c r="V504" s="2">
        <f>SUMIFS('XBS '!T:T,'XBS '!H:H,' General Stock Summary View  '!$V$2,'XBS '!B:B,' General Stock Summary View  '!C504,'XBS '!L:L,' General Stock Summary View  '!B504)</f>
        <v>0</v>
      </c>
      <c r="W504" s="3">
        <f>SUMIFS('PowerApp_Physical count'!H:H,'PowerApp_Physical count'!B:B,' General Stock Summary View  '!$V$2,'PowerApp_Physical count'!C:C,' General Stock Summary View  '!C504,'PowerApp_Physical count'!A:A,' General Stock Summary View  '!B504)</f>
        <v>0</v>
      </c>
      <c r="X504" s="4">
        <f t="shared" si="77"/>
        <v>0</v>
      </c>
      <c r="Y504" s="5">
        <f>SUMIFS('XBS '!T:T,'XBS '!H:H,' General Stock Summary View  '!$Y$2,'XBS '!B:B,' General Stock Summary View  '!C504,'XBS '!L:L,' General Stock Summary View  '!B504)</f>
        <v>0</v>
      </c>
      <c r="Z504" s="3">
        <f>SUMIFS('PowerApp_Physical count'!H:H,'PowerApp_Physical count'!B:B,' General Stock Summary View  '!$Y$2,'PowerApp_Physical count'!C:C,' General Stock Summary View  '!C504,'PowerApp_Physical count'!A:A,' General Stock Summary View  '!B504)</f>
        <v>0</v>
      </c>
      <c r="AA504" s="4">
        <f t="shared" si="78"/>
        <v>0</v>
      </c>
      <c r="AB504" s="5">
        <f>SUMIFS('XBS '!T:T,'XBS '!H:H,' General Stock Summary View  '!$AB$2,'XBS '!B:B,' General Stock Summary View  '!C504,'XBS '!L:L,' General Stock Summary View  '!B504)</f>
        <v>0</v>
      </c>
      <c r="AC504" s="3">
        <f>SUMIFS('PowerApp_Physical count'!H:H,'PowerApp_Physical count'!B:B,' General Stock Summary View  '!$AB$2,'PowerApp_Physical count'!C:C,' General Stock Summary View  '!C504,'PowerApp_Physical count'!A:A,' General Stock Summary View  '!B504)</f>
        <v>0</v>
      </c>
      <c r="AD504" s="6">
        <f t="shared" si="79"/>
        <v>0</v>
      </c>
      <c r="AE504" s="7">
        <f t="shared" si="80"/>
        <v>5.666666666666667</v>
      </c>
      <c r="AF504" s="8">
        <f t="shared" si="81"/>
        <v>0.1733333333333329</v>
      </c>
      <c r="AG504" s="112"/>
    </row>
    <row r="505" spans="2:33" s="113" customFormat="1" ht="61.15">
      <c r="B505" s="117" t="s">
        <v>457</v>
      </c>
      <c r="C505" s="111" t="s">
        <v>197</v>
      </c>
      <c r="D505" s="11">
        <f>SUMIFS('XBS '!T:T,'XBS '!C:C,' General Stock Summary View  '!C505,'XBS '!L:L,' General Stock Summary View  '!B505)</f>
        <v>0</v>
      </c>
      <c r="E505" s="2">
        <f>SUMIFS('Blocked for Processing'!P:P,'Blocked for Processing'!I:I,' General Stock Summary View  '!B505,'Blocked for Processing'!C:C,' General Stock Summary View  '!C505)</f>
        <v>15.393333333333334</v>
      </c>
      <c r="F505" s="122">
        <f t="shared" si="70"/>
        <v>15.393333333333334</v>
      </c>
      <c r="G505" s="148">
        <f>SUMIFS('XBS '!T:T,'XBS '!H:H,' General Stock Summary View  '!$G$2,'XBS '!L:L,' General Stock Summary View  '!B505,'XBS '!C:C,' General Stock Summary View  '!C505)</f>
        <v>0</v>
      </c>
      <c r="H505" s="3">
        <f>SUMIFS('PowerApp_Physical count'!H:H,'PowerApp_Physical count'!B:B,' General Stock Summary View  '!$G$2,'PowerApp_Physical count'!C:C,' General Stock Summary View  '!C505,'PowerApp_Physical count'!A:A,' General Stock Summary View  '!B505)</f>
        <v>15.433333333333334</v>
      </c>
      <c r="I505" s="154">
        <f t="shared" si="82"/>
        <v>15.433333333333334</v>
      </c>
      <c r="J505" s="11">
        <f>SUMIFS('XBS '!T:T,'XBS '!H:H,' General Stock Summary View  '!$J$2,'XBS '!L:L,' General Stock Summary View  '!B505,'XBS '!C:C,' General Stock Summary View  '!C505)</f>
        <v>0</v>
      </c>
      <c r="K505" s="157">
        <f>SUMIFS('PowerApp_Physical count'!H:H,'PowerApp_Physical count'!B:B,' General Stock Summary View  '!$J$2,'PowerApp_Physical count'!C:C,' General Stock Summary View  '!C505,'PowerApp_Physical count'!A:A,' General Stock Summary View  '!B505)</f>
        <v>0</v>
      </c>
      <c r="L505" s="127">
        <f t="shared" si="71"/>
        <v>0</v>
      </c>
      <c r="M505" s="126">
        <f t="shared" si="72"/>
        <v>15.393333333333334</v>
      </c>
      <c r="N505" s="11">
        <f t="shared" si="73"/>
        <v>15.433333333333334</v>
      </c>
      <c r="O505" s="144">
        <f t="shared" si="74"/>
        <v>3.9999999999999147E-2</v>
      </c>
      <c r="P505" s="2">
        <f>SUMIFS('XBS '!T:T,'XBS '!H:H,' General Stock Summary View  '!$P$2,'XBS '!L:L,' General Stock Summary View  '!B505,'XBS '!C:C,' General Stock Summary View  '!C505)</f>
        <v>0</v>
      </c>
      <c r="Q505" s="3">
        <f>SUMIFS('PowerApp_Physical count'!H:H,'PowerApp_Physical count'!B:B,' General Stock Summary View  '!$P$2,'PowerApp_Physical count'!C:C,' General Stock Summary View  '!C505,'PowerApp_Physical count'!A:A,' General Stock Summary View  '!B505)</f>
        <v>0</v>
      </c>
      <c r="R505" s="4">
        <f t="shared" si="75"/>
        <v>0</v>
      </c>
      <c r="S505" s="5">
        <f>SUMIFS('XBS '!T:T,'XBS '!L:L,' General Stock Summary View  '!B505,'XBS '!H:H,' General Stock Summary View  '!$S$2,'XBS '!C:C,' General Stock Summary View  '!C505)</f>
        <v>0</v>
      </c>
      <c r="T505" s="3">
        <f>SUMIFS('PowerApp_Physical count'!H:H,'PowerApp_Physical count'!B:B,' General Stock Summary View  '!$S$2,'PowerApp_Physical count'!C:C,' General Stock Summary View  '!C505,'PowerApp_Physical count'!A:A,' General Stock Summary View  '!B505)</f>
        <v>0</v>
      </c>
      <c r="U505" s="4">
        <f t="shared" si="76"/>
        <v>0</v>
      </c>
      <c r="V505" s="2">
        <f>SUMIFS('XBS '!T:T,'XBS '!H:H,' General Stock Summary View  '!$V$2,'XBS '!B:B,' General Stock Summary View  '!C505,'XBS '!L:L,' General Stock Summary View  '!B505)</f>
        <v>0</v>
      </c>
      <c r="W505" s="3">
        <f>SUMIFS('PowerApp_Physical count'!H:H,'PowerApp_Physical count'!B:B,' General Stock Summary View  '!$V$2,'PowerApp_Physical count'!C:C,' General Stock Summary View  '!C505,'PowerApp_Physical count'!A:A,' General Stock Summary View  '!B505)</f>
        <v>0</v>
      </c>
      <c r="X505" s="4">
        <f t="shared" si="77"/>
        <v>0</v>
      </c>
      <c r="Y505" s="5">
        <f>SUMIFS('XBS '!T:T,'XBS '!H:H,' General Stock Summary View  '!$Y$2,'XBS '!B:B,' General Stock Summary View  '!C505,'XBS '!L:L,' General Stock Summary View  '!B505)</f>
        <v>0</v>
      </c>
      <c r="Z505" s="3">
        <f>SUMIFS('PowerApp_Physical count'!H:H,'PowerApp_Physical count'!B:B,' General Stock Summary View  '!$Y$2,'PowerApp_Physical count'!C:C,' General Stock Summary View  '!C505,'PowerApp_Physical count'!A:A,' General Stock Summary View  '!B505)</f>
        <v>0</v>
      </c>
      <c r="AA505" s="4">
        <f t="shared" si="78"/>
        <v>0</v>
      </c>
      <c r="AB505" s="5">
        <f>SUMIFS('XBS '!T:T,'XBS '!H:H,' General Stock Summary View  '!$AB$2,'XBS '!B:B,' General Stock Summary View  '!C505,'XBS '!L:L,' General Stock Summary View  '!B505)</f>
        <v>0</v>
      </c>
      <c r="AC505" s="3">
        <f>SUMIFS('PowerApp_Physical count'!H:H,'PowerApp_Physical count'!B:B,' General Stock Summary View  '!$AB$2,'PowerApp_Physical count'!C:C,' General Stock Summary View  '!C505,'PowerApp_Physical count'!A:A,' General Stock Summary View  '!B505)</f>
        <v>0</v>
      </c>
      <c r="AD505" s="6">
        <f t="shared" si="79"/>
        <v>0</v>
      </c>
      <c r="AE505" s="7">
        <f t="shared" si="80"/>
        <v>15.433333333333334</v>
      </c>
      <c r="AF505" s="8">
        <f t="shared" si="81"/>
        <v>3.9999999999999147E-2</v>
      </c>
      <c r="AG505" s="112"/>
    </row>
    <row r="506" spans="2:33" s="113" customFormat="1" ht="61.15">
      <c r="B506" s="117" t="s">
        <v>458</v>
      </c>
      <c r="C506" s="111" t="s">
        <v>197</v>
      </c>
      <c r="D506" s="11">
        <f>SUMIFS('XBS '!T:T,'XBS '!C:C,' General Stock Summary View  '!C506,'XBS '!L:L,' General Stock Summary View  '!B506)</f>
        <v>0</v>
      </c>
      <c r="E506" s="2">
        <f>SUMIFS('Blocked for Processing'!P:P,'Blocked for Processing'!I:I,' General Stock Summary View  '!B506,'Blocked for Processing'!C:C,' General Stock Summary View  '!C506)</f>
        <v>11.42</v>
      </c>
      <c r="F506" s="122">
        <f t="shared" si="70"/>
        <v>11.42</v>
      </c>
      <c r="G506" s="148">
        <f>SUMIFS('XBS '!T:T,'XBS '!H:H,' General Stock Summary View  '!$G$2,'XBS '!L:L,' General Stock Summary View  '!B506,'XBS '!C:C,' General Stock Summary View  '!C506)</f>
        <v>0</v>
      </c>
      <c r="H506" s="3">
        <f>SUMIFS('PowerApp_Physical count'!H:H,'PowerApp_Physical count'!B:B,' General Stock Summary View  '!$G$2,'PowerApp_Physical count'!C:C,' General Stock Summary View  '!C506,'PowerApp_Physical count'!A:A,' General Stock Summary View  '!B506)</f>
        <v>11.383333333333333</v>
      </c>
      <c r="I506" s="154">
        <f t="shared" si="82"/>
        <v>11.383333333333333</v>
      </c>
      <c r="J506" s="11">
        <f>SUMIFS('XBS '!T:T,'XBS '!H:H,' General Stock Summary View  '!$J$2,'XBS '!L:L,' General Stock Summary View  '!B506,'XBS '!C:C,' General Stock Summary View  '!C506)</f>
        <v>0</v>
      </c>
      <c r="K506" s="157">
        <f>SUMIFS('PowerApp_Physical count'!H:H,'PowerApp_Physical count'!B:B,' General Stock Summary View  '!$J$2,'PowerApp_Physical count'!C:C,' General Stock Summary View  '!C506,'PowerApp_Physical count'!A:A,' General Stock Summary View  '!B506)</f>
        <v>0</v>
      </c>
      <c r="L506" s="127">
        <f t="shared" si="71"/>
        <v>0</v>
      </c>
      <c r="M506" s="126">
        <f t="shared" si="72"/>
        <v>11.42</v>
      </c>
      <c r="N506" s="11">
        <f t="shared" si="73"/>
        <v>11.383333333333333</v>
      </c>
      <c r="O506" s="144">
        <f t="shared" si="74"/>
        <v>-3.6666666666667069E-2</v>
      </c>
      <c r="P506" s="2">
        <f>SUMIFS('XBS '!T:T,'XBS '!H:H,' General Stock Summary View  '!$P$2,'XBS '!L:L,' General Stock Summary View  '!B506,'XBS '!C:C,' General Stock Summary View  '!C506)</f>
        <v>0</v>
      </c>
      <c r="Q506" s="3">
        <f>SUMIFS('PowerApp_Physical count'!H:H,'PowerApp_Physical count'!B:B,' General Stock Summary View  '!$P$2,'PowerApp_Physical count'!C:C,' General Stock Summary View  '!C506,'PowerApp_Physical count'!A:A,' General Stock Summary View  '!B506)</f>
        <v>0</v>
      </c>
      <c r="R506" s="4">
        <f t="shared" si="75"/>
        <v>0</v>
      </c>
      <c r="S506" s="5">
        <f>SUMIFS('XBS '!T:T,'XBS '!L:L,' General Stock Summary View  '!B506,'XBS '!H:H,' General Stock Summary View  '!$S$2,'XBS '!C:C,' General Stock Summary View  '!C506)</f>
        <v>0</v>
      </c>
      <c r="T506" s="3">
        <f>SUMIFS('PowerApp_Physical count'!H:H,'PowerApp_Physical count'!B:B,' General Stock Summary View  '!$S$2,'PowerApp_Physical count'!C:C,' General Stock Summary View  '!C506,'PowerApp_Physical count'!A:A,' General Stock Summary View  '!B506)</f>
        <v>0</v>
      </c>
      <c r="U506" s="4">
        <f t="shared" si="76"/>
        <v>0</v>
      </c>
      <c r="V506" s="2">
        <f>SUMIFS('XBS '!T:T,'XBS '!H:H,' General Stock Summary View  '!$V$2,'XBS '!B:B,' General Stock Summary View  '!C506,'XBS '!L:L,' General Stock Summary View  '!B506)</f>
        <v>0</v>
      </c>
      <c r="W506" s="3">
        <f>SUMIFS('PowerApp_Physical count'!H:H,'PowerApp_Physical count'!B:B,' General Stock Summary View  '!$V$2,'PowerApp_Physical count'!C:C,' General Stock Summary View  '!C506,'PowerApp_Physical count'!A:A,' General Stock Summary View  '!B506)</f>
        <v>0</v>
      </c>
      <c r="X506" s="4">
        <f t="shared" si="77"/>
        <v>0</v>
      </c>
      <c r="Y506" s="5">
        <f>SUMIFS('XBS '!T:T,'XBS '!H:H,' General Stock Summary View  '!$Y$2,'XBS '!B:B,' General Stock Summary View  '!C506,'XBS '!L:L,' General Stock Summary View  '!B506)</f>
        <v>0</v>
      </c>
      <c r="Z506" s="3">
        <f>SUMIFS('PowerApp_Physical count'!H:H,'PowerApp_Physical count'!B:B,' General Stock Summary View  '!$Y$2,'PowerApp_Physical count'!C:C,' General Stock Summary View  '!C506,'PowerApp_Physical count'!A:A,' General Stock Summary View  '!B506)</f>
        <v>0</v>
      </c>
      <c r="AA506" s="4">
        <f t="shared" si="78"/>
        <v>0</v>
      </c>
      <c r="AB506" s="5">
        <f>SUMIFS('XBS '!T:T,'XBS '!H:H,' General Stock Summary View  '!$AB$2,'XBS '!B:B,' General Stock Summary View  '!C506,'XBS '!L:L,' General Stock Summary View  '!B506)</f>
        <v>0</v>
      </c>
      <c r="AC506" s="3">
        <f>SUMIFS('PowerApp_Physical count'!H:H,'PowerApp_Physical count'!B:B,' General Stock Summary View  '!$AB$2,'PowerApp_Physical count'!C:C,' General Stock Summary View  '!C506,'PowerApp_Physical count'!A:A,' General Stock Summary View  '!B506)</f>
        <v>0</v>
      </c>
      <c r="AD506" s="6">
        <f t="shared" si="79"/>
        <v>0</v>
      </c>
      <c r="AE506" s="7">
        <f t="shared" si="80"/>
        <v>11.383333333333333</v>
      </c>
      <c r="AF506" s="8">
        <f t="shared" si="81"/>
        <v>-3.6666666666667069E-2</v>
      </c>
      <c r="AG506" s="112"/>
    </row>
    <row r="507" spans="2:33" s="113" customFormat="1" ht="61.15">
      <c r="B507" s="117" t="s">
        <v>459</v>
      </c>
      <c r="C507" s="111" t="s">
        <v>197</v>
      </c>
      <c r="D507" s="11">
        <f>SUMIFS('XBS '!T:T,'XBS '!C:C,' General Stock Summary View  '!C507,'XBS '!L:L,' General Stock Summary View  '!B507)</f>
        <v>0</v>
      </c>
      <c r="E507" s="2">
        <f>SUMIFS('Blocked for Processing'!P:P,'Blocked for Processing'!I:I,' General Stock Summary View  '!B507,'Blocked for Processing'!C:C,' General Stock Summary View  '!C507)</f>
        <v>5.1433333333333335</v>
      </c>
      <c r="F507" s="122">
        <f t="shared" si="70"/>
        <v>5.1433333333333335</v>
      </c>
      <c r="G507" s="148">
        <f>SUMIFS('XBS '!T:T,'XBS '!H:H,' General Stock Summary View  '!$G$2,'XBS '!L:L,' General Stock Summary View  '!B507,'XBS '!C:C,' General Stock Summary View  '!C507)</f>
        <v>0</v>
      </c>
      <c r="H507" s="3">
        <f>SUMIFS('PowerApp_Physical count'!H:H,'PowerApp_Physical count'!B:B,' General Stock Summary View  '!$G$2,'PowerApp_Physical count'!C:C,' General Stock Summary View  '!C507,'PowerApp_Physical count'!A:A,' General Stock Summary View  '!B507)</f>
        <v>5.2666666666666666</v>
      </c>
      <c r="I507" s="154">
        <f t="shared" si="82"/>
        <v>5.2666666666666666</v>
      </c>
      <c r="J507" s="11">
        <f>SUMIFS('XBS '!T:T,'XBS '!H:H,' General Stock Summary View  '!$J$2,'XBS '!L:L,' General Stock Summary View  '!B507,'XBS '!C:C,' General Stock Summary View  '!C507)</f>
        <v>0</v>
      </c>
      <c r="K507" s="157">
        <f>SUMIFS('PowerApp_Physical count'!H:H,'PowerApp_Physical count'!B:B,' General Stock Summary View  '!$J$2,'PowerApp_Physical count'!C:C,' General Stock Summary View  '!C507,'PowerApp_Physical count'!A:A,' General Stock Summary View  '!B507)</f>
        <v>0</v>
      </c>
      <c r="L507" s="127">
        <f t="shared" si="71"/>
        <v>0</v>
      </c>
      <c r="M507" s="126">
        <f t="shared" si="72"/>
        <v>5.1433333333333335</v>
      </c>
      <c r="N507" s="11">
        <f t="shared" si="73"/>
        <v>5.2666666666666666</v>
      </c>
      <c r="O507" s="144">
        <f t="shared" si="74"/>
        <v>0.12333333333333307</v>
      </c>
      <c r="P507" s="2">
        <f>SUMIFS('XBS '!T:T,'XBS '!H:H,' General Stock Summary View  '!$P$2,'XBS '!L:L,' General Stock Summary View  '!B507,'XBS '!C:C,' General Stock Summary View  '!C507)</f>
        <v>0</v>
      </c>
      <c r="Q507" s="3">
        <f>SUMIFS('PowerApp_Physical count'!H:H,'PowerApp_Physical count'!B:B,' General Stock Summary View  '!$P$2,'PowerApp_Physical count'!C:C,' General Stock Summary View  '!C507,'PowerApp_Physical count'!A:A,' General Stock Summary View  '!B507)</f>
        <v>0</v>
      </c>
      <c r="R507" s="4">
        <f t="shared" si="75"/>
        <v>0</v>
      </c>
      <c r="S507" s="5">
        <f>SUMIFS('XBS '!T:T,'XBS '!L:L,' General Stock Summary View  '!B507,'XBS '!H:H,' General Stock Summary View  '!$S$2,'XBS '!C:C,' General Stock Summary View  '!C507)</f>
        <v>0</v>
      </c>
      <c r="T507" s="3">
        <f>SUMIFS('PowerApp_Physical count'!H:H,'PowerApp_Physical count'!B:B,' General Stock Summary View  '!$S$2,'PowerApp_Physical count'!C:C,' General Stock Summary View  '!C507,'PowerApp_Physical count'!A:A,' General Stock Summary View  '!B507)</f>
        <v>0</v>
      </c>
      <c r="U507" s="4">
        <f t="shared" si="76"/>
        <v>0</v>
      </c>
      <c r="V507" s="2">
        <f>SUMIFS('XBS '!T:T,'XBS '!H:H,' General Stock Summary View  '!$V$2,'XBS '!B:B,' General Stock Summary View  '!C507,'XBS '!L:L,' General Stock Summary View  '!B507)</f>
        <v>0</v>
      </c>
      <c r="W507" s="3">
        <f>SUMIFS('PowerApp_Physical count'!H:H,'PowerApp_Physical count'!B:B,' General Stock Summary View  '!$V$2,'PowerApp_Physical count'!C:C,' General Stock Summary View  '!C507,'PowerApp_Physical count'!A:A,' General Stock Summary View  '!B507)</f>
        <v>0</v>
      </c>
      <c r="X507" s="4">
        <f t="shared" si="77"/>
        <v>0</v>
      </c>
      <c r="Y507" s="5">
        <f>SUMIFS('XBS '!T:T,'XBS '!H:H,' General Stock Summary View  '!$Y$2,'XBS '!B:B,' General Stock Summary View  '!C507,'XBS '!L:L,' General Stock Summary View  '!B507)</f>
        <v>0</v>
      </c>
      <c r="Z507" s="3">
        <f>SUMIFS('PowerApp_Physical count'!H:H,'PowerApp_Physical count'!B:B,' General Stock Summary View  '!$Y$2,'PowerApp_Physical count'!C:C,' General Stock Summary View  '!C507,'PowerApp_Physical count'!A:A,' General Stock Summary View  '!B507)</f>
        <v>0</v>
      </c>
      <c r="AA507" s="4">
        <f t="shared" si="78"/>
        <v>0</v>
      </c>
      <c r="AB507" s="5">
        <f>SUMIFS('XBS '!T:T,'XBS '!H:H,' General Stock Summary View  '!$AB$2,'XBS '!B:B,' General Stock Summary View  '!C507,'XBS '!L:L,' General Stock Summary View  '!B507)</f>
        <v>0</v>
      </c>
      <c r="AC507" s="3">
        <f>SUMIFS('PowerApp_Physical count'!H:H,'PowerApp_Physical count'!B:B,' General Stock Summary View  '!$AB$2,'PowerApp_Physical count'!C:C,' General Stock Summary View  '!C507,'PowerApp_Physical count'!A:A,' General Stock Summary View  '!B507)</f>
        <v>0</v>
      </c>
      <c r="AD507" s="6">
        <f t="shared" si="79"/>
        <v>0</v>
      </c>
      <c r="AE507" s="7">
        <f t="shared" si="80"/>
        <v>5.2666666666666666</v>
      </c>
      <c r="AF507" s="8">
        <f t="shared" si="81"/>
        <v>0.12333333333333307</v>
      </c>
      <c r="AG507" s="112"/>
    </row>
    <row r="508" spans="2:33" s="113" customFormat="1" ht="61.15">
      <c r="B508" s="117" t="s">
        <v>460</v>
      </c>
      <c r="C508" s="111" t="s">
        <v>197</v>
      </c>
      <c r="D508" s="11">
        <f>SUMIFS('XBS '!T:T,'XBS '!C:C,' General Stock Summary View  '!C508,'XBS '!L:L,' General Stock Summary View  '!B508)</f>
        <v>0</v>
      </c>
      <c r="E508" s="2">
        <f>SUMIFS('Blocked for Processing'!P:P,'Blocked for Processing'!I:I,' General Stock Summary View  '!B508,'Blocked for Processing'!C:C,' General Stock Summary View  '!C508)</f>
        <v>5.91</v>
      </c>
      <c r="F508" s="122">
        <f t="shared" si="70"/>
        <v>5.91</v>
      </c>
      <c r="G508" s="148">
        <f>SUMIFS('XBS '!T:T,'XBS '!H:H,' General Stock Summary View  '!$G$2,'XBS '!L:L,' General Stock Summary View  '!B508,'XBS '!C:C,' General Stock Summary View  '!C508)</f>
        <v>0</v>
      </c>
      <c r="H508" s="3">
        <f>SUMIFS('PowerApp_Physical count'!H:H,'PowerApp_Physical count'!B:B,' General Stock Summary View  '!$G$2,'PowerApp_Physical count'!C:C,' General Stock Summary View  '!C508,'PowerApp_Physical count'!A:A,' General Stock Summary View  '!B508)</f>
        <v>6.1</v>
      </c>
      <c r="I508" s="154">
        <f t="shared" si="82"/>
        <v>6.1</v>
      </c>
      <c r="J508" s="11">
        <f>SUMIFS('XBS '!T:T,'XBS '!H:H,' General Stock Summary View  '!$J$2,'XBS '!L:L,' General Stock Summary View  '!B508,'XBS '!C:C,' General Stock Summary View  '!C508)</f>
        <v>0</v>
      </c>
      <c r="K508" s="157">
        <f>SUMIFS('PowerApp_Physical count'!H:H,'PowerApp_Physical count'!B:B,' General Stock Summary View  '!$J$2,'PowerApp_Physical count'!C:C,' General Stock Summary View  '!C508,'PowerApp_Physical count'!A:A,' General Stock Summary View  '!B508)</f>
        <v>0</v>
      </c>
      <c r="L508" s="127">
        <f t="shared" si="71"/>
        <v>0</v>
      </c>
      <c r="M508" s="126">
        <f t="shared" si="72"/>
        <v>5.91</v>
      </c>
      <c r="N508" s="11">
        <f t="shared" si="73"/>
        <v>6.1</v>
      </c>
      <c r="O508" s="144">
        <f t="shared" si="74"/>
        <v>0.1899999999999995</v>
      </c>
      <c r="P508" s="2">
        <f>SUMIFS('XBS '!T:T,'XBS '!H:H,' General Stock Summary View  '!$P$2,'XBS '!L:L,' General Stock Summary View  '!B508,'XBS '!C:C,' General Stock Summary View  '!C508)</f>
        <v>0</v>
      </c>
      <c r="Q508" s="3">
        <f>SUMIFS('PowerApp_Physical count'!H:H,'PowerApp_Physical count'!B:B,' General Stock Summary View  '!$P$2,'PowerApp_Physical count'!C:C,' General Stock Summary View  '!C508,'PowerApp_Physical count'!A:A,' General Stock Summary View  '!B508)</f>
        <v>0</v>
      </c>
      <c r="R508" s="4">
        <f t="shared" si="75"/>
        <v>0</v>
      </c>
      <c r="S508" s="5">
        <f>SUMIFS('XBS '!T:T,'XBS '!L:L,' General Stock Summary View  '!B508,'XBS '!H:H,' General Stock Summary View  '!$S$2,'XBS '!C:C,' General Stock Summary View  '!C508)</f>
        <v>0</v>
      </c>
      <c r="T508" s="3">
        <f>SUMIFS('PowerApp_Physical count'!H:H,'PowerApp_Physical count'!B:B,' General Stock Summary View  '!$S$2,'PowerApp_Physical count'!C:C,' General Stock Summary View  '!C508,'PowerApp_Physical count'!A:A,' General Stock Summary View  '!B508)</f>
        <v>0</v>
      </c>
      <c r="U508" s="4">
        <f t="shared" si="76"/>
        <v>0</v>
      </c>
      <c r="V508" s="2">
        <f>SUMIFS('XBS '!T:T,'XBS '!H:H,' General Stock Summary View  '!$V$2,'XBS '!B:B,' General Stock Summary View  '!C508,'XBS '!L:L,' General Stock Summary View  '!B508)</f>
        <v>0</v>
      </c>
      <c r="W508" s="3">
        <f>SUMIFS('PowerApp_Physical count'!H:H,'PowerApp_Physical count'!B:B,' General Stock Summary View  '!$V$2,'PowerApp_Physical count'!C:C,' General Stock Summary View  '!C508,'PowerApp_Physical count'!A:A,' General Stock Summary View  '!B508)</f>
        <v>0</v>
      </c>
      <c r="X508" s="4">
        <f t="shared" si="77"/>
        <v>0</v>
      </c>
      <c r="Y508" s="5">
        <f>SUMIFS('XBS '!T:T,'XBS '!H:H,' General Stock Summary View  '!$Y$2,'XBS '!B:B,' General Stock Summary View  '!C508,'XBS '!L:L,' General Stock Summary View  '!B508)</f>
        <v>0</v>
      </c>
      <c r="Z508" s="3">
        <f>SUMIFS('PowerApp_Physical count'!H:H,'PowerApp_Physical count'!B:B,' General Stock Summary View  '!$Y$2,'PowerApp_Physical count'!C:C,' General Stock Summary View  '!C508,'PowerApp_Physical count'!A:A,' General Stock Summary View  '!B508)</f>
        <v>0</v>
      </c>
      <c r="AA508" s="4">
        <f t="shared" si="78"/>
        <v>0</v>
      </c>
      <c r="AB508" s="5">
        <f>SUMIFS('XBS '!T:T,'XBS '!H:H,' General Stock Summary View  '!$AB$2,'XBS '!B:B,' General Stock Summary View  '!C508,'XBS '!L:L,' General Stock Summary View  '!B508)</f>
        <v>0</v>
      </c>
      <c r="AC508" s="3">
        <f>SUMIFS('PowerApp_Physical count'!H:H,'PowerApp_Physical count'!B:B,' General Stock Summary View  '!$AB$2,'PowerApp_Physical count'!C:C,' General Stock Summary View  '!C508,'PowerApp_Physical count'!A:A,' General Stock Summary View  '!B508)</f>
        <v>0</v>
      </c>
      <c r="AD508" s="6">
        <f t="shared" si="79"/>
        <v>0</v>
      </c>
      <c r="AE508" s="7">
        <f t="shared" si="80"/>
        <v>6.1</v>
      </c>
      <c r="AF508" s="8">
        <f t="shared" si="81"/>
        <v>0.1899999999999995</v>
      </c>
      <c r="AG508" s="112"/>
    </row>
    <row r="509" spans="2:33" s="113" customFormat="1" ht="61.15">
      <c r="B509" s="117" t="s">
        <v>461</v>
      </c>
      <c r="C509" s="111" t="s">
        <v>197</v>
      </c>
      <c r="D509" s="11">
        <f>SUMIFS('XBS '!T:T,'XBS '!C:C,' General Stock Summary View  '!C509,'XBS '!L:L,' General Stock Summary View  '!B509)</f>
        <v>0</v>
      </c>
      <c r="E509" s="2">
        <f>SUMIFS('Blocked for Processing'!P:P,'Blocked for Processing'!I:I,' General Stock Summary View  '!B509,'Blocked for Processing'!C:C,' General Stock Summary View  '!C509)</f>
        <v>7.48</v>
      </c>
      <c r="F509" s="122">
        <f t="shared" si="70"/>
        <v>7.48</v>
      </c>
      <c r="G509" s="148">
        <f>SUMIFS('XBS '!T:T,'XBS '!H:H,' General Stock Summary View  '!$G$2,'XBS '!L:L,' General Stock Summary View  '!B509,'XBS '!C:C,' General Stock Summary View  '!C509)</f>
        <v>0</v>
      </c>
      <c r="H509" s="3">
        <f>SUMIFS('PowerApp_Physical count'!H:H,'PowerApp_Physical count'!B:B,' General Stock Summary View  '!$G$2,'PowerApp_Physical count'!C:C,' General Stock Summary View  '!C509,'PowerApp_Physical count'!A:A,' General Stock Summary View  '!B509)</f>
        <v>7.55</v>
      </c>
      <c r="I509" s="154">
        <f t="shared" si="82"/>
        <v>7.55</v>
      </c>
      <c r="J509" s="11">
        <f>SUMIFS('XBS '!T:T,'XBS '!H:H,' General Stock Summary View  '!$J$2,'XBS '!L:L,' General Stock Summary View  '!B509,'XBS '!C:C,' General Stock Summary View  '!C509)</f>
        <v>0</v>
      </c>
      <c r="K509" s="157">
        <f>SUMIFS('PowerApp_Physical count'!H:H,'PowerApp_Physical count'!B:B,' General Stock Summary View  '!$J$2,'PowerApp_Physical count'!C:C,' General Stock Summary View  '!C509,'PowerApp_Physical count'!A:A,' General Stock Summary View  '!B509)</f>
        <v>0</v>
      </c>
      <c r="L509" s="127">
        <f t="shared" si="71"/>
        <v>0</v>
      </c>
      <c r="M509" s="126">
        <f t="shared" si="72"/>
        <v>7.48</v>
      </c>
      <c r="N509" s="11">
        <f t="shared" si="73"/>
        <v>7.55</v>
      </c>
      <c r="O509" s="144">
        <f t="shared" si="74"/>
        <v>6.9999999999999396E-2</v>
      </c>
      <c r="P509" s="2">
        <f>SUMIFS('XBS '!T:T,'XBS '!H:H,' General Stock Summary View  '!$P$2,'XBS '!L:L,' General Stock Summary View  '!B509,'XBS '!C:C,' General Stock Summary View  '!C509)</f>
        <v>0</v>
      </c>
      <c r="Q509" s="3">
        <f>SUMIFS('PowerApp_Physical count'!H:H,'PowerApp_Physical count'!B:B,' General Stock Summary View  '!$P$2,'PowerApp_Physical count'!C:C,' General Stock Summary View  '!C509,'PowerApp_Physical count'!A:A,' General Stock Summary View  '!B509)</f>
        <v>0</v>
      </c>
      <c r="R509" s="4">
        <f t="shared" si="75"/>
        <v>0</v>
      </c>
      <c r="S509" s="5">
        <f>SUMIFS('XBS '!T:T,'XBS '!L:L,' General Stock Summary View  '!B509,'XBS '!H:H,' General Stock Summary View  '!$S$2,'XBS '!C:C,' General Stock Summary View  '!C509)</f>
        <v>0</v>
      </c>
      <c r="T509" s="3">
        <f>SUMIFS('PowerApp_Physical count'!H:H,'PowerApp_Physical count'!B:B,' General Stock Summary View  '!$S$2,'PowerApp_Physical count'!C:C,' General Stock Summary View  '!C509,'PowerApp_Physical count'!A:A,' General Stock Summary View  '!B509)</f>
        <v>0</v>
      </c>
      <c r="U509" s="4">
        <f t="shared" si="76"/>
        <v>0</v>
      </c>
      <c r="V509" s="2">
        <f>SUMIFS('XBS '!T:T,'XBS '!H:H,' General Stock Summary View  '!$V$2,'XBS '!B:B,' General Stock Summary View  '!C509,'XBS '!L:L,' General Stock Summary View  '!B509)</f>
        <v>0</v>
      </c>
      <c r="W509" s="3">
        <f>SUMIFS('PowerApp_Physical count'!H:H,'PowerApp_Physical count'!B:B,' General Stock Summary View  '!$V$2,'PowerApp_Physical count'!C:C,' General Stock Summary View  '!C509,'PowerApp_Physical count'!A:A,' General Stock Summary View  '!B509)</f>
        <v>0</v>
      </c>
      <c r="X509" s="4">
        <f t="shared" si="77"/>
        <v>0</v>
      </c>
      <c r="Y509" s="5">
        <f>SUMIFS('XBS '!T:T,'XBS '!H:H,' General Stock Summary View  '!$Y$2,'XBS '!B:B,' General Stock Summary View  '!C509,'XBS '!L:L,' General Stock Summary View  '!B509)</f>
        <v>0</v>
      </c>
      <c r="Z509" s="3">
        <f>SUMIFS('PowerApp_Physical count'!H:H,'PowerApp_Physical count'!B:B,' General Stock Summary View  '!$Y$2,'PowerApp_Physical count'!C:C,' General Stock Summary View  '!C509,'PowerApp_Physical count'!A:A,' General Stock Summary View  '!B509)</f>
        <v>0</v>
      </c>
      <c r="AA509" s="4">
        <f t="shared" si="78"/>
        <v>0</v>
      </c>
      <c r="AB509" s="5">
        <f>SUMIFS('XBS '!T:T,'XBS '!H:H,' General Stock Summary View  '!$AB$2,'XBS '!B:B,' General Stock Summary View  '!C509,'XBS '!L:L,' General Stock Summary View  '!B509)</f>
        <v>0</v>
      </c>
      <c r="AC509" s="3">
        <f>SUMIFS('PowerApp_Physical count'!H:H,'PowerApp_Physical count'!B:B,' General Stock Summary View  '!$AB$2,'PowerApp_Physical count'!C:C,' General Stock Summary View  '!C509,'PowerApp_Physical count'!A:A,' General Stock Summary View  '!B509)</f>
        <v>0</v>
      </c>
      <c r="AD509" s="6">
        <f t="shared" si="79"/>
        <v>0</v>
      </c>
      <c r="AE509" s="7">
        <f t="shared" si="80"/>
        <v>7.55</v>
      </c>
      <c r="AF509" s="8">
        <f t="shared" si="81"/>
        <v>6.9999999999999396E-2</v>
      </c>
      <c r="AG509" s="112"/>
    </row>
    <row r="510" spans="2:33" s="113" customFormat="1" ht="61.15">
      <c r="B510" s="117" t="s">
        <v>462</v>
      </c>
      <c r="C510" s="111" t="s">
        <v>197</v>
      </c>
      <c r="D510" s="11">
        <f>SUMIFS('XBS '!T:T,'XBS '!C:C,' General Stock Summary View  '!C510,'XBS '!L:L,' General Stock Summary View  '!B510)</f>
        <v>0</v>
      </c>
      <c r="E510" s="2">
        <f>SUMIFS('Blocked for Processing'!P:P,'Blocked for Processing'!I:I,' General Stock Summary View  '!B510,'Blocked for Processing'!C:C,' General Stock Summary View  '!C510)</f>
        <v>6.1949999999999994</v>
      </c>
      <c r="F510" s="122">
        <f t="shared" si="70"/>
        <v>6.1949999999999994</v>
      </c>
      <c r="G510" s="148">
        <f>SUMIFS('XBS '!T:T,'XBS '!H:H,' General Stock Summary View  '!$G$2,'XBS '!L:L,' General Stock Summary View  '!B510,'XBS '!C:C,' General Stock Summary View  '!C510)</f>
        <v>0</v>
      </c>
      <c r="H510" s="3">
        <f>SUMIFS('PowerApp_Physical count'!H:H,'PowerApp_Physical count'!B:B,' General Stock Summary View  '!$G$2,'PowerApp_Physical count'!C:C,' General Stock Summary View  '!C510,'PowerApp_Physical count'!A:A,' General Stock Summary View  '!B510)</f>
        <v>6.3666666666666663</v>
      </c>
      <c r="I510" s="154">
        <f t="shared" si="82"/>
        <v>6.3666666666666663</v>
      </c>
      <c r="J510" s="11">
        <f>SUMIFS('XBS '!T:T,'XBS '!H:H,' General Stock Summary View  '!$J$2,'XBS '!L:L,' General Stock Summary View  '!B510,'XBS '!C:C,' General Stock Summary View  '!C510)</f>
        <v>0</v>
      </c>
      <c r="K510" s="157">
        <f>SUMIFS('PowerApp_Physical count'!H:H,'PowerApp_Physical count'!B:B,' General Stock Summary View  '!$J$2,'PowerApp_Physical count'!C:C,' General Stock Summary View  '!C510,'PowerApp_Physical count'!A:A,' General Stock Summary View  '!B510)</f>
        <v>0</v>
      </c>
      <c r="L510" s="127">
        <f t="shared" si="71"/>
        <v>0</v>
      </c>
      <c r="M510" s="126">
        <f t="shared" si="72"/>
        <v>6.1949999999999994</v>
      </c>
      <c r="N510" s="11">
        <f t="shared" si="73"/>
        <v>6.3666666666666663</v>
      </c>
      <c r="O510" s="144">
        <f t="shared" si="74"/>
        <v>0.17166666666666686</v>
      </c>
      <c r="P510" s="2">
        <f>SUMIFS('XBS '!T:T,'XBS '!H:H,' General Stock Summary View  '!$P$2,'XBS '!L:L,' General Stock Summary View  '!B510,'XBS '!C:C,' General Stock Summary View  '!C510)</f>
        <v>0</v>
      </c>
      <c r="Q510" s="3">
        <f>SUMIFS('PowerApp_Physical count'!H:H,'PowerApp_Physical count'!B:B,' General Stock Summary View  '!$P$2,'PowerApp_Physical count'!C:C,' General Stock Summary View  '!C510,'PowerApp_Physical count'!A:A,' General Stock Summary View  '!B510)</f>
        <v>0</v>
      </c>
      <c r="R510" s="4">
        <f t="shared" si="75"/>
        <v>0</v>
      </c>
      <c r="S510" s="5">
        <f>SUMIFS('XBS '!T:T,'XBS '!L:L,' General Stock Summary View  '!B510,'XBS '!H:H,' General Stock Summary View  '!$S$2,'XBS '!C:C,' General Stock Summary View  '!C510)</f>
        <v>0</v>
      </c>
      <c r="T510" s="3">
        <f>SUMIFS('PowerApp_Physical count'!H:H,'PowerApp_Physical count'!B:B,' General Stock Summary View  '!$S$2,'PowerApp_Physical count'!C:C,' General Stock Summary View  '!C510,'PowerApp_Physical count'!A:A,' General Stock Summary View  '!B510)</f>
        <v>0</v>
      </c>
      <c r="U510" s="4">
        <f t="shared" si="76"/>
        <v>0</v>
      </c>
      <c r="V510" s="2">
        <f>SUMIFS('XBS '!T:T,'XBS '!H:H,' General Stock Summary View  '!$V$2,'XBS '!B:B,' General Stock Summary View  '!C510,'XBS '!L:L,' General Stock Summary View  '!B510)</f>
        <v>0</v>
      </c>
      <c r="W510" s="3">
        <f>SUMIFS('PowerApp_Physical count'!H:H,'PowerApp_Physical count'!B:B,' General Stock Summary View  '!$V$2,'PowerApp_Physical count'!C:C,' General Stock Summary View  '!C510,'PowerApp_Physical count'!A:A,' General Stock Summary View  '!B510)</f>
        <v>0</v>
      </c>
      <c r="X510" s="4">
        <f t="shared" si="77"/>
        <v>0</v>
      </c>
      <c r="Y510" s="5">
        <f>SUMIFS('XBS '!T:T,'XBS '!H:H,' General Stock Summary View  '!$Y$2,'XBS '!B:B,' General Stock Summary View  '!C510,'XBS '!L:L,' General Stock Summary View  '!B510)</f>
        <v>0</v>
      </c>
      <c r="Z510" s="3">
        <f>SUMIFS('PowerApp_Physical count'!H:H,'PowerApp_Physical count'!B:B,' General Stock Summary View  '!$Y$2,'PowerApp_Physical count'!C:C,' General Stock Summary View  '!C510,'PowerApp_Physical count'!A:A,' General Stock Summary View  '!B510)</f>
        <v>0</v>
      </c>
      <c r="AA510" s="4">
        <f t="shared" si="78"/>
        <v>0</v>
      </c>
      <c r="AB510" s="5">
        <f>SUMIFS('XBS '!T:T,'XBS '!H:H,' General Stock Summary View  '!$AB$2,'XBS '!B:B,' General Stock Summary View  '!C510,'XBS '!L:L,' General Stock Summary View  '!B510)</f>
        <v>0</v>
      </c>
      <c r="AC510" s="3">
        <f>SUMIFS('PowerApp_Physical count'!H:H,'PowerApp_Physical count'!B:B,' General Stock Summary View  '!$AB$2,'PowerApp_Physical count'!C:C,' General Stock Summary View  '!C510,'PowerApp_Physical count'!A:A,' General Stock Summary View  '!B510)</f>
        <v>0</v>
      </c>
      <c r="AD510" s="6">
        <f t="shared" si="79"/>
        <v>0</v>
      </c>
      <c r="AE510" s="7">
        <f t="shared" si="80"/>
        <v>6.3666666666666663</v>
      </c>
      <c r="AF510" s="8">
        <f t="shared" si="81"/>
        <v>0.17166666666666686</v>
      </c>
      <c r="AG510" s="112"/>
    </row>
    <row r="511" spans="2:33" s="113" customFormat="1" ht="61.15">
      <c r="B511" s="117" t="s">
        <v>463</v>
      </c>
      <c r="C511" s="111" t="s">
        <v>197</v>
      </c>
      <c r="D511" s="11">
        <f>SUMIFS('XBS '!T:T,'XBS '!C:C,' General Stock Summary View  '!C511,'XBS '!L:L,' General Stock Summary View  '!B511)</f>
        <v>0</v>
      </c>
      <c r="E511" s="2">
        <f>SUMIFS('Blocked for Processing'!P:P,'Blocked for Processing'!I:I,' General Stock Summary View  '!B511,'Blocked for Processing'!C:C,' General Stock Summary View  '!C511)</f>
        <v>8.4816666666666656</v>
      </c>
      <c r="F511" s="122">
        <f t="shared" si="70"/>
        <v>8.4816666666666656</v>
      </c>
      <c r="G511" s="148">
        <f>SUMIFS('XBS '!T:T,'XBS '!H:H,' General Stock Summary View  '!$G$2,'XBS '!L:L,' General Stock Summary View  '!B511,'XBS '!C:C,' General Stock Summary View  '!C511)</f>
        <v>0</v>
      </c>
      <c r="H511" s="3">
        <f>SUMIFS('PowerApp_Physical count'!H:H,'PowerApp_Physical count'!B:B,' General Stock Summary View  '!$G$2,'PowerApp_Physical count'!C:C,' General Stock Summary View  '!C511,'PowerApp_Physical count'!A:A,' General Stock Summary View  '!B511)</f>
        <v>8.6</v>
      </c>
      <c r="I511" s="154">
        <f t="shared" si="82"/>
        <v>8.6</v>
      </c>
      <c r="J511" s="11">
        <f>SUMIFS('XBS '!T:T,'XBS '!H:H,' General Stock Summary View  '!$J$2,'XBS '!L:L,' General Stock Summary View  '!B511,'XBS '!C:C,' General Stock Summary View  '!C511)</f>
        <v>0</v>
      </c>
      <c r="K511" s="157">
        <f>SUMIFS('PowerApp_Physical count'!H:H,'PowerApp_Physical count'!B:B,' General Stock Summary View  '!$J$2,'PowerApp_Physical count'!C:C,' General Stock Summary View  '!C511,'PowerApp_Physical count'!A:A,' General Stock Summary View  '!B511)</f>
        <v>0</v>
      </c>
      <c r="L511" s="127">
        <f t="shared" si="71"/>
        <v>0</v>
      </c>
      <c r="M511" s="126">
        <f t="shared" si="72"/>
        <v>8.4816666666666656</v>
      </c>
      <c r="N511" s="11">
        <f t="shared" si="73"/>
        <v>8.6</v>
      </c>
      <c r="O511" s="144">
        <f t="shared" si="74"/>
        <v>0.11833333333333407</v>
      </c>
      <c r="P511" s="2">
        <f>SUMIFS('XBS '!T:T,'XBS '!H:H,' General Stock Summary View  '!$P$2,'XBS '!L:L,' General Stock Summary View  '!B511,'XBS '!C:C,' General Stock Summary View  '!C511)</f>
        <v>0</v>
      </c>
      <c r="Q511" s="3">
        <f>SUMIFS('PowerApp_Physical count'!H:H,'PowerApp_Physical count'!B:B,' General Stock Summary View  '!$P$2,'PowerApp_Physical count'!C:C,' General Stock Summary View  '!C511,'PowerApp_Physical count'!A:A,' General Stock Summary View  '!B511)</f>
        <v>0</v>
      </c>
      <c r="R511" s="4">
        <f t="shared" si="75"/>
        <v>0</v>
      </c>
      <c r="S511" s="5">
        <f>SUMIFS('XBS '!T:T,'XBS '!L:L,' General Stock Summary View  '!B511,'XBS '!H:H,' General Stock Summary View  '!$S$2,'XBS '!C:C,' General Stock Summary View  '!C511)</f>
        <v>0</v>
      </c>
      <c r="T511" s="3">
        <f>SUMIFS('PowerApp_Physical count'!H:H,'PowerApp_Physical count'!B:B,' General Stock Summary View  '!$S$2,'PowerApp_Physical count'!C:C,' General Stock Summary View  '!C511,'PowerApp_Physical count'!A:A,' General Stock Summary View  '!B511)</f>
        <v>0</v>
      </c>
      <c r="U511" s="4">
        <f t="shared" si="76"/>
        <v>0</v>
      </c>
      <c r="V511" s="2">
        <f>SUMIFS('XBS '!T:T,'XBS '!H:H,' General Stock Summary View  '!$V$2,'XBS '!B:B,' General Stock Summary View  '!C511,'XBS '!L:L,' General Stock Summary View  '!B511)</f>
        <v>0</v>
      </c>
      <c r="W511" s="3">
        <f>SUMIFS('PowerApp_Physical count'!H:H,'PowerApp_Physical count'!B:B,' General Stock Summary View  '!$V$2,'PowerApp_Physical count'!C:C,' General Stock Summary View  '!C511,'PowerApp_Physical count'!A:A,' General Stock Summary View  '!B511)</f>
        <v>0</v>
      </c>
      <c r="X511" s="4">
        <f t="shared" si="77"/>
        <v>0</v>
      </c>
      <c r="Y511" s="5">
        <f>SUMIFS('XBS '!T:T,'XBS '!H:H,' General Stock Summary View  '!$Y$2,'XBS '!B:B,' General Stock Summary View  '!C511,'XBS '!L:L,' General Stock Summary View  '!B511)</f>
        <v>0</v>
      </c>
      <c r="Z511" s="3">
        <f>SUMIFS('PowerApp_Physical count'!H:H,'PowerApp_Physical count'!B:B,' General Stock Summary View  '!$Y$2,'PowerApp_Physical count'!C:C,' General Stock Summary View  '!C511,'PowerApp_Physical count'!A:A,' General Stock Summary View  '!B511)</f>
        <v>0</v>
      </c>
      <c r="AA511" s="4">
        <f t="shared" si="78"/>
        <v>0</v>
      </c>
      <c r="AB511" s="5">
        <f>SUMIFS('XBS '!T:T,'XBS '!H:H,' General Stock Summary View  '!$AB$2,'XBS '!B:B,' General Stock Summary View  '!C511,'XBS '!L:L,' General Stock Summary View  '!B511)</f>
        <v>0</v>
      </c>
      <c r="AC511" s="3">
        <f>SUMIFS('PowerApp_Physical count'!H:H,'PowerApp_Physical count'!B:B,' General Stock Summary View  '!$AB$2,'PowerApp_Physical count'!C:C,' General Stock Summary View  '!C511,'PowerApp_Physical count'!A:A,' General Stock Summary View  '!B511)</f>
        <v>0</v>
      </c>
      <c r="AD511" s="6">
        <f t="shared" si="79"/>
        <v>0</v>
      </c>
      <c r="AE511" s="7">
        <f t="shared" si="80"/>
        <v>8.6</v>
      </c>
      <c r="AF511" s="8">
        <f t="shared" si="81"/>
        <v>0.11833333333333407</v>
      </c>
      <c r="AG511" s="112"/>
    </row>
    <row r="512" spans="2:33" s="113" customFormat="1" ht="61.15">
      <c r="B512" s="117" t="s">
        <v>464</v>
      </c>
      <c r="C512" s="111" t="s">
        <v>197</v>
      </c>
      <c r="D512" s="11">
        <f>SUMIFS('XBS '!T:T,'XBS '!C:C,' General Stock Summary View  '!C512,'XBS '!L:L,' General Stock Summary View  '!B512)</f>
        <v>0</v>
      </c>
      <c r="E512" s="2">
        <f>SUMIFS('Blocked for Processing'!P:P,'Blocked for Processing'!I:I,' General Stock Summary View  '!B512,'Blocked for Processing'!C:C,' General Stock Summary View  '!C512)</f>
        <v>28.046666666666667</v>
      </c>
      <c r="F512" s="122">
        <f t="shared" si="70"/>
        <v>28.046666666666667</v>
      </c>
      <c r="G512" s="148">
        <f>SUMIFS('XBS '!T:T,'XBS '!H:H,' General Stock Summary View  '!$G$2,'XBS '!L:L,' General Stock Summary View  '!B512,'XBS '!C:C,' General Stock Summary View  '!C512)</f>
        <v>0</v>
      </c>
      <c r="H512" s="3">
        <f>SUMIFS('PowerApp_Physical count'!H:H,'PowerApp_Physical count'!B:B,' General Stock Summary View  '!$G$2,'PowerApp_Physical count'!C:C,' General Stock Summary View  '!C512,'PowerApp_Physical count'!A:A,' General Stock Summary View  '!B512)</f>
        <v>28.016666666666666</v>
      </c>
      <c r="I512" s="154">
        <f t="shared" si="82"/>
        <v>28.016666666666666</v>
      </c>
      <c r="J512" s="11">
        <f>SUMIFS('XBS '!T:T,'XBS '!H:H,' General Stock Summary View  '!$J$2,'XBS '!L:L,' General Stock Summary View  '!B512,'XBS '!C:C,' General Stock Summary View  '!C512)</f>
        <v>0</v>
      </c>
      <c r="K512" s="157">
        <f>SUMIFS('PowerApp_Physical count'!H:H,'PowerApp_Physical count'!B:B,' General Stock Summary View  '!$J$2,'PowerApp_Physical count'!C:C,' General Stock Summary View  '!C512,'PowerApp_Physical count'!A:A,' General Stock Summary View  '!B512)</f>
        <v>0</v>
      </c>
      <c r="L512" s="127">
        <f t="shared" si="71"/>
        <v>0</v>
      </c>
      <c r="M512" s="126">
        <f t="shared" si="72"/>
        <v>28.046666666666667</v>
      </c>
      <c r="N512" s="11">
        <f t="shared" si="73"/>
        <v>28.016666666666666</v>
      </c>
      <c r="O512" s="144">
        <f t="shared" si="74"/>
        <v>-3.0000000000001137E-2</v>
      </c>
      <c r="P512" s="2">
        <f>SUMIFS('XBS '!T:T,'XBS '!H:H,' General Stock Summary View  '!$P$2,'XBS '!L:L,' General Stock Summary View  '!B512,'XBS '!C:C,' General Stock Summary View  '!C512)</f>
        <v>0</v>
      </c>
      <c r="Q512" s="3">
        <f>SUMIFS('PowerApp_Physical count'!H:H,'PowerApp_Physical count'!B:B,' General Stock Summary View  '!$P$2,'PowerApp_Physical count'!C:C,' General Stock Summary View  '!C512,'PowerApp_Physical count'!A:A,' General Stock Summary View  '!B512)</f>
        <v>0</v>
      </c>
      <c r="R512" s="4">
        <f t="shared" si="75"/>
        <v>0</v>
      </c>
      <c r="S512" s="5">
        <f>SUMIFS('XBS '!T:T,'XBS '!L:L,' General Stock Summary View  '!B512,'XBS '!H:H,' General Stock Summary View  '!$S$2,'XBS '!C:C,' General Stock Summary View  '!C512)</f>
        <v>0</v>
      </c>
      <c r="T512" s="3">
        <f>SUMIFS('PowerApp_Physical count'!H:H,'PowerApp_Physical count'!B:B,' General Stock Summary View  '!$S$2,'PowerApp_Physical count'!C:C,' General Stock Summary View  '!C512,'PowerApp_Physical count'!A:A,' General Stock Summary View  '!B512)</f>
        <v>0</v>
      </c>
      <c r="U512" s="4">
        <f t="shared" si="76"/>
        <v>0</v>
      </c>
      <c r="V512" s="2">
        <f>SUMIFS('XBS '!T:T,'XBS '!H:H,' General Stock Summary View  '!$V$2,'XBS '!B:B,' General Stock Summary View  '!C512,'XBS '!L:L,' General Stock Summary View  '!B512)</f>
        <v>0</v>
      </c>
      <c r="W512" s="3">
        <f>SUMIFS('PowerApp_Physical count'!H:H,'PowerApp_Physical count'!B:B,' General Stock Summary View  '!$V$2,'PowerApp_Physical count'!C:C,' General Stock Summary View  '!C512,'PowerApp_Physical count'!A:A,' General Stock Summary View  '!B512)</f>
        <v>0</v>
      </c>
      <c r="X512" s="4">
        <f t="shared" si="77"/>
        <v>0</v>
      </c>
      <c r="Y512" s="5">
        <f>SUMIFS('XBS '!T:T,'XBS '!H:H,' General Stock Summary View  '!$Y$2,'XBS '!B:B,' General Stock Summary View  '!C512,'XBS '!L:L,' General Stock Summary View  '!B512)</f>
        <v>0</v>
      </c>
      <c r="Z512" s="3">
        <f>SUMIFS('PowerApp_Physical count'!H:H,'PowerApp_Physical count'!B:B,' General Stock Summary View  '!$Y$2,'PowerApp_Physical count'!C:C,' General Stock Summary View  '!C512,'PowerApp_Physical count'!A:A,' General Stock Summary View  '!B512)</f>
        <v>0</v>
      </c>
      <c r="AA512" s="4">
        <f t="shared" si="78"/>
        <v>0</v>
      </c>
      <c r="AB512" s="5">
        <f>SUMIFS('XBS '!T:T,'XBS '!H:H,' General Stock Summary View  '!$AB$2,'XBS '!B:B,' General Stock Summary View  '!C512,'XBS '!L:L,' General Stock Summary View  '!B512)</f>
        <v>0</v>
      </c>
      <c r="AC512" s="3">
        <f>SUMIFS('PowerApp_Physical count'!H:H,'PowerApp_Physical count'!B:B,' General Stock Summary View  '!$AB$2,'PowerApp_Physical count'!C:C,' General Stock Summary View  '!C512,'PowerApp_Physical count'!A:A,' General Stock Summary View  '!B512)</f>
        <v>0</v>
      </c>
      <c r="AD512" s="6">
        <f t="shared" si="79"/>
        <v>0</v>
      </c>
      <c r="AE512" s="7">
        <f t="shared" si="80"/>
        <v>28.016666666666666</v>
      </c>
      <c r="AF512" s="8">
        <f t="shared" si="81"/>
        <v>-3.0000000000001137E-2</v>
      </c>
      <c r="AG512" s="112"/>
    </row>
    <row r="513" spans="2:33" s="113" customFormat="1" ht="61.15">
      <c r="B513" s="117" t="s">
        <v>465</v>
      </c>
      <c r="C513" s="111" t="s">
        <v>197</v>
      </c>
      <c r="D513" s="11">
        <f>SUMIFS('XBS '!T:T,'XBS '!C:C,' General Stock Summary View  '!C513,'XBS '!L:L,' General Stock Summary View  '!B513)</f>
        <v>0</v>
      </c>
      <c r="E513" s="2">
        <f>SUMIFS('Blocked for Processing'!P:P,'Blocked for Processing'!I:I,' General Stock Summary View  '!B513,'Blocked for Processing'!C:C,' General Stock Summary View  '!C513)</f>
        <v>9.6666666666666661</v>
      </c>
      <c r="F513" s="122">
        <f t="shared" si="70"/>
        <v>9.6666666666666661</v>
      </c>
      <c r="G513" s="148">
        <f>SUMIFS('XBS '!T:T,'XBS '!H:H,' General Stock Summary View  '!$G$2,'XBS '!L:L,' General Stock Summary View  '!B513,'XBS '!C:C,' General Stock Summary View  '!C513)</f>
        <v>0</v>
      </c>
      <c r="H513" s="3">
        <f>SUMIFS('PowerApp_Physical count'!H:H,'PowerApp_Physical count'!B:B,' General Stock Summary View  '!$G$2,'PowerApp_Physical count'!C:C,' General Stock Summary View  '!C513,'PowerApp_Physical count'!A:A,' General Stock Summary View  '!B513)</f>
        <v>9.65</v>
      </c>
      <c r="I513" s="154">
        <f t="shared" si="82"/>
        <v>9.65</v>
      </c>
      <c r="J513" s="11">
        <f>SUMIFS('XBS '!T:T,'XBS '!H:H,' General Stock Summary View  '!$J$2,'XBS '!L:L,' General Stock Summary View  '!B513,'XBS '!C:C,' General Stock Summary View  '!C513)</f>
        <v>0</v>
      </c>
      <c r="K513" s="157">
        <f>SUMIFS('PowerApp_Physical count'!H:H,'PowerApp_Physical count'!B:B,' General Stock Summary View  '!$J$2,'PowerApp_Physical count'!C:C,' General Stock Summary View  '!C513,'PowerApp_Physical count'!A:A,' General Stock Summary View  '!B513)</f>
        <v>0</v>
      </c>
      <c r="L513" s="127">
        <f t="shared" si="71"/>
        <v>0</v>
      </c>
      <c r="M513" s="126">
        <f t="shared" si="72"/>
        <v>9.6666666666666661</v>
      </c>
      <c r="N513" s="11">
        <f t="shared" si="73"/>
        <v>9.65</v>
      </c>
      <c r="O513" s="144">
        <f t="shared" si="74"/>
        <v>-1.6666666666665719E-2</v>
      </c>
      <c r="P513" s="2">
        <f>SUMIFS('XBS '!T:T,'XBS '!H:H,' General Stock Summary View  '!$P$2,'XBS '!L:L,' General Stock Summary View  '!B513,'XBS '!C:C,' General Stock Summary View  '!C513)</f>
        <v>0</v>
      </c>
      <c r="Q513" s="3">
        <f>SUMIFS('PowerApp_Physical count'!H:H,'PowerApp_Physical count'!B:B,' General Stock Summary View  '!$P$2,'PowerApp_Physical count'!C:C,' General Stock Summary View  '!C513,'PowerApp_Physical count'!A:A,' General Stock Summary View  '!B513)</f>
        <v>0</v>
      </c>
      <c r="R513" s="4">
        <f t="shared" si="75"/>
        <v>0</v>
      </c>
      <c r="S513" s="5">
        <f>SUMIFS('XBS '!T:T,'XBS '!L:L,' General Stock Summary View  '!B513,'XBS '!H:H,' General Stock Summary View  '!$S$2,'XBS '!C:C,' General Stock Summary View  '!C513)</f>
        <v>0</v>
      </c>
      <c r="T513" s="3">
        <f>SUMIFS('PowerApp_Physical count'!H:H,'PowerApp_Physical count'!B:B,' General Stock Summary View  '!$S$2,'PowerApp_Physical count'!C:C,' General Stock Summary View  '!C513,'PowerApp_Physical count'!A:A,' General Stock Summary View  '!B513)</f>
        <v>0</v>
      </c>
      <c r="U513" s="4">
        <f t="shared" si="76"/>
        <v>0</v>
      </c>
      <c r="V513" s="2">
        <f>SUMIFS('XBS '!T:T,'XBS '!H:H,' General Stock Summary View  '!$V$2,'XBS '!B:B,' General Stock Summary View  '!C513,'XBS '!L:L,' General Stock Summary View  '!B513)</f>
        <v>0</v>
      </c>
      <c r="W513" s="3">
        <f>SUMIFS('PowerApp_Physical count'!H:H,'PowerApp_Physical count'!B:B,' General Stock Summary View  '!$V$2,'PowerApp_Physical count'!C:C,' General Stock Summary View  '!C513,'PowerApp_Physical count'!A:A,' General Stock Summary View  '!B513)</f>
        <v>0</v>
      </c>
      <c r="X513" s="4">
        <f t="shared" si="77"/>
        <v>0</v>
      </c>
      <c r="Y513" s="5">
        <f>SUMIFS('XBS '!T:T,'XBS '!H:H,' General Stock Summary View  '!$Y$2,'XBS '!B:B,' General Stock Summary View  '!C513,'XBS '!L:L,' General Stock Summary View  '!B513)</f>
        <v>0</v>
      </c>
      <c r="Z513" s="3">
        <f>SUMIFS('PowerApp_Physical count'!H:H,'PowerApp_Physical count'!B:B,' General Stock Summary View  '!$Y$2,'PowerApp_Physical count'!C:C,' General Stock Summary View  '!C513,'PowerApp_Physical count'!A:A,' General Stock Summary View  '!B513)</f>
        <v>0</v>
      </c>
      <c r="AA513" s="4">
        <f t="shared" si="78"/>
        <v>0</v>
      </c>
      <c r="AB513" s="5">
        <f>SUMIFS('XBS '!T:T,'XBS '!H:H,' General Stock Summary View  '!$AB$2,'XBS '!B:B,' General Stock Summary View  '!C513,'XBS '!L:L,' General Stock Summary View  '!B513)</f>
        <v>0</v>
      </c>
      <c r="AC513" s="3">
        <f>SUMIFS('PowerApp_Physical count'!H:H,'PowerApp_Physical count'!B:B,' General Stock Summary View  '!$AB$2,'PowerApp_Physical count'!C:C,' General Stock Summary View  '!C513,'PowerApp_Physical count'!A:A,' General Stock Summary View  '!B513)</f>
        <v>0</v>
      </c>
      <c r="AD513" s="6">
        <f t="shared" si="79"/>
        <v>0</v>
      </c>
      <c r="AE513" s="7">
        <f t="shared" si="80"/>
        <v>9.65</v>
      </c>
      <c r="AF513" s="8">
        <f t="shared" si="81"/>
        <v>-1.6666666666665719E-2</v>
      </c>
      <c r="AG513" s="112"/>
    </row>
    <row r="514" spans="2:33" s="113" customFormat="1" ht="61.15">
      <c r="B514" s="117" t="s">
        <v>466</v>
      </c>
      <c r="C514" s="111" t="s">
        <v>197</v>
      </c>
      <c r="D514" s="11">
        <f>SUMIFS('XBS '!T:T,'XBS '!C:C,' General Stock Summary View  '!C514,'XBS '!L:L,' General Stock Summary View  '!B514)</f>
        <v>0</v>
      </c>
      <c r="E514" s="2">
        <f>SUMIFS('Blocked for Processing'!P:P,'Blocked for Processing'!I:I,' General Stock Summary View  '!B514,'Blocked for Processing'!C:C,' General Stock Summary View  '!C514)</f>
        <v>88.431666666666658</v>
      </c>
      <c r="F514" s="122">
        <f t="shared" si="70"/>
        <v>88.431666666666658</v>
      </c>
      <c r="G514" s="148">
        <f>SUMIFS('XBS '!T:T,'XBS '!H:H,' General Stock Summary View  '!$G$2,'XBS '!L:L,' General Stock Summary View  '!B514,'XBS '!C:C,' General Stock Summary View  '!C514)</f>
        <v>0</v>
      </c>
      <c r="H514" s="3">
        <f>SUMIFS('PowerApp_Physical count'!H:H,'PowerApp_Physical count'!B:B,' General Stock Summary View  '!$G$2,'PowerApp_Physical count'!C:C,' General Stock Summary View  '!C514,'PowerApp_Physical count'!A:A,' General Stock Summary View  '!B514)</f>
        <v>88.65</v>
      </c>
      <c r="I514" s="154">
        <f t="shared" si="82"/>
        <v>88.65</v>
      </c>
      <c r="J514" s="11">
        <f>SUMIFS('XBS '!T:T,'XBS '!H:H,' General Stock Summary View  '!$J$2,'XBS '!L:L,' General Stock Summary View  '!B514,'XBS '!C:C,' General Stock Summary View  '!C514)</f>
        <v>0</v>
      </c>
      <c r="K514" s="157">
        <f>SUMIFS('PowerApp_Physical count'!H:H,'PowerApp_Physical count'!B:B,' General Stock Summary View  '!$J$2,'PowerApp_Physical count'!C:C,' General Stock Summary View  '!C514,'PowerApp_Physical count'!A:A,' General Stock Summary View  '!B514)</f>
        <v>0</v>
      </c>
      <c r="L514" s="127">
        <f t="shared" si="71"/>
        <v>0</v>
      </c>
      <c r="M514" s="126">
        <f t="shared" si="72"/>
        <v>88.431666666666658</v>
      </c>
      <c r="N514" s="11">
        <f t="shared" si="73"/>
        <v>88.65</v>
      </c>
      <c r="O514" s="144">
        <f t="shared" si="74"/>
        <v>0.21833333333334792</v>
      </c>
      <c r="P514" s="2">
        <f>SUMIFS('XBS '!T:T,'XBS '!H:H,' General Stock Summary View  '!$P$2,'XBS '!L:L,' General Stock Summary View  '!B514,'XBS '!C:C,' General Stock Summary View  '!C514)</f>
        <v>0</v>
      </c>
      <c r="Q514" s="3">
        <f>SUMIFS('PowerApp_Physical count'!H:H,'PowerApp_Physical count'!B:B,' General Stock Summary View  '!$P$2,'PowerApp_Physical count'!C:C,' General Stock Summary View  '!C514,'PowerApp_Physical count'!A:A,' General Stock Summary View  '!B514)</f>
        <v>0</v>
      </c>
      <c r="R514" s="4">
        <f t="shared" si="75"/>
        <v>0</v>
      </c>
      <c r="S514" s="5">
        <f>SUMIFS('XBS '!T:T,'XBS '!L:L,' General Stock Summary View  '!B514,'XBS '!H:H,' General Stock Summary View  '!$S$2,'XBS '!C:C,' General Stock Summary View  '!C514)</f>
        <v>0</v>
      </c>
      <c r="T514" s="3">
        <f>SUMIFS('PowerApp_Physical count'!H:H,'PowerApp_Physical count'!B:B,' General Stock Summary View  '!$S$2,'PowerApp_Physical count'!C:C,' General Stock Summary View  '!C514,'PowerApp_Physical count'!A:A,' General Stock Summary View  '!B514)</f>
        <v>0</v>
      </c>
      <c r="U514" s="4">
        <f t="shared" si="76"/>
        <v>0</v>
      </c>
      <c r="V514" s="2">
        <f>SUMIFS('XBS '!T:T,'XBS '!H:H,' General Stock Summary View  '!$V$2,'XBS '!B:B,' General Stock Summary View  '!C514,'XBS '!L:L,' General Stock Summary View  '!B514)</f>
        <v>0</v>
      </c>
      <c r="W514" s="3">
        <f>SUMIFS('PowerApp_Physical count'!H:H,'PowerApp_Physical count'!B:B,' General Stock Summary View  '!$V$2,'PowerApp_Physical count'!C:C,' General Stock Summary View  '!C514,'PowerApp_Physical count'!A:A,' General Stock Summary View  '!B514)</f>
        <v>0</v>
      </c>
      <c r="X514" s="4">
        <f t="shared" si="77"/>
        <v>0</v>
      </c>
      <c r="Y514" s="5">
        <f>SUMIFS('XBS '!T:T,'XBS '!H:H,' General Stock Summary View  '!$Y$2,'XBS '!B:B,' General Stock Summary View  '!C514,'XBS '!L:L,' General Stock Summary View  '!B514)</f>
        <v>0</v>
      </c>
      <c r="Z514" s="3">
        <f>SUMIFS('PowerApp_Physical count'!H:H,'PowerApp_Physical count'!B:B,' General Stock Summary View  '!$Y$2,'PowerApp_Physical count'!C:C,' General Stock Summary View  '!C514,'PowerApp_Physical count'!A:A,' General Stock Summary View  '!B514)</f>
        <v>0</v>
      </c>
      <c r="AA514" s="4">
        <f t="shared" si="78"/>
        <v>0</v>
      </c>
      <c r="AB514" s="5">
        <f>SUMIFS('XBS '!T:T,'XBS '!H:H,' General Stock Summary View  '!$AB$2,'XBS '!B:B,' General Stock Summary View  '!C514,'XBS '!L:L,' General Stock Summary View  '!B514)</f>
        <v>0</v>
      </c>
      <c r="AC514" s="3">
        <f>SUMIFS('PowerApp_Physical count'!H:H,'PowerApp_Physical count'!B:B,' General Stock Summary View  '!$AB$2,'PowerApp_Physical count'!C:C,' General Stock Summary View  '!C514,'PowerApp_Physical count'!A:A,' General Stock Summary View  '!B514)</f>
        <v>0</v>
      </c>
      <c r="AD514" s="6">
        <f t="shared" si="79"/>
        <v>0</v>
      </c>
      <c r="AE514" s="7">
        <f t="shared" si="80"/>
        <v>88.65</v>
      </c>
      <c r="AF514" s="8">
        <f t="shared" si="81"/>
        <v>0.21833333333334792</v>
      </c>
      <c r="AG514" s="112"/>
    </row>
    <row r="515" spans="2:33" s="113" customFormat="1" ht="61.15">
      <c r="B515" s="117" t="s">
        <v>467</v>
      </c>
      <c r="C515" s="111" t="s">
        <v>197</v>
      </c>
      <c r="D515" s="11">
        <f>SUMIFS('XBS '!T:T,'XBS '!C:C,' General Stock Summary View  '!C515,'XBS '!L:L,' General Stock Summary View  '!B515)</f>
        <v>0</v>
      </c>
      <c r="E515" s="2">
        <f>SUMIFS('Blocked for Processing'!P:P,'Blocked for Processing'!I:I,' General Stock Summary View  '!B515,'Blocked for Processing'!C:C,' General Stock Summary View  '!C515)</f>
        <v>13.623333333333333</v>
      </c>
      <c r="F515" s="122">
        <f t="shared" si="70"/>
        <v>13.623333333333333</v>
      </c>
      <c r="G515" s="148">
        <f>SUMIFS('XBS '!T:T,'XBS '!H:H,' General Stock Summary View  '!$G$2,'XBS '!L:L,' General Stock Summary View  '!B515,'XBS '!C:C,' General Stock Summary View  '!C515)</f>
        <v>0</v>
      </c>
      <c r="H515" s="3">
        <f>SUMIFS('PowerApp_Physical count'!H:H,'PowerApp_Physical count'!B:B,' General Stock Summary View  '!$G$2,'PowerApp_Physical count'!C:C,' General Stock Summary View  '!C515,'PowerApp_Physical count'!A:A,' General Stock Summary View  '!B515)</f>
        <v>13.816666666666666</v>
      </c>
      <c r="I515" s="154">
        <f t="shared" si="82"/>
        <v>13.816666666666666</v>
      </c>
      <c r="J515" s="11">
        <f>SUMIFS('XBS '!T:T,'XBS '!H:H,' General Stock Summary View  '!$J$2,'XBS '!L:L,' General Stock Summary View  '!B515,'XBS '!C:C,' General Stock Summary View  '!C515)</f>
        <v>0</v>
      </c>
      <c r="K515" s="157">
        <f>SUMIFS('PowerApp_Physical count'!H:H,'PowerApp_Physical count'!B:B,' General Stock Summary View  '!$J$2,'PowerApp_Physical count'!C:C,' General Stock Summary View  '!C515,'PowerApp_Physical count'!A:A,' General Stock Summary View  '!B515)</f>
        <v>0</v>
      </c>
      <c r="L515" s="127">
        <f t="shared" si="71"/>
        <v>0</v>
      </c>
      <c r="M515" s="126">
        <f t="shared" si="72"/>
        <v>13.623333333333333</v>
      </c>
      <c r="N515" s="11">
        <f t="shared" si="73"/>
        <v>13.816666666666666</v>
      </c>
      <c r="O515" s="144">
        <f t="shared" si="74"/>
        <v>0.19333333333333336</v>
      </c>
      <c r="P515" s="2">
        <f>SUMIFS('XBS '!T:T,'XBS '!H:H,' General Stock Summary View  '!$P$2,'XBS '!L:L,' General Stock Summary View  '!B515,'XBS '!C:C,' General Stock Summary View  '!C515)</f>
        <v>0</v>
      </c>
      <c r="Q515" s="3">
        <f>SUMIFS('PowerApp_Physical count'!H:H,'PowerApp_Physical count'!B:B,' General Stock Summary View  '!$P$2,'PowerApp_Physical count'!C:C,' General Stock Summary View  '!C515,'PowerApp_Physical count'!A:A,' General Stock Summary View  '!B515)</f>
        <v>0</v>
      </c>
      <c r="R515" s="4">
        <f t="shared" si="75"/>
        <v>0</v>
      </c>
      <c r="S515" s="5">
        <f>SUMIFS('XBS '!T:T,'XBS '!L:L,' General Stock Summary View  '!B515,'XBS '!H:H,' General Stock Summary View  '!$S$2,'XBS '!C:C,' General Stock Summary View  '!C515)</f>
        <v>0</v>
      </c>
      <c r="T515" s="3">
        <f>SUMIFS('PowerApp_Physical count'!H:H,'PowerApp_Physical count'!B:B,' General Stock Summary View  '!$S$2,'PowerApp_Physical count'!C:C,' General Stock Summary View  '!C515,'PowerApp_Physical count'!A:A,' General Stock Summary View  '!B515)</f>
        <v>0</v>
      </c>
      <c r="U515" s="4">
        <f t="shared" si="76"/>
        <v>0</v>
      </c>
      <c r="V515" s="2">
        <f>SUMIFS('XBS '!T:T,'XBS '!H:H,' General Stock Summary View  '!$V$2,'XBS '!B:B,' General Stock Summary View  '!C515,'XBS '!L:L,' General Stock Summary View  '!B515)</f>
        <v>0</v>
      </c>
      <c r="W515" s="3">
        <f>SUMIFS('PowerApp_Physical count'!H:H,'PowerApp_Physical count'!B:B,' General Stock Summary View  '!$V$2,'PowerApp_Physical count'!C:C,' General Stock Summary View  '!C515,'PowerApp_Physical count'!A:A,' General Stock Summary View  '!B515)</f>
        <v>0</v>
      </c>
      <c r="X515" s="4">
        <f t="shared" si="77"/>
        <v>0</v>
      </c>
      <c r="Y515" s="5">
        <f>SUMIFS('XBS '!T:T,'XBS '!H:H,' General Stock Summary View  '!$Y$2,'XBS '!B:B,' General Stock Summary View  '!C515,'XBS '!L:L,' General Stock Summary View  '!B515)</f>
        <v>0</v>
      </c>
      <c r="Z515" s="3">
        <f>SUMIFS('PowerApp_Physical count'!H:H,'PowerApp_Physical count'!B:B,' General Stock Summary View  '!$Y$2,'PowerApp_Physical count'!C:C,' General Stock Summary View  '!C515,'PowerApp_Physical count'!A:A,' General Stock Summary View  '!B515)</f>
        <v>0</v>
      </c>
      <c r="AA515" s="4">
        <f t="shared" si="78"/>
        <v>0</v>
      </c>
      <c r="AB515" s="5">
        <f>SUMIFS('XBS '!T:T,'XBS '!H:H,' General Stock Summary View  '!$AB$2,'XBS '!B:B,' General Stock Summary View  '!C515,'XBS '!L:L,' General Stock Summary View  '!B515)</f>
        <v>0</v>
      </c>
      <c r="AC515" s="3">
        <f>SUMIFS('PowerApp_Physical count'!H:H,'PowerApp_Physical count'!B:B,' General Stock Summary View  '!$AB$2,'PowerApp_Physical count'!C:C,' General Stock Summary View  '!C515,'PowerApp_Physical count'!A:A,' General Stock Summary View  '!B515)</f>
        <v>0</v>
      </c>
      <c r="AD515" s="6">
        <f t="shared" si="79"/>
        <v>0</v>
      </c>
      <c r="AE515" s="7">
        <f t="shared" si="80"/>
        <v>13.816666666666666</v>
      </c>
      <c r="AF515" s="8">
        <f t="shared" si="81"/>
        <v>0.19333333333333336</v>
      </c>
      <c r="AG515" s="112"/>
    </row>
    <row r="516" spans="2:33" s="113" customFormat="1" ht="61.15">
      <c r="B516" s="117" t="s">
        <v>468</v>
      </c>
      <c r="C516" s="111" t="s">
        <v>197</v>
      </c>
      <c r="D516" s="11">
        <f>SUMIFS('XBS '!T:T,'XBS '!C:C,' General Stock Summary View  '!C516,'XBS '!L:L,' General Stock Summary View  '!B516)</f>
        <v>0</v>
      </c>
      <c r="E516" s="2">
        <f>SUMIFS('Blocked for Processing'!P:P,'Blocked for Processing'!I:I,' General Stock Summary View  '!B516,'Blocked for Processing'!C:C,' General Stock Summary View  '!C516)</f>
        <v>9.6166666666666671</v>
      </c>
      <c r="F516" s="122">
        <f t="shared" si="70"/>
        <v>9.6166666666666671</v>
      </c>
      <c r="G516" s="148">
        <f>SUMIFS('XBS '!T:T,'XBS '!H:H,' General Stock Summary View  '!$G$2,'XBS '!L:L,' General Stock Summary View  '!B516,'XBS '!C:C,' General Stock Summary View  '!C516)</f>
        <v>0</v>
      </c>
      <c r="H516" s="3">
        <f>SUMIFS('PowerApp_Physical count'!H:H,'PowerApp_Physical count'!B:B,' General Stock Summary View  '!$G$2,'PowerApp_Physical count'!C:C,' General Stock Summary View  '!C516,'PowerApp_Physical count'!A:A,' General Stock Summary View  '!B516)</f>
        <v>9.5666666666666664</v>
      </c>
      <c r="I516" s="154">
        <f t="shared" si="82"/>
        <v>9.5666666666666664</v>
      </c>
      <c r="J516" s="11">
        <f>SUMIFS('XBS '!T:T,'XBS '!H:H,' General Stock Summary View  '!$J$2,'XBS '!L:L,' General Stock Summary View  '!B516,'XBS '!C:C,' General Stock Summary View  '!C516)</f>
        <v>0</v>
      </c>
      <c r="K516" s="157">
        <f>SUMIFS('PowerApp_Physical count'!H:H,'PowerApp_Physical count'!B:B,' General Stock Summary View  '!$J$2,'PowerApp_Physical count'!C:C,' General Stock Summary View  '!C516,'PowerApp_Physical count'!A:A,' General Stock Summary View  '!B516)</f>
        <v>0</v>
      </c>
      <c r="L516" s="127">
        <f t="shared" si="71"/>
        <v>0</v>
      </c>
      <c r="M516" s="126">
        <f t="shared" si="72"/>
        <v>9.6166666666666671</v>
      </c>
      <c r="N516" s="11">
        <f t="shared" si="73"/>
        <v>9.5666666666666664</v>
      </c>
      <c r="O516" s="144">
        <f t="shared" si="74"/>
        <v>-5.0000000000000711E-2</v>
      </c>
      <c r="P516" s="2">
        <f>SUMIFS('XBS '!T:T,'XBS '!H:H,' General Stock Summary View  '!$P$2,'XBS '!L:L,' General Stock Summary View  '!B516,'XBS '!C:C,' General Stock Summary View  '!C516)</f>
        <v>0</v>
      </c>
      <c r="Q516" s="3">
        <f>SUMIFS('PowerApp_Physical count'!H:H,'PowerApp_Physical count'!B:B,' General Stock Summary View  '!$P$2,'PowerApp_Physical count'!C:C,' General Stock Summary View  '!C516,'PowerApp_Physical count'!A:A,' General Stock Summary View  '!B516)</f>
        <v>0</v>
      </c>
      <c r="R516" s="4">
        <f t="shared" si="75"/>
        <v>0</v>
      </c>
      <c r="S516" s="5">
        <f>SUMIFS('XBS '!T:T,'XBS '!L:L,' General Stock Summary View  '!B516,'XBS '!H:H,' General Stock Summary View  '!$S$2,'XBS '!C:C,' General Stock Summary View  '!C516)</f>
        <v>0</v>
      </c>
      <c r="T516" s="3">
        <f>SUMIFS('PowerApp_Physical count'!H:H,'PowerApp_Physical count'!B:B,' General Stock Summary View  '!$S$2,'PowerApp_Physical count'!C:C,' General Stock Summary View  '!C516,'PowerApp_Physical count'!A:A,' General Stock Summary View  '!B516)</f>
        <v>0</v>
      </c>
      <c r="U516" s="4">
        <f t="shared" si="76"/>
        <v>0</v>
      </c>
      <c r="V516" s="2">
        <f>SUMIFS('XBS '!T:T,'XBS '!H:H,' General Stock Summary View  '!$V$2,'XBS '!B:B,' General Stock Summary View  '!C516,'XBS '!L:L,' General Stock Summary View  '!B516)</f>
        <v>0</v>
      </c>
      <c r="W516" s="3">
        <f>SUMIFS('PowerApp_Physical count'!H:H,'PowerApp_Physical count'!B:B,' General Stock Summary View  '!$V$2,'PowerApp_Physical count'!C:C,' General Stock Summary View  '!C516,'PowerApp_Physical count'!A:A,' General Stock Summary View  '!B516)</f>
        <v>0</v>
      </c>
      <c r="X516" s="4">
        <f t="shared" si="77"/>
        <v>0</v>
      </c>
      <c r="Y516" s="5">
        <f>SUMIFS('XBS '!T:T,'XBS '!H:H,' General Stock Summary View  '!$Y$2,'XBS '!B:B,' General Stock Summary View  '!C516,'XBS '!L:L,' General Stock Summary View  '!B516)</f>
        <v>0</v>
      </c>
      <c r="Z516" s="3">
        <f>SUMIFS('PowerApp_Physical count'!H:H,'PowerApp_Physical count'!B:B,' General Stock Summary View  '!$Y$2,'PowerApp_Physical count'!C:C,' General Stock Summary View  '!C516,'PowerApp_Physical count'!A:A,' General Stock Summary View  '!B516)</f>
        <v>0</v>
      </c>
      <c r="AA516" s="4">
        <f t="shared" si="78"/>
        <v>0</v>
      </c>
      <c r="AB516" s="5">
        <f>SUMIFS('XBS '!T:T,'XBS '!H:H,' General Stock Summary View  '!$AB$2,'XBS '!B:B,' General Stock Summary View  '!C516,'XBS '!L:L,' General Stock Summary View  '!B516)</f>
        <v>0</v>
      </c>
      <c r="AC516" s="3">
        <f>SUMIFS('PowerApp_Physical count'!H:H,'PowerApp_Physical count'!B:B,' General Stock Summary View  '!$AB$2,'PowerApp_Physical count'!C:C,' General Stock Summary View  '!C516,'PowerApp_Physical count'!A:A,' General Stock Summary View  '!B516)</f>
        <v>0</v>
      </c>
      <c r="AD516" s="6">
        <f t="shared" si="79"/>
        <v>0</v>
      </c>
      <c r="AE516" s="7">
        <f t="shared" si="80"/>
        <v>9.5666666666666664</v>
      </c>
      <c r="AF516" s="8">
        <f t="shared" si="81"/>
        <v>-5.0000000000000711E-2</v>
      </c>
      <c r="AG516" s="112"/>
    </row>
    <row r="517" spans="2:33" s="113" customFormat="1" ht="61.15">
      <c r="B517" s="117" t="s">
        <v>469</v>
      </c>
      <c r="C517" s="111" t="s">
        <v>197</v>
      </c>
      <c r="D517" s="11">
        <f>SUMIFS('XBS '!T:T,'XBS '!C:C,' General Stock Summary View  '!C517,'XBS '!L:L,' General Stock Summary View  '!B517)</f>
        <v>0</v>
      </c>
      <c r="E517" s="2">
        <f>SUMIFS('Blocked for Processing'!P:P,'Blocked for Processing'!I:I,' General Stock Summary View  '!B517,'Blocked for Processing'!C:C,' General Stock Summary View  '!C517)</f>
        <v>14.858333333333333</v>
      </c>
      <c r="F517" s="122">
        <f t="shared" si="70"/>
        <v>14.858333333333333</v>
      </c>
      <c r="G517" s="148">
        <f>SUMIFS('XBS '!T:T,'XBS '!H:H,' General Stock Summary View  '!$G$2,'XBS '!L:L,' General Stock Summary View  '!B517,'XBS '!C:C,' General Stock Summary View  '!C517)</f>
        <v>0</v>
      </c>
      <c r="H517" s="3">
        <f>SUMIFS('PowerApp_Physical count'!H:H,'PowerApp_Physical count'!B:B,' General Stock Summary View  '!$G$2,'PowerApp_Physical count'!C:C,' General Stock Summary View  '!C517,'PowerApp_Physical count'!A:A,' General Stock Summary View  '!B517)</f>
        <v>14.933333333333334</v>
      </c>
      <c r="I517" s="154">
        <f t="shared" si="82"/>
        <v>14.933333333333334</v>
      </c>
      <c r="J517" s="11">
        <f>SUMIFS('XBS '!T:T,'XBS '!H:H,' General Stock Summary View  '!$J$2,'XBS '!L:L,' General Stock Summary View  '!B517,'XBS '!C:C,' General Stock Summary View  '!C517)</f>
        <v>0</v>
      </c>
      <c r="K517" s="157">
        <f>SUMIFS('PowerApp_Physical count'!H:H,'PowerApp_Physical count'!B:B,' General Stock Summary View  '!$J$2,'PowerApp_Physical count'!C:C,' General Stock Summary View  '!C517,'PowerApp_Physical count'!A:A,' General Stock Summary View  '!B517)</f>
        <v>0</v>
      </c>
      <c r="L517" s="127">
        <f t="shared" si="71"/>
        <v>0</v>
      </c>
      <c r="M517" s="126">
        <f t="shared" si="72"/>
        <v>14.858333333333333</v>
      </c>
      <c r="N517" s="11">
        <f t="shared" si="73"/>
        <v>14.933333333333334</v>
      </c>
      <c r="O517" s="144">
        <f t="shared" si="74"/>
        <v>7.5000000000001066E-2</v>
      </c>
      <c r="P517" s="2">
        <f>SUMIFS('XBS '!T:T,'XBS '!H:H,' General Stock Summary View  '!$P$2,'XBS '!L:L,' General Stock Summary View  '!B517,'XBS '!C:C,' General Stock Summary View  '!C517)</f>
        <v>0</v>
      </c>
      <c r="Q517" s="3">
        <f>SUMIFS('PowerApp_Physical count'!H:H,'PowerApp_Physical count'!B:B,' General Stock Summary View  '!$P$2,'PowerApp_Physical count'!C:C,' General Stock Summary View  '!C517,'PowerApp_Physical count'!A:A,' General Stock Summary View  '!B517)</f>
        <v>0</v>
      </c>
      <c r="R517" s="4">
        <f t="shared" si="75"/>
        <v>0</v>
      </c>
      <c r="S517" s="5">
        <f>SUMIFS('XBS '!T:T,'XBS '!L:L,' General Stock Summary View  '!B517,'XBS '!H:H,' General Stock Summary View  '!$S$2,'XBS '!C:C,' General Stock Summary View  '!C517)</f>
        <v>0</v>
      </c>
      <c r="T517" s="3">
        <f>SUMIFS('PowerApp_Physical count'!H:H,'PowerApp_Physical count'!B:B,' General Stock Summary View  '!$S$2,'PowerApp_Physical count'!C:C,' General Stock Summary View  '!C517,'PowerApp_Physical count'!A:A,' General Stock Summary View  '!B517)</f>
        <v>0</v>
      </c>
      <c r="U517" s="4">
        <f t="shared" si="76"/>
        <v>0</v>
      </c>
      <c r="V517" s="2">
        <f>SUMIFS('XBS '!T:T,'XBS '!H:H,' General Stock Summary View  '!$V$2,'XBS '!B:B,' General Stock Summary View  '!C517,'XBS '!L:L,' General Stock Summary View  '!B517)</f>
        <v>0</v>
      </c>
      <c r="W517" s="3">
        <f>SUMIFS('PowerApp_Physical count'!H:H,'PowerApp_Physical count'!B:B,' General Stock Summary View  '!$V$2,'PowerApp_Physical count'!C:C,' General Stock Summary View  '!C517,'PowerApp_Physical count'!A:A,' General Stock Summary View  '!B517)</f>
        <v>0</v>
      </c>
      <c r="X517" s="4">
        <f t="shared" si="77"/>
        <v>0</v>
      </c>
      <c r="Y517" s="5">
        <f>SUMIFS('XBS '!T:T,'XBS '!H:H,' General Stock Summary View  '!$Y$2,'XBS '!B:B,' General Stock Summary View  '!C517,'XBS '!L:L,' General Stock Summary View  '!B517)</f>
        <v>0</v>
      </c>
      <c r="Z517" s="3">
        <f>SUMIFS('PowerApp_Physical count'!H:H,'PowerApp_Physical count'!B:B,' General Stock Summary View  '!$Y$2,'PowerApp_Physical count'!C:C,' General Stock Summary View  '!C517,'PowerApp_Physical count'!A:A,' General Stock Summary View  '!B517)</f>
        <v>0</v>
      </c>
      <c r="AA517" s="4">
        <f t="shared" si="78"/>
        <v>0</v>
      </c>
      <c r="AB517" s="5">
        <f>SUMIFS('XBS '!T:T,'XBS '!H:H,' General Stock Summary View  '!$AB$2,'XBS '!B:B,' General Stock Summary View  '!C517,'XBS '!L:L,' General Stock Summary View  '!B517)</f>
        <v>0</v>
      </c>
      <c r="AC517" s="3">
        <f>SUMIFS('PowerApp_Physical count'!H:H,'PowerApp_Physical count'!B:B,' General Stock Summary View  '!$AB$2,'PowerApp_Physical count'!C:C,' General Stock Summary View  '!C517,'PowerApp_Physical count'!A:A,' General Stock Summary View  '!B517)</f>
        <v>0</v>
      </c>
      <c r="AD517" s="6">
        <f t="shared" si="79"/>
        <v>0</v>
      </c>
      <c r="AE517" s="7">
        <f t="shared" si="80"/>
        <v>14.933333333333334</v>
      </c>
      <c r="AF517" s="8">
        <f t="shared" si="81"/>
        <v>7.5000000000001066E-2</v>
      </c>
      <c r="AG517" s="112"/>
    </row>
    <row r="518" spans="2:33" s="113" customFormat="1" ht="61.15">
      <c r="B518" s="117" t="s">
        <v>470</v>
      </c>
      <c r="C518" s="111" t="s">
        <v>197</v>
      </c>
      <c r="D518" s="11">
        <f>SUMIFS('XBS '!T:T,'XBS '!C:C,' General Stock Summary View  '!C518,'XBS '!L:L,' General Stock Summary View  '!B518)</f>
        <v>0</v>
      </c>
      <c r="E518" s="2">
        <f>SUMIFS('Blocked for Processing'!P:P,'Blocked for Processing'!I:I,' General Stock Summary View  '!B518,'Blocked for Processing'!C:C,' General Stock Summary View  '!C518)</f>
        <v>22.305</v>
      </c>
      <c r="F518" s="122">
        <f t="shared" si="70"/>
        <v>22.305</v>
      </c>
      <c r="G518" s="148">
        <f>SUMIFS('XBS '!T:T,'XBS '!H:H,' General Stock Summary View  '!$G$2,'XBS '!L:L,' General Stock Summary View  '!B518,'XBS '!C:C,' General Stock Summary View  '!C518)</f>
        <v>0</v>
      </c>
      <c r="H518" s="3">
        <f>SUMIFS('PowerApp_Physical count'!H:H,'PowerApp_Physical count'!B:B,' General Stock Summary View  '!$G$2,'PowerApp_Physical count'!C:C,' General Stock Summary View  '!C518,'PowerApp_Physical count'!A:A,' General Stock Summary View  '!B518)</f>
        <v>22.55</v>
      </c>
      <c r="I518" s="154">
        <f t="shared" si="82"/>
        <v>22.55</v>
      </c>
      <c r="J518" s="11">
        <f>SUMIFS('XBS '!T:T,'XBS '!H:H,' General Stock Summary View  '!$J$2,'XBS '!L:L,' General Stock Summary View  '!B518,'XBS '!C:C,' General Stock Summary View  '!C518)</f>
        <v>0</v>
      </c>
      <c r="K518" s="157">
        <f>SUMIFS('PowerApp_Physical count'!H:H,'PowerApp_Physical count'!B:B,' General Stock Summary View  '!$J$2,'PowerApp_Physical count'!C:C,' General Stock Summary View  '!C518,'PowerApp_Physical count'!A:A,' General Stock Summary View  '!B518)</f>
        <v>0</v>
      </c>
      <c r="L518" s="127">
        <f t="shared" si="71"/>
        <v>0</v>
      </c>
      <c r="M518" s="126">
        <f t="shared" si="72"/>
        <v>22.305</v>
      </c>
      <c r="N518" s="11">
        <f t="shared" si="73"/>
        <v>22.55</v>
      </c>
      <c r="O518" s="144">
        <f t="shared" si="74"/>
        <v>0.24500000000000099</v>
      </c>
      <c r="P518" s="2">
        <f>SUMIFS('XBS '!T:T,'XBS '!H:H,' General Stock Summary View  '!$P$2,'XBS '!L:L,' General Stock Summary View  '!B518,'XBS '!C:C,' General Stock Summary View  '!C518)</f>
        <v>0</v>
      </c>
      <c r="Q518" s="3">
        <f>SUMIFS('PowerApp_Physical count'!H:H,'PowerApp_Physical count'!B:B,' General Stock Summary View  '!$P$2,'PowerApp_Physical count'!C:C,' General Stock Summary View  '!C518,'PowerApp_Physical count'!A:A,' General Stock Summary View  '!B518)</f>
        <v>0</v>
      </c>
      <c r="R518" s="4">
        <f t="shared" si="75"/>
        <v>0</v>
      </c>
      <c r="S518" s="5">
        <f>SUMIFS('XBS '!T:T,'XBS '!L:L,' General Stock Summary View  '!B518,'XBS '!H:H,' General Stock Summary View  '!$S$2,'XBS '!C:C,' General Stock Summary View  '!C518)</f>
        <v>0</v>
      </c>
      <c r="T518" s="3">
        <f>SUMIFS('PowerApp_Physical count'!H:H,'PowerApp_Physical count'!B:B,' General Stock Summary View  '!$S$2,'PowerApp_Physical count'!C:C,' General Stock Summary View  '!C518,'PowerApp_Physical count'!A:A,' General Stock Summary View  '!B518)</f>
        <v>0</v>
      </c>
      <c r="U518" s="4">
        <f t="shared" si="76"/>
        <v>0</v>
      </c>
      <c r="V518" s="2">
        <f>SUMIFS('XBS '!T:T,'XBS '!H:H,' General Stock Summary View  '!$V$2,'XBS '!B:B,' General Stock Summary View  '!C518,'XBS '!L:L,' General Stock Summary View  '!B518)</f>
        <v>0</v>
      </c>
      <c r="W518" s="3">
        <f>SUMIFS('PowerApp_Physical count'!H:H,'PowerApp_Physical count'!B:B,' General Stock Summary View  '!$V$2,'PowerApp_Physical count'!C:C,' General Stock Summary View  '!C518,'PowerApp_Physical count'!A:A,' General Stock Summary View  '!B518)</f>
        <v>0</v>
      </c>
      <c r="X518" s="4">
        <f t="shared" si="77"/>
        <v>0</v>
      </c>
      <c r="Y518" s="5">
        <f>SUMIFS('XBS '!T:T,'XBS '!H:H,' General Stock Summary View  '!$Y$2,'XBS '!B:B,' General Stock Summary View  '!C518,'XBS '!L:L,' General Stock Summary View  '!B518)</f>
        <v>0</v>
      </c>
      <c r="Z518" s="3">
        <f>SUMIFS('PowerApp_Physical count'!H:H,'PowerApp_Physical count'!B:B,' General Stock Summary View  '!$Y$2,'PowerApp_Physical count'!C:C,' General Stock Summary View  '!C518,'PowerApp_Physical count'!A:A,' General Stock Summary View  '!B518)</f>
        <v>0</v>
      </c>
      <c r="AA518" s="4">
        <f t="shared" si="78"/>
        <v>0</v>
      </c>
      <c r="AB518" s="5">
        <f>SUMIFS('XBS '!T:T,'XBS '!H:H,' General Stock Summary View  '!$AB$2,'XBS '!B:B,' General Stock Summary View  '!C518,'XBS '!L:L,' General Stock Summary View  '!B518)</f>
        <v>0</v>
      </c>
      <c r="AC518" s="3">
        <f>SUMIFS('PowerApp_Physical count'!H:H,'PowerApp_Physical count'!B:B,' General Stock Summary View  '!$AB$2,'PowerApp_Physical count'!C:C,' General Stock Summary View  '!C518,'PowerApp_Physical count'!A:A,' General Stock Summary View  '!B518)</f>
        <v>0</v>
      </c>
      <c r="AD518" s="6">
        <f t="shared" si="79"/>
        <v>0</v>
      </c>
      <c r="AE518" s="7">
        <f t="shared" si="80"/>
        <v>22.55</v>
      </c>
      <c r="AF518" s="8">
        <f t="shared" si="81"/>
        <v>0.24500000000000099</v>
      </c>
      <c r="AG518" s="112"/>
    </row>
    <row r="519" spans="2:33" s="113" customFormat="1" ht="61.15">
      <c r="B519" s="117" t="s">
        <v>471</v>
      </c>
      <c r="C519" s="111" t="s">
        <v>197</v>
      </c>
      <c r="D519" s="11">
        <f>SUMIFS('XBS '!T:T,'XBS '!C:C,' General Stock Summary View  '!C519,'XBS '!L:L,' General Stock Summary View  '!B519)</f>
        <v>0</v>
      </c>
      <c r="E519" s="2">
        <f>SUMIFS('Blocked for Processing'!P:P,'Blocked for Processing'!I:I,' General Stock Summary View  '!B519,'Blocked for Processing'!C:C,' General Stock Summary View  '!C519)</f>
        <v>7.4133333333333331</v>
      </c>
      <c r="F519" s="122">
        <f t="shared" si="70"/>
        <v>7.4133333333333331</v>
      </c>
      <c r="G519" s="148">
        <f>SUMIFS('XBS '!T:T,'XBS '!H:H,' General Stock Summary View  '!$G$2,'XBS '!L:L,' General Stock Summary View  '!B519,'XBS '!C:C,' General Stock Summary View  '!C519)</f>
        <v>0</v>
      </c>
      <c r="H519" s="3">
        <f>SUMIFS('PowerApp_Physical count'!H:H,'PowerApp_Physical count'!B:B,' General Stock Summary View  '!$G$2,'PowerApp_Physical count'!C:C,' General Stock Summary View  '!C519,'PowerApp_Physical count'!A:A,' General Stock Summary View  '!B519)</f>
        <v>7.3833333333333337</v>
      </c>
      <c r="I519" s="154">
        <f t="shared" si="82"/>
        <v>7.3833333333333337</v>
      </c>
      <c r="J519" s="11">
        <f>SUMIFS('XBS '!T:T,'XBS '!H:H,' General Stock Summary View  '!$J$2,'XBS '!L:L,' General Stock Summary View  '!B519,'XBS '!C:C,' General Stock Summary View  '!C519)</f>
        <v>0</v>
      </c>
      <c r="K519" s="157">
        <f>SUMIFS('PowerApp_Physical count'!H:H,'PowerApp_Physical count'!B:B,' General Stock Summary View  '!$J$2,'PowerApp_Physical count'!C:C,' General Stock Summary View  '!C519,'PowerApp_Physical count'!A:A,' General Stock Summary View  '!B519)</f>
        <v>0</v>
      </c>
      <c r="L519" s="127">
        <f t="shared" si="71"/>
        <v>0</v>
      </c>
      <c r="M519" s="126">
        <f t="shared" si="72"/>
        <v>7.4133333333333331</v>
      </c>
      <c r="N519" s="11">
        <f t="shared" si="73"/>
        <v>7.3833333333333337</v>
      </c>
      <c r="O519" s="144">
        <f t="shared" si="74"/>
        <v>-2.9999999999999361E-2</v>
      </c>
      <c r="P519" s="2">
        <f>SUMIFS('XBS '!T:T,'XBS '!H:H,' General Stock Summary View  '!$P$2,'XBS '!L:L,' General Stock Summary View  '!B519,'XBS '!C:C,' General Stock Summary View  '!C519)</f>
        <v>0</v>
      </c>
      <c r="Q519" s="3">
        <f>SUMIFS('PowerApp_Physical count'!H:H,'PowerApp_Physical count'!B:B,' General Stock Summary View  '!$P$2,'PowerApp_Physical count'!C:C,' General Stock Summary View  '!C519,'PowerApp_Physical count'!A:A,' General Stock Summary View  '!B519)</f>
        <v>0</v>
      </c>
      <c r="R519" s="4">
        <f t="shared" si="75"/>
        <v>0</v>
      </c>
      <c r="S519" s="5">
        <f>SUMIFS('XBS '!T:T,'XBS '!L:L,' General Stock Summary View  '!B519,'XBS '!H:H,' General Stock Summary View  '!$S$2,'XBS '!C:C,' General Stock Summary View  '!C519)</f>
        <v>0</v>
      </c>
      <c r="T519" s="3">
        <f>SUMIFS('PowerApp_Physical count'!H:H,'PowerApp_Physical count'!B:B,' General Stock Summary View  '!$S$2,'PowerApp_Physical count'!C:C,' General Stock Summary View  '!C519,'PowerApp_Physical count'!A:A,' General Stock Summary View  '!B519)</f>
        <v>0</v>
      </c>
      <c r="U519" s="4">
        <f t="shared" si="76"/>
        <v>0</v>
      </c>
      <c r="V519" s="2">
        <f>SUMIFS('XBS '!T:T,'XBS '!H:H,' General Stock Summary View  '!$V$2,'XBS '!B:B,' General Stock Summary View  '!C519,'XBS '!L:L,' General Stock Summary View  '!B519)</f>
        <v>0</v>
      </c>
      <c r="W519" s="3">
        <f>SUMIFS('PowerApp_Physical count'!H:H,'PowerApp_Physical count'!B:B,' General Stock Summary View  '!$V$2,'PowerApp_Physical count'!C:C,' General Stock Summary View  '!C519,'PowerApp_Physical count'!A:A,' General Stock Summary View  '!B519)</f>
        <v>0</v>
      </c>
      <c r="X519" s="4">
        <f t="shared" si="77"/>
        <v>0</v>
      </c>
      <c r="Y519" s="5">
        <f>SUMIFS('XBS '!T:T,'XBS '!H:H,' General Stock Summary View  '!$Y$2,'XBS '!B:B,' General Stock Summary View  '!C519,'XBS '!L:L,' General Stock Summary View  '!B519)</f>
        <v>0</v>
      </c>
      <c r="Z519" s="3">
        <f>SUMIFS('PowerApp_Physical count'!H:H,'PowerApp_Physical count'!B:B,' General Stock Summary View  '!$Y$2,'PowerApp_Physical count'!C:C,' General Stock Summary View  '!C519,'PowerApp_Physical count'!A:A,' General Stock Summary View  '!B519)</f>
        <v>0</v>
      </c>
      <c r="AA519" s="4">
        <f t="shared" si="78"/>
        <v>0</v>
      </c>
      <c r="AB519" s="5">
        <f>SUMIFS('XBS '!T:T,'XBS '!H:H,' General Stock Summary View  '!$AB$2,'XBS '!B:B,' General Stock Summary View  '!C519,'XBS '!L:L,' General Stock Summary View  '!B519)</f>
        <v>0</v>
      </c>
      <c r="AC519" s="3">
        <f>SUMIFS('PowerApp_Physical count'!H:H,'PowerApp_Physical count'!B:B,' General Stock Summary View  '!$AB$2,'PowerApp_Physical count'!C:C,' General Stock Summary View  '!C519,'PowerApp_Physical count'!A:A,' General Stock Summary View  '!B519)</f>
        <v>0</v>
      </c>
      <c r="AD519" s="6">
        <f t="shared" si="79"/>
        <v>0</v>
      </c>
      <c r="AE519" s="7">
        <f t="shared" si="80"/>
        <v>7.3833333333333337</v>
      </c>
      <c r="AF519" s="8">
        <f t="shared" si="81"/>
        <v>-2.9999999999999361E-2</v>
      </c>
      <c r="AG519" s="112"/>
    </row>
    <row r="520" spans="2:33" s="113" customFormat="1" ht="61.15">
      <c r="B520" s="117" t="s">
        <v>472</v>
      </c>
      <c r="C520" s="111" t="s">
        <v>197</v>
      </c>
      <c r="D520" s="11">
        <f>SUMIFS('XBS '!T:T,'XBS '!C:C,' General Stock Summary View  '!C520,'XBS '!L:L,' General Stock Summary View  '!B520)</f>
        <v>0</v>
      </c>
      <c r="E520" s="2">
        <f>SUMIFS('Blocked for Processing'!P:P,'Blocked for Processing'!I:I,' General Stock Summary View  '!B520,'Blocked for Processing'!C:C,' General Stock Summary View  '!C520)</f>
        <v>40.835000000000001</v>
      </c>
      <c r="F520" s="122">
        <f t="shared" si="70"/>
        <v>40.835000000000001</v>
      </c>
      <c r="G520" s="148">
        <f>SUMIFS('XBS '!T:T,'XBS '!H:H,' General Stock Summary View  '!$G$2,'XBS '!L:L,' General Stock Summary View  '!B520,'XBS '!C:C,' General Stock Summary View  '!C520)</f>
        <v>0</v>
      </c>
      <c r="H520" s="3">
        <f>SUMIFS('PowerApp_Physical count'!H:H,'PowerApp_Physical count'!B:B,' General Stock Summary View  '!$G$2,'PowerApp_Physical count'!C:C,' General Stock Summary View  '!C520,'PowerApp_Physical count'!A:A,' General Stock Summary View  '!B520)</f>
        <v>40.799999999999997</v>
      </c>
      <c r="I520" s="154">
        <f t="shared" si="82"/>
        <v>40.799999999999997</v>
      </c>
      <c r="J520" s="11">
        <f>SUMIFS('XBS '!T:T,'XBS '!H:H,' General Stock Summary View  '!$J$2,'XBS '!L:L,' General Stock Summary View  '!B520,'XBS '!C:C,' General Stock Summary View  '!C520)</f>
        <v>0</v>
      </c>
      <c r="K520" s="157">
        <f>SUMIFS('PowerApp_Physical count'!H:H,'PowerApp_Physical count'!B:B,' General Stock Summary View  '!$J$2,'PowerApp_Physical count'!C:C,' General Stock Summary View  '!C520,'PowerApp_Physical count'!A:A,' General Stock Summary View  '!B520)</f>
        <v>0</v>
      </c>
      <c r="L520" s="127">
        <f t="shared" si="71"/>
        <v>0</v>
      </c>
      <c r="M520" s="126">
        <f t="shared" si="72"/>
        <v>40.835000000000001</v>
      </c>
      <c r="N520" s="11">
        <f t="shared" si="73"/>
        <v>40.799999999999997</v>
      </c>
      <c r="O520" s="144">
        <f t="shared" si="74"/>
        <v>-3.5000000000003695E-2</v>
      </c>
      <c r="P520" s="2">
        <f>SUMIFS('XBS '!T:T,'XBS '!H:H,' General Stock Summary View  '!$P$2,'XBS '!L:L,' General Stock Summary View  '!B520,'XBS '!C:C,' General Stock Summary View  '!C520)</f>
        <v>0</v>
      </c>
      <c r="Q520" s="3">
        <f>SUMIFS('PowerApp_Physical count'!H:H,'PowerApp_Physical count'!B:B,' General Stock Summary View  '!$P$2,'PowerApp_Physical count'!C:C,' General Stock Summary View  '!C520,'PowerApp_Physical count'!A:A,' General Stock Summary View  '!B520)</f>
        <v>0</v>
      </c>
      <c r="R520" s="4">
        <f t="shared" si="75"/>
        <v>0</v>
      </c>
      <c r="S520" s="5">
        <f>SUMIFS('XBS '!T:T,'XBS '!L:L,' General Stock Summary View  '!B520,'XBS '!H:H,' General Stock Summary View  '!$S$2,'XBS '!C:C,' General Stock Summary View  '!C520)</f>
        <v>0</v>
      </c>
      <c r="T520" s="3">
        <f>SUMIFS('PowerApp_Physical count'!H:H,'PowerApp_Physical count'!B:B,' General Stock Summary View  '!$S$2,'PowerApp_Physical count'!C:C,' General Stock Summary View  '!C520,'PowerApp_Physical count'!A:A,' General Stock Summary View  '!B520)</f>
        <v>0</v>
      </c>
      <c r="U520" s="4">
        <f t="shared" si="76"/>
        <v>0</v>
      </c>
      <c r="V520" s="2">
        <f>SUMIFS('XBS '!T:T,'XBS '!H:H,' General Stock Summary View  '!$V$2,'XBS '!B:B,' General Stock Summary View  '!C520,'XBS '!L:L,' General Stock Summary View  '!B520)</f>
        <v>0</v>
      </c>
      <c r="W520" s="3">
        <f>SUMIFS('PowerApp_Physical count'!H:H,'PowerApp_Physical count'!B:B,' General Stock Summary View  '!$V$2,'PowerApp_Physical count'!C:C,' General Stock Summary View  '!C520,'PowerApp_Physical count'!A:A,' General Stock Summary View  '!B520)</f>
        <v>0</v>
      </c>
      <c r="X520" s="4">
        <f t="shared" si="77"/>
        <v>0</v>
      </c>
      <c r="Y520" s="5">
        <f>SUMIFS('XBS '!T:T,'XBS '!H:H,' General Stock Summary View  '!$Y$2,'XBS '!B:B,' General Stock Summary View  '!C520,'XBS '!L:L,' General Stock Summary View  '!B520)</f>
        <v>0</v>
      </c>
      <c r="Z520" s="3">
        <f>SUMIFS('PowerApp_Physical count'!H:H,'PowerApp_Physical count'!B:B,' General Stock Summary View  '!$Y$2,'PowerApp_Physical count'!C:C,' General Stock Summary View  '!C520,'PowerApp_Physical count'!A:A,' General Stock Summary View  '!B520)</f>
        <v>0</v>
      </c>
      <c r="AA520" s="4">
        <f t="shared" si="78"/>
        <v>0</v>
      </c>
      <c r="AB520" s="5">
        <f>SUMIFS('XBS '!T:T,'XBS '!H:H,' General Stock Summary View  '!$AB$2,'XBS '!B:B,' General Stock Summary View  '!C520,'XBS '!L:L,' General Stock Summary View  '!B520)</f>
        <v>0</v>
      </c>
      <c r="AC520" s="3">
        <f>SUMIFS('PowerApp_Physical count'!H:H,'PowerApp_Physical count'!B:B,' General Stock Summary View  '!$AB$2,'PowerApp_Physical count'!C:C,' General Stock Summary View  '!C520,'PowerApp_Physical count'!A:A,' General Stock Summary View  '!B520)</f>
        <v>0</v>
      </c>
      <c r="AD520" s="6">
        <f t="shared" si="79"/>
        <v>0</v>
      </c>
      <c r="AE520" s="7">
        <f t="shared" si="80"/>
        <v>40.799999999999997</v>
      </c>
      <c r="AF520" s="8">
        <f t="shared" si="81"/>
        <v>-3.5000000000003695E-2</v>
      </c>
      <c r="AG520" s="112"/>
    </row>
    <row r="521" spans="2:33" s="113" customFormat="1" ht="61.15">
      <c r="B521" s="117" t="s">
        <v>473</v>
      </c>
      <c r="C521" s="111" t="s">
        <v>240</v>
      </c>
      <c r="D521" s="11">
        <f>SUMIFS('XBS '!T:T,'XBS '!C:C,' General Stock Summary View  '!C521,'XBS '!L:L,' General Stock Summary View  '!B521)</f>
        <v>0</v>
      </c>
      <c r="E521" s="2">
        <f>SUMIFS('Blocked for Processing'!P:P,'Blocked for Processing'!I:I,' General Stock Summary View  '!B521,'Blocked for Processing'!C:C,' General Stock Summary View  '!C521)</f>
        <v>133.19999999999999</v>
      </c>
      <c r="F521" s="122">
        <f t="shared" si="70"/>
        <v>133.19999999999999</v>
      </c>
      <c r="G521" s="148">
        <f>SUMIFS('XBS '!T:T,'XBS '!H:H,' General Stock Summary View  '!$G$2,'XBS '!L:L,' General Stock Summary View  '!B521,'XBS '!C:C,' General Stock Summary View  '!C521)</f>
        <v>0</v>
      </c>
      <c r="H521" s="3">
        <f>SUMIFS('PowerApp_Physical count'!H:H,'PowerApp_Physical count'!B:B,' General Stock Summary View  '!$G$2,'PowerApp_Physical count'!C:C,' General Stock Summary View  '!C521,'PowerApp_Physical count'!A:A,' General Stock Summary View  '!B521)</f>
        <v>133.19999999999999</v>
      </c>
      <c r="I521" s="154">
        <f t="shared" si="82"/>
        <v>133.19999999999999</v>
      </c>
      <c r="J521" s="11">
        <f>SUMIFS('XBS '!T:T,'XBS '!H:H,' General Stock Summary View  '!$J$2,'XBS '!L:L,' General Stock Summary View  '!B521,'XBS '!C:C,' General Stock Summary View  '!C521)</f>
        <v>0</v>
      </c>
      <c r="K521" s="157">
        <f>SUMIFS('PowerApp_Physical count'!H:H,'PowerApp_Physical count'!B:B,' General Stock Summary View  '!$J$2,'PowerApp_Physical count'!C:C,' General Stock Summary View  '!C521,'PowerApp_Physical count'!A:A,' General Stock Summary View  '!B521)</f>
        <v>0</v>
      </c>
      <c r="L521" s="127">
        <f t="shared" si="71"/>
        <v>0</v>
      </c>
      <c r="M521" s="126">
        <f t="shared" si="72"/>
        <v>133.19999999999999</v>
      </c>
      <c r="N521" s="11">
        <f t="shared" si="73"/>
        <v>133.19999999999999</v>
      </c>
      <c r="O521" s="144">
        <f t="shared" si="74"/>
        <v>0</v>
      </c>
      <c r="P521" s="2">
        <f>SUMIFS('XBS '!T:T,'XBS '!H:H,' General Stock Summary View  '!$P$2,'XBS '!L:L,' General Stock Summary View  '!B521,'XBS '!C:C,' General Stock Summary View  '!C521)</f>
        <v>0</v>
      </c>
      <c r="Q521" s="3">
        <f>SUMIFS('PowerApp_Physical count'!H:H,'PowerApp_Physical count'!B:B,' General Stock Summary View  '!$P$2,'PowerApp_Physical count'!C:C,' General Stock Summary View  '!C521,'PowerApp_Physical count'!A:A,' General Stock Summary View  '!B521)</f>
        <v>0</v>
      </c>
      <c r="R521" s="4">
        <f t="shared" si="75"/>
        <v>0</v>
      </c>
      <c r="S521" s="5">
        <f>SUMIFS('XBS '!T:T,'XBS '!L:L,' General Stock Summary View  '!B521,'XBS '!H:H,' General Stock Summary View  '!$S$2,'XBS '!C:C,' General Stock Summary View  '!C521)</f>
        <v>0</v>
      </c>
      <c r="T521" s="3">
        <f>SUMIFS('PowerApp_Physical count'!H:H,'PowerApp_Physical count'!B:B,' General Stock Summary View  '!$S$2,'PowerApp_Physical count'!C:C,' General Stock Summary View  '!C521,'PowerApp_Physical count'!A:A,' General Stock Summary View  '!B521)</f>
        <v>0</v>
      </c>
      <c r="U521" s="4">
        <f t="shared" si="76"/>
        <v>0</v>
      </c>
      <c r="V521" s="2">
        <f>SUMIFS('XBS '!T:T,'XBS '!H:H,' General Stock Summary View  '!$V$2,'XBS '!B:B,' General Stock Summary View  '!C521,'XBS '!L:L,' General Stock Summary View  '!B521)</f>
        <v>0</v>
      </c>
      <c r="W521" s="3">
        <f>SUMIFS('PowerApp_Physical count'!H:H,'PowerApp_Physical count'!B:B,' General Stock Summary View  '!$V$2,'PowerApp_Physical count'!C:C,' General Stock Summary View  '!C521,'PowerApp_Physical count'!A:A,' General Stock Summary View  '!B521)</f>
        <v>0</v>
      </c>
      <c r="X521" s="4">
        <f t="shared" si="77"/>
        <v>0</v>
      </c>
      <c r="Y521" s="5">
        <f>SUMIFS('XBS '!T:T,'XBS '!H:H,' General Stock Summary View  '!$Y$2,'XBS '!B:B,' General Stock Summary View  '!C521,'XBS '!L:L,' General Stock Summary View  '!B521)</f>
        <v>0</v>
      </c>
      <c r="Z521" s="3">
        <f>SUMIFS('PowerApp_Physical count'!H:H,'PowerApp_Physical count'!B:B,' General Stock Summary View  '!$Y$2,'PowerApp_Physical count'!C:C,' General Stock Summary View  '!C521,'PowerApp_Physical count'!A:A,' General Stock Summary View  '!B521)</f>
        <v>0</v>
      </c>
      <c r="AA521" s="4">
        <f t="shared" si="78"/>
        <v>0</v>
      </c>
      <c r="AB521" s="5">
        <f>SUMIFS('XBS '!T:T,'XBS '!H:H,' General Stock Summary View  '!$AB$2,'XBS '!B:B,' General Stock Summary View  '!C521,'XBS '!L:L,' General Stock Summary View  '!B521)</f>
        <v>0</v>
      </c>
      <c r="AC521" s="3">
        <f>SUMIFS('PowerApp_Physical count'!H:H,'PowerApp_Physical count'!B:B,' General Stock Summary View  '!$AB$2,'PowerApp_Physical count'!C:C,' General Stock Summary View  '!C521,'PowerApp_Physical count'!A:A,' General Stock Summary View  '!B521)</f>
        <v>0</v>
      </c>
      <c r="AD521" s="6">
        <f t="shared" si="79"/>
        <v>0</v>
      </c>
      <c r="AE521" s="7">
        <f t="shared" si="80"/>
        <v>133.19999999999999</v>
      </c>
      <c r="AF521" s="8">
        <f t="shared" si="81"/>
        <v>0</v>
      </c>
      <c r="AG521" s="112"/>
    </row>
    <row r="522" spans="2:33" s="113" customFormat="1" ht="61.15">
      <c r="B522" s="117" t="s">
        <v>386</v>
      </c>
      <c r="C522" s="111" t="s">
        <v>240</v>
      </c>
      <c r="D522" s="11">
        <f>SUMIFS('XBS '!T:T,'XBS '!C:C,' General Stock Summary View  '!C522,'XBS '!L:L,' General Stock Summary View  '!B522)</f>
        <v>0</v>
      </c>
      <c r="E522" s="2">
        <f>SUMIFS('Blocked for Processing'!P:P,'Blocked for Processing'!I:I,' General Stock Summary View  '!B522,'Blocked for Processing'!C:C,' General Stock Summary View  '!C522)</f>
        <v>148.68333333333334</v>
      </c>
      <c r="F522" s="122">
        <f t="shared" si="70"/>
        <v>148.68333333333334</v>
      </c>
      <c r="G522" s="148">
        <f>SUMIFS('XBS '!T:T,'XBS '!H:H,' General Stock Summary View  '!$G$2,'XBS '!L:L,' General Stock Summary View  '!B522,'XBS '!C:C,' General Stock Summary View  '!C522)</f>
        <v>0</v>
      </c>
      <c r="H522" s="3">
        <f>SUMIFS('PowerApp_Physical count'!H:H,'PowerApp_Physical count'!B:B,' General Stock Summary View  '!$G$2,'PowerApp_Physical count'!C:C,' General Stock Summary View  '!C522,'PowerApp_Physical count'!A:A,' General Stock Summary View  '!B522)</f>
        <v>148.68333333333334</v>
      </c>
      <c r="I522" s="154">
        <f t="shared" si="82"/>
        <v>148.68333333333334</v>
      </c>
      <c r="J522" s="11">
        <f>SUMIFS('XBS '!T:T,'XBS '!H:H,' General Stock Summary View  '!$J$2,'XBS '!L:L,' General Stock Summary View  '!B522,'XBS '!C:C,' General Stock Summary View  '!C522)</f>
        <v>0</v>
      </c>
      <c r="K522" s="157">
        <f>SUMIFS('PowerApp_Physical count'!H:H,'PowerApp_Physical count'!B:B,' General Stock Summary View  '!$J$2,'PowerApp_Physical count'!C:C,' General Stock Summary View  '!C522,'PowerApp_Physical count'!A:A,' General Stock Summary View  '!B522)</f>
        <v>0</v>
      </c>
      <c r="L522" s="127">
        <f t="shared" si="71"/>
        <v>0</v>
      </c>
      <c r="M522" s="126">
        <f t="shared" si="72"/>
        <v>148.68333333333334</v>
      </c>
      <c r="N522" s="11">
        <f t="shared" si="73"/>
        <v>148.68333333333334</v>
      </c>
      <c r="O522" s="144">
        <f t="shared" si="74"/>
        <v>0</v>
      </c>
      <c r="P522" s="2">
        <f>SUMIFS('XBS '!T:T,'XBS '!H:H,' General Stock Summary View  '!$P$2,'XBS '!L:L,' General Stock Summary View  '!B522,'XBS '!C:C,' General Stock Summary View  '!C522)</f>
        <v>0</v>
      </c>
      <c r="Q522" s="3">
        <f>SUMIFS('PowerApp_Physical count'!H:H,'PowerApp_Physical count'!B:B,' General Stock Summary View  '!$P$2,'PowerApp_Physical count'!C:C,' General Stock Summary View  '!C522,'PowerApp_Physical count'!A:A,' General Stock Summary View  '!B522)</f>
        <v>0</v>
      </c>
      <c r="R522" s="4">
        <f t="shared" si="75"/>
        <v>0</v>
      </c>
      <c r="S522" s="5">
        <f>SUMIFS('XBS '!T:T,'XBS '!L:L,' General Stock Summary View  '!B522,'XBS '!H:H,' General Stock Summary View  '!$S$2,'XBS '!C:C,' General Stock Summary View  '!C522)</f>
        <v>0</v>
      </c>
      <c r="T522" s="3">
        <f>SUMIFS('PowerApp_Physical count'!H:H,'PowerApp_Physical count'!B:B,' General Stock Summary View  '!$S$2,'PowerApp_Physical count'!C:C,' General Stock Summary View  '!C522,'PowerApp_Physical count'!A:A,' General Stock Summary View  '!B522)</f>
        <v>0</v>
      </c>
      <c r="U522" s="4">
        <f t="shared" si="76"/>
        <v>0</v>
      </c>
      <c r="V522" s="2">
        <f>SUMIFS('XBS '!T:T,'XBS '!H:H,' General Stock Summary View  '!$V$2,'XBS '!B:B,' General Stock Summary View  '!C522,'XBS '!L:L,' General Stock Summary View  '!B522)</f>
        <v>0</v>
      </c>
      <c r="W522" s="3">
        <f>SUMIFS('PowerApp_Physical count'!H:H,'PowerApp_Physical count'!B:B,' General Stock Summary View  '!$V$2,'PowerApp_Physical count'!C:C,' General Stock Summary View  '!C522,'PowerApp_Physical count'!A:A,' General Stock Summary View  '!B522)</f>
        <v>0</v>
      </c>
      <c r="X522" s="4">
        <f t="shared" si="77"/>
        <v>0</v>
      </c>
      <c r="Y522" s="5">
        <f>SUMIFS('XBS '!T:T,'XBS '!H:H,' General Stock Summary View  '!$Y$2,'XBS '!B:B,' General Stock Summary View  '!C522,'XBS '!L:L,' General Stock Summary View  '!B522)</f>
        <v>0</v>
      </c>
      <c r="Z522" s="3">
        <f>SUMIFS('PowerApp_Physical count'!H:H,'PowerApp_Physical count'!B:B,' General Stock Summary View  '!$Y$2,'PowerApp_Physical count'!C:C,' General Stock Summary View  '!C522,'PowerApp_Physical count'!A:A,' General Stock Summary View  '!B522)</f>
        <v>0</v>
      </c>
      <c r="AA522" s="4">
        <f t="shared" si="78"/>
        <v>0</v>
      </c>
      <c r="AB522" s="5">
        <f>SUMIFS('XBS '!T:T,'XBS '!H:H,' General Stock Summary View  '!$AB$2,'XBS '!B:B,' General Stock Summary View  '!C522,'XBS '!L:L,' General Stock Summary View  '!B522)</f>
        <v>0</v>
      </c>
      <c r="AC522" s="3">
        <f>SUMIFS('PowerApp_Physical count'!H:H,'PowerApp_Physical count'!B:B,' General Stock Summary View  '!$AB$2,'PowerApp_Physical count'!C:C,' General Stock Summary View  '!C522,'PowerApp_Physical count'!A:A,' General Stock Summary View  '!B522)</f>
        <v>0</v>
      </c>
      <c r="AD522" s="6">
        <f t="shared" si="79"/>
        <v>0</v>
      </c>
      <c r="AE522" s="7">
        <f t="shared" si="80"/>
        <v>148.68333333333334</v>
      </c>
      <c r="AF522" s="8">
        <f t="shared" si="81"/>
        <v>0</v>
      </c>
      <c r="AG522" s="112"/>
    </row>
    <row r="523" spans="2:33" s="113" customFormat="1" ht="61.15">
      <c r="B523" s="117" t="s">
        <v>382</v>
      </c>
      <c r="C523" s="111" t="s">
        <v>240</v>
      </c>
      <c r="D523" s="11">
        <f>SUMIFS('XBS '!T:T,'XBS '!C:C,' General Stock Summary View  '!C523,'XBS '!L:L,' General Stock Summary View  '!B523)</f>
        <v>0</v>
      </c>
      <c r="E523" s="2">
        <f>SUMIFS('Blocked for Processing'!P:P,'Blocked for Processing'!I:I,' General Stock Summary View  '!B523,'Blocked for Processing'!C:C,' General Stock Summary View  '!C523)</f>
        <v>106.91666666666667</v>
      </c>
      <c r="F523" s="122">
        <f t="shared" si="70"/>
        <v>106.91666666666667</v>
      </c>
      <c r="G523" s="148">
        <f>SUMIFS('XBS '!T:T,'XBS '!H:H,' General Stock Summary View  '!$G$2,'XBS '!L:L,' General Stock Summary View  '!B523,'XBS '!C:C,' General Stock Summary View  '!C523)</f>
        <v>0</v>
      </c>
      <c r="H523" s="3">
        <f>SUMIFS('PowerApp_Physical count'!H:H,'PowerApp_Physical count'!B:B,' General Stock Summary View  '!$G$2,'PowerApp_Physical count'!C:C,' General Stock Summary View  '!C523,'PowerApp_Physical count'!A:A,' General Stock Summary View  '!B523)</f>
        <v>106.91666666666667</v>
      </c>
      <c r="I523" s="154">
        <f t="shared" si="82"/>
        <v>106.91666666666667</v>
      </c>
      <c r="J523" s="11">
        <f>SUMIFS('XBS '!T:T,'XBS '!H:H,' General Stock Summary View  '!$J$2,'XBS '!L:L,' General Stock Summary View  '!B523,'XBS '!C:C,' General Stock Summary View  '!C523)</f>
        <v>0</v>
      </c>
      <c r="K523" s="157">
        <f>SUMIFS('PowerApp_Physical count'!H:H,'PowerApp_Physical count'!B:B,' General Stock Summary View  '!$J$2,'PowerApp_Physical count'!C:C,' General Stock Summary View  '!C523,'PowerApp_Physical count'!A:A,' General Stock Summary View  '!B523)</f>
        <v>0</v>
      </c>
      <c r="L523" s="127">
        <f t="shared" si="71"/>
        <v>0</v>
      </c>
      <c r="M523" s="126">
        <f t="shared" si="72"/>
        <v>106.91666666666667</v>
      </c>
      <c r="N523" s="11">
        <f t="shared" si="73"/>
        <v>106.91666666666667</v>
      </c>
      <c r="O523" s="144">
        <f t="shared" si="74"/>
        <v>0</v>
      </c>
      <c r="P523" s="2">
        <f>SUMIFS('XBS '!T:T,'XBS '!H:H,' General Stock Summary View  '!$P$2,'XBS '!L:L,' General Stock Summary View  '!B523,'XBS '!C:C,' General Stock Summary View  '!C523)</f>
        <v>0</v>
      </c>
      <c r="Q523" s="3">
        <f>SUMIFS('PowerApp_Physical count'!H:H,'PowerApp_Physical count'!B:B,' General Stock Summary View  '!$P$2,'PowerApp_Physical count'!C:C,' General Stock Summary View  '!C523,'PowerApp_Physical count'!A:A,' General Stock Summary View  '!B523)</f>
        <v>0</v>
      </c>
      <c r="R523" s="4">
        <f t="shared" si="75"/>
        <v>0</v>
      </c>
      <c r="S523" s="5">
        <f>SUMIFS('XBS '!T:T,'XBS '!L:L,' General Stock Summary View  '!B523,'XBS '!H:H,' General Stock Summary View  '!$S$2,'XBS '!C:C,' General Stock Summary View  '!C523)</f>
        <v>0</v>
      </c>
      <c r="T523" s="3">
        <f>SUMIFS('PowerApp_Physical count'!H:H,'PowerApp_Physical count'!B:B,' General Stock Summary View  '!$S$2,'PowerApp_Physical count'!C:C,' General Stock Summary View  '!C523,'PowerApp_Physical count'!A:A,' General Stock Summary View  '!B523)</f>
        <v>0</v>
      </c>
      <c r="U523" s="4">
        <f t="shared" si="76"/>
        <v>0</v>
      </c>
      <c r="V523" s="2">
        <f>SUMIFS('XBS '!T:T,'XBS '!H:H,' General Stock Summary View  '!$V$2,'XBS '!B:B,' General Stock Summary View  '!C523,'XBS '!L:L,' General Stock Summary View  '!B523)</f>
        <v>0</v>
      </c>
      <c r="W523" s="3">
        <f>SUMIFS('PowerApp_Physical count'!H:H,'PowerApp_Physical count'!B:B,' General Stock Summary View  '!$V$2,'PowerApp_Physical count'!C:C,' General Stock Summary View  '!C523,'PowerApp_Physical count'!A:A,' General Stock Summary View  '!B523)</f>
        <v>0</v>
      </c>
      <c r="X523" s="4">
        <f t="shared" si="77"/>
        <v>0</v>
      </c>
      <c r="Y523" s="5">
        <f>SUMIFS('XBS '!T:T,'XBS '!H:H,' General Stock Summary View  '!$Y$2,'XBS '!B:B,' General Stock Summary View  '!C523,'XBS '!L:L,' General Stock Summary View  '!B523)</f>
        <v>0</v>
      </c>
      <c r="Z523" s="3">
        <f>SUMIFS('PowerApp_Physical count'!H:H,'PowerApp_Physical count'!B:B,' General Stock Summary View  '!$Y$2,'PowerApp_Physical count'!C:C,' General Stock Summary View  '!C523,'PowerApp_Physical count'!A:A,' General Stock Summary View  '!B523)</f>
        <v>0</v>
      </c>
      <c r="AA523" s="4">
        <f t="shared" si="78"/>
        <v>0</v>
      </c>
      <c r="AB523" s="5">
        <f>SUMIFS('XBS '!T:T,'XBS '!H:H,' General Stock Summary View  '!$AB$2,'XBS '!B:B,' General Stock Summary View  '!C523,'XBS '!L:L,' General Stock Summary View  '!B523)</f>
        <v>0</v>
      </c>
      <c r="AC523" s="3">
        <f>SUMIFS('PowerApp_Physical count'!H:H,'PowerApp_Physical count'!B:B,' General Stock Summary View  '!$AB$2,'PowerApp_Physical count'!C:C,' General Stock Summary View  '!C523,'PowerApp_Physical count'!A:A,' General Stock Summary View  '!B523)</f>
        <v>0</v>
      </c>
      <c r="AD523" s="6">
        <f t="shared" si="79"/>
        <v>0</v>
      </c>
      <c r="AE523" s="7">
        <f t="shared" si="80"/>
        <v>106.91666666666667</v>
      </c>
      <c r="AF523" s="8">
        <f t="shared" si="81"/>
        <v>0</v>
      </c>
      <c r="AG523" s="112"/>
    </row>
    <row r="524" spans="2:33" s="113" customFormat="1" ht="61.15">
      <c r="B524" s="117" t="s">
        <v>474</v>
      </c>
      <c r="C524" s="111" t="s">
        <v>240</v>
      </c>
      <c r="D524" s="11">
        <f>SUMIFS('XBS '!T:T,'XBS '!C:C,' General Stock Summary View  '!C524,'XBS '!L:L,' General Stock Summary View  '!B524)</f>
        <v>0</v>
      </c>
      <c r="E524" s="2">
        <f>SUMIFS('Blocked for Processing'!P:P,'Blocked for Processing'!I:I,' General Stock Summary View  '!B524,'Blocked for Processing'!C:C,' General Stock Summary View  '!C524)</f>
        <v>27.65</v>
      </c>
      <c r="F524" s="122">
        <f t="shared" si="70"/>
        <v>27.65</v>
      </c>
      <c r="G524" s="148">
        <f>SUMIFS('XBS '!T:T,'XBS '!H:H,' General Stock Summary View  '!$G$2,'XBS '!L:L,' General Stock Summary View  '!B524,'XBS '!C:C,' General Stock Summary View  '!C524)</f>
        <v>0</v>
      </c>
      <c r="H524" s="3">
        <f>SUMIFS('PowerApp_Physical count'!H:H,'PowerApp_Physical count'!B:B,' General Stock Summary View  '!$G$2,'PowerApp_Physical count'!C:C,' General Stock Summary View  '!C524,'PowerApp_Physical count'!A:A,' General Stock Summary View  '!B524)</f>
        <v>27.65</v>
      </c>
      <c r="I524" s="154">
        <f t="shared" si="82"/>
        <v>27.65</v>
      </c>
      <c r="J524" s="11">
        <f>SUMIFS('XBS '!T:T,'XBS '!H:H,' General Stock Summary View  '!$J$2,'XBS '!L:L,' General Stock Summary View  '!B524,'XBS '!C:C,' General Stock Summary View  '!C524)</f>
        <v>0</v>
      </c>
      <c r="K524" s="157">
        <f>SUMIFS('PowerApp_Physical count'!H:H,'PowerApp_Physical count'!B:B,' General Stock Summary View  '!$J$2,'PowerApp_Physical count'!C:C,' General Stock Summary View  '!C524,'PowerApp_Physical count'!A:A,' General Stock Summary View  '!B524)</f>
        <v>0</v>
      </c>
      <c r="L524" s="127">
        <f t="shared" si="71"/>
        <v>0</v>
      </c>
      <c r="M524" s="126">
        <f t="shared" si="72"/>
        <v>27.65</v>
      </c>
      <c r="N524" s="11">
        <f t="shared" si="73"/>
        <v>27.65</v>
      </c>
      <c r="O524" s="144">
        <f t="shared" si="74"/>
        <v>0</v>
      </c>
      <c r="P524" s="2">
        <f>SUMIFS('XBS '!T:T,'XBS '!H:H,' General Stock Summary View  '!$P$2,'XBS '!L:L,' General Stock Summary View  '!B524,'XBS '!C:C,' General Stock Summary View  '!C524)</f>
        <v>0</v>
      </c>
      <c r="Q524" s="3">
        <f>SUMIFS('PowerApp_Physical count'!H:H,'PowerApp_Physical count'!B:B,' General Stock Summary View  '!$P$2,'PowerApp_Physical count'!C:C,' General Stock Summary View  '!C524,'PowerApp_Physical count'!A:A,' General Stock Summary View  '!B524)</f>
        <v>0</v>
      </c>
      <c r="R524" s="4">
        <f t="shared" si="75"/>
        <v>0</v>
      </c>
      <c r="S524" s="5">
        <f>SUMIFS('XBS '!T:T,'XBS '!L:L,' General Stock Summary View  '!B524,'XBS '!H:H,' General Stock Summary View  '!$S$2,'XBS '!C:C,' General Stock Summary View  '!C524)</f>
        <v>0</v>
      </c>
      <c r="T524" s="3">
        <f>SUMIFS('PowerApp_Physical count'!H:H,'PowerApp_Physical count'!B:B,' General Stock Summary View  '!$S$2,'PowerApp_Physical count'!C:C,' General Stock Summary View  '!C524,'PowerApp_Physical count'!A:A,' General Stock Summary View  '!B524)</f>
        <v>0</v>
      </c>
      <c r="U524" s="4">
        <f t="shared" si="76"/>
        <v>0</v>
      </c>
      <c r="V524" s="2">
        <f>SUMIFS('XBS '!T:T,'XBS '!H:H,' General Stock Summary View  '!$V$2,'XBS '!B:B,' General Stock Summary View  '!C524,'XBS '!L:L,' General Stock Summary View  '!B524)</f>
        <v>0</v>
      </c>
      <c r="W524" s="3">
        <f>SUMIFS('PowerApp_Physical count'!H:H,'PowerApp_Physical count'!B:B,' General Stock Summary View  '!$V$2,'PowerApp_Physical count'!C:C,' General Stock Summary View  '!C524,'PowerApp_Physical count'!A:A,' General Stock Summary View  '!B524)</f>
        <v>0</v>
      </c>
      <c r="X524" s="4">
        <f t="shared" si="77"/>
        <v>0</v>
      </c>
      <c r="Y524" s="5">
        <f>SUMIFS('XBS '!T:T,'XBS '!H:H,' General Stock Summary View  '!$Y$2,'XBS '!B:B,' General Stock Summary View  '!C524,'XBS '!L:L,' General Stock Summary View  '!B524)</f>
        <v>0</v>
      </c>
      <c r="Z524" s="3">
        <f>SUMIFS('PowerApp_Physical count'!H:H,'PowerApp_Physical count'!B:B,' General Stock Summary View  '!$Y$2,'PowerApp_Physical count'!C:C,' General Stock Summary View  '!C524,'PowerApp_Physical count'!A:A,' General Stock Summary View  '!B524)</f>
        <v>0</v>
      </c>
      <c r="AA524" s="4">
        <f t="shared" si="78"/>
        <v>0</v>
      </c>
      <c r="AB524" s="5">
        <f>SUMIFS('XBS '!T:T,'XBS '!H:H,' General Stock Summary View  '!$AB$2,'XBS '!B:B,' General Stock Summary View  '!C524,'XBS '!L:L,' General Stock Summary View  '!B524)</f>
        <v>0</v>
      </c>
      <c r="AC524" s="3">
        <f>SUMIFS('PowerApp_Physical count'!H:H,'PowerApp_Physical count'!B:B,' General Stock Summary View  '!$AB$2,'PowerApp_Physical count'!C:C,' General Stock Summary View  '!C524,'PowerApp_Physical count'!A:A,' General Stock Summary View  '!B524)</f>
        <v>0</v>
      </c>
      <c r="AD524" s="6">
        <f t="shared" si="79"/>
        <v>0</v>
      </c>
      <c r="AE524" s="7">
        <f t="shared" si="80"/>
        <v>27.65</v>
      </c>
      <c r="AF524" s="8">
        <f t="shared" si="81"/>
        <v>0</v>
      </c>
      <c r="AG524" s="112"/>
    </row>
    <row r="525" spans="2:33" s="113" customFormat="1" ht="61.15">
      <c r="B525" s="117" t="s">
        <v>385</v>
      </c>
      <c r="C525" s="111" t="s">
        <v>240</v>
      </c>
      <c r="D525" s="11">
        <f>SUMIFS('XBS '!T:T,'XBS '!C:C,' General Stock Summary View  '!C525,'XBS '!L:L,' General Stock Summary View  '!B525)</f>
        <v>0</v>
      </c>
      <c r="E525" s="2">
        <f>SUMIFS('Blocked for Processing'!P:P,'Blocked for Processing'!I:I,' General Stock Summary View  '!B525,'Blocked for Processing'!C:C,' General Stock Summary View  '!C525)</f>
        <v>86.35</v>
      </c>
      <c r="F525" s="122">
        <f t="shared" si="70"/>
        <v>86.35</v>
      </c>
      <c r="G525" s="148">
        <f>SUMIFS('XBS '!T:T,'XBS '!H:H,' General Stock Summary View  '!$G$2,'XBS '!L:L,' General Stock Summary View  '!B525,'XBS '!C:C,' General Stock Summary View  '!C525)</f>
        <v>0</v>
      </c>
      <c r="H525" s="3">
        <f>SUMIFS('PowerApp_Physical count'!H:H,'PowerApp_Physical count'!B:B,' General Stock Summary View  '!$G$2,'PowerApp_Physical count'!C:C,' General Stock Summary View  '!C525,'PowerApp_Physical count'!A:A,' General Stock Summary View  '!B525)</f>
        <v>86.35</v>
      </c>
      <c r="I525" s="154">
        <f t="shared" si="82"/>
        <v>86.35</v>
      </c>
      <c r="J525" s="11">
        <f>SUMIFS('XBS '!T:T,'XBS '!H:H,' General Stock Summary View  '!$J$2,'XBS '!L:L,' General Stock Summary View  '!B525,'XBS '!C:C,' General Stock Summary View  '!C525)</f>
        <v>0</v>
      </c>
      <c r="K525" s="157">
        <f>SUMIFS('PowerApp_Physical count'!H:H,'PowerApp_Physical count'!B:B,' General Stock Summary View  '!$J$2,'PowerApp_Physical count'!C:C,' General Stock Summary View  '!C525,'PowerApp_Physical count'!A:A,' General Stock Summary View  '!B525)</f>
        <v>0</v>
      </c>
      <c r="L525" s="127">
        <f t="shared" si="71"/>
        <v>0</v>
      </c>
      <c r="M525" s="126">
        <f t="shared" si="72"/>
        <v>86.35</v>
      </c>
      <c r="N525" s="11">
        <f t="shared" si="73"/>
        <v>86.35</v>
      </c>
      <c r="O525" s="144">
        <f t="shared" si="74"/>
        <v>0</v>
      </c>
      <c r="P525" s="2">
        <f>SUMIFS('XBS '!T:T,'XBS '!H:H,' General Stock Summary View  '!$P$2,'XBS '!L:L,' General Stock Summary View  '!B525,'XBS '!C:C,' General Stock Summary View  '!C525)</f>
        <v>0</v>
      </c>
      <c r="Q525" s="3">
        <f>SUMIFS('PowerApp_Physical count'!H:H,'PowerApp_Physical count'!B:B,' General Stock Summary View  '!$P$2,'PowerApp_Physical count'!C:C,' General Stock Summary View  '!C525,'PowerApp_Physical count'!A:A,' General Stock Summary View  '!B525)</f>
        <v>0</v>
      </c>
      <c r="R525" s="4">
        <f t="shared" si="75"/>
        <v>0</v>
      </c>
      <c r="S525" s="5">
        <f>SUMIFS('XBS '!T:T,'XBS '!L:L,' General Stock Summary View  '!B525,'XBS '!H:H,' General Stock Summary View  '!$S$2,'XBS '!C:C,' General Stock Summary View  '!C525)</f>
        <v>0</v>
      </c>
      <c r="T525" s="3">
        <f>SUMIFS('PowerApp_Physical count'!H:H,'PowerApp_Physical count'!B:B,' General Stock Summary View  '!$S$2,'PowerApp_Physical count'!C:C,' General Stock Summary View  '!C525,'PowerApp_Physical count'!A:A,' General Stock Summary View  '!B525)</f>
        <v>0</v>
      </c>
      <c r="U525" s="4">
        <f t="shared" si="76"/>
        <v>0</v>
      </c>
      <c r="V525" s="2">
        <f>SUMIFS('XBS '!T:T,'XBS '!H:H,' General Stock Summary View  '!$V$2,'XBS '!B:B,' General Stock Summary View  '!C525,'XBS '!L:L,' General Stock Summary View  '!B525)</f>
        <v>0</v>
      </c>
      <c r="W525" s="3">
        <f>SUMIFS('PowerApp_Physical count'!H:H,'PowerApp_Physical count'!B:B,' General Stock Summary View  '!$V$2,'PowerApp_Physical count'!C:C,' General Stock Summary View  '!C525,'PowerApp_Physical count'!A:A,' General Stock Summary View  '!B525)</f>
        <v>0</v>
      </c>
      <c r="X525" s="4">
        <f t="shared" si="77"/>
        <v>0</v>
      </c>
      <c r="Y525" s="5">
        <f>SUMIFS('XBS '!T:T,'XBS '!H:H,' General Stock Summary View  '!$Y$2,'XBS '!B:B,' General Stock Summary View  '!C525,'XBS '!L:L,' General Stock Summary View  '!B525)</f>
        <v>0</v>
      </c>
      <c r="Z525" s="3">
        <f>SUMIFS('PowerApp_Physical count'!H:H,'PowerApp_Physical count'!B:B,' General Stock Summary View  '!$Y$2,'PowerApp_Physical count'!C:C,' General Stock Summary View  '!C525,'PowerApp_Physical count'!A:A,' General Stock Summary View  '!B525)</f>
        <v>0</v>
      </c>
      <c r="AA525" s="4">
        <f t="shared" si="78"/>
        <v>0</v>
      </c>
      <c r="AB525" s="5">
        <f>SUMIFS('XBS '!T:T,'XBS '!H:H,' General Stock Summary View  '!$AB$2,'XBS '!B:B,' General Stock Summary View  '!C525,'XBS '!L:L,' General Stock Summary View  '!B525)</f>
        <v>0</v>
      </c>
      <c r="AC525" s="3">
        <f>SUMIFS('PowerApp_Physical count'!H:H,'PowerApp_Physical count'!B:B,' General Stock Summary View  '!$AB$2,'PowerApp_Physical count'!C:C,' General Stock Summary View  '!C525,'PowerApp_Physical count'!A:A,' General Stock Summary View  '!B525)</f>
        <v>0</v>
      </c>
      <c r="AD525" s="6">
        <f t="shared" si="79"/>
        <v>0</v>
      </c>
      <c r="AE525" s="7">
        <f t="shared" si="80"/>
        <v>86.35</v>
      </c>
      <c r="AF525" s="8">
        <f t="shared" si="81"/>
        <v>0</v>
      </c>
      <c r="AG525" s="112"/>
    </row>
    <row r="526" spans="2:33" s="113" customFormat="1" ht="61.15">
      <c r="B526" s="117" t="s">
        <v>379</v>
      </c>
      <c r="C526" s="111" t="s">
        <v>240</v>
      </c>
      <c r="D526" s="11">
        <f>SUMIFS('XBS '!T:T,'XBS '!C:C,' General Stock Summary View  '!C526,'XBS '!L:L,' General Stock Summary View  '!B526)</f>
        <v>0</v>
      </c>
      <c r="E526" s="2">
        <f>SUMIFS('Blocked for Processing'!P:P,'Blocked for Processing'!I:I,' General Stock Summary View  '!B526,'Blocked for Processing'!C:C,' General Stock Summary View  '!C526)</f>
        <v>182.33333333333334</v>
      </c>
      <c r="F526" s="122">
        <f t="shared" si="70"/>
        <v>182.33333333333334</v>
      </c>
      <c r="G526" s="148">
        <f>SUMIFS('XBS '!T:T,'XBS '!H:H,' General Stock Summary View  '!$G$2,'XBS '!L:L,' General Stock Summary View  '!B526,'XBS '!C:C,' General Stock Summary View  '!C526)</f>
        <v>0</v>
      </c>
      <c r="H526" s="3">
        <f>SUMIFS('PowerApp_Physical count'!H:H,'PowerApp_Physical count'!B:B,' General Stock Summary View  '!$G$2,'PowerApp_Physical count'!C:C,' General Stock Summary View  '!C526,'PowerApp_Physical count'!A:A,' General Stock Summary View  '!B526)</f>
        <v>182.33333333333334</v>
      </c>
      <c r="I526" s="154">
        <f t="shared" si="82"/>
        <v>182.33333333333334</v>
      </c>
      <c r="J526" s="11">
        <f>SUMIFS('XBS '!T:T,'XBS '!H:H,' General Stock Summary View  '!$J$2,'XBS '!L:L,' General Stock Summary View  '!B526,'XBS '!C:C,' General Stock Summary View  '!C526)</f>
        <v>0</v>
      </c>
      <c r="K526" s="157">
        <f>SUMIFS('PowerApp_Physical count'!H:H,'PowerApp_Physical count'!B:B,' General Stock Summary View  '!$J$2,'PowerApp_Physical count'!C:C,' General Stock Summary View  '!C526,'PowerApp_Physical count'!A:A,' General Stock Summary View  '!B526)</f>
        <v>0</v>
      </c>
      <c r="L526" s="127">
        <f t="shared" si="71"/>
        <v>0</v>
      </c>
      <c r="M526" s="126">
        <f t="shared" si="72"/>
        <v>182.33333333333334</v>
      </c>
      <c r="N526" s="11">
        <f t="shared" si="73"/>
        <v>182.33333333333334</v>
      </c>
      <c r="O526" s="144">
        <f t="shared" si="74"/>
        <v>0</v>
      </c>
      <c r="P526" s="2">
        <f>SUMIFS('XBS '!T:T,'XBS '!H:H,' General Stock Summary View  '!$P$2,'XBS '!L:L,' General Stock Summary View  '!B526,'XBS '!C:C,' General Stock Summary View  '!C526)</f>
        <v>0</v>
      </c>
      <c r="Q526" s="3">
        <f>SUMIFS('PowerApp_Physical count'!H:H,'PowerApp_Physical count'!B:B,' General Stock Summary View  '!$P$2,'PowerApp_Physical count'!C:C,' General Stock Summary View  '!C526,'PowerApp_Physical count'!A:A,' General Stock Summary View  '!B526)</f>
        <v>0</v>
      </c>
      <c r="R526" s="4">
        <f t="shared" si="75"/>
        <v>0</v>
      </c>
      <c r="S526" s="5">
        <f>SUMIFS('XBS '!T:T,'XBS '!L:L,' General Stock Summary View  '!B526,'XBS '!H:H,' General Stock Summary View  '!$S$2,'XBS '!C:C,' General Stock Summary View  '!C526)</f>
        <v>0</v>
      </c>
      <c r="T526" s="3">
        <f>SUMIFS('PowerApp_Physical count'!H:H,'PowerApp_Physical count'!B:B,' General Stock Summary View  '!$S$2,'PowerApp_Physical count'!C:C,' General Stock Summary View  '!C526,'PowerApp_Physical count'!A:A,' General Stock Summary View  '!B526)</f>
        <v>0</v>
      </c>
      <c r="U526" s="4">
        <f t="shared" si="76"/>
        <v>0</v>
      </c>
      <c r="V526" s="2">
        <f>SUMIFS('XBS '!T:T,'XBS '!H:H,' General Stock Summary View  '!$V$2,'XBS '!B:B,' General Stock Summary View  '!C526,'XBS '!L:L,' General Stock Summary View  '!B526)</f>
        <v>0</v>
      </c>
      <c r="W526" s="3">
        <f>SUMIFS('PowerApp_Physical count'!H:H,'PowerApp_Physical count'!B:B,' General Stock Summary View  '!$V$2,'PowerApp_Physical count'!C:C,' General Stock Summary View  '!C526,'PowerApp_Physical count'!A:A,' General Stock Summary View  '!B526)</f>
        <v>0</v>
      </c>
      <c r="X526" s="4">
        <f t="shared" si="77"/>
        <v>0</v>
      </c>
      <c r="Y526" s="5">
        <f>SUMIFS('XBS '!T:T,'XBS '!H:H,' General Stock Summary View  '!$Y$2,'XBS '!B:B,' General Stock Summary View  '!C526,'XBS '!L:L,' General Stock Summary View  '!B526)</f>
        <v>0</v>
      </c>
      <c r="Z526" s="3">
        <f>SUMIFS('PowerApp_Physical count'!H:H,'PowerApp_Physical count'!B:B,' General Stock Summary View  '!$Y$2,'PowerApp_Physical count'!C:C,' General Stock Summary View  '!C526,'PowerApp_Physical count'!A:A,' General Stock Summary View  '!B526)</f>
        <v>0</v>
      </c>
      <c r="AA526" s="4">
        <f t="shared" si="78"/>
        <v>0</v>
      </c>
      <c r="AB526" s="5">
        <f>SUMIFS('XBS '!T:T,'XBS '!H:H,' General Stock Summary View  '!$AB$2,'XBS '!B:B,' General Stock Summary View  '!C526,'XBS '!L:L,' General Stock Summary View  '!B526)</f>
        <v>0</v>
      </c>
      <c r="AC526" s="3">
        <f>SUMIFS('PowerApp_Physical count'!H:H,'PowerApp_Physical count'!B:B,' General Stock Summary View  '!$AB$2,'PowerApp_Physical count'!C:C,' General Stock Summary View  '!C526,'PowerApp_Physical count'!A:A,' General Stock Summary View  '!B526)</f>
        <v>0</v>
      </c>
      <c r="AD526" s="6">
        <f t="shared" si="79"/>
        <v>0</v>
      </c>
      <c r="AE526" s="7">
        <f t="shared" si="80"/>
        <v>182.33333333333334</v>
      </c>
      <c r="AF526" s="8">
        <f t="shared" si="81"/>
        <v>0</v>
      </c>
      <c r="AG526" s="112"/>
    </row>
    <row r="527" spans="2:33" s="113" customFormat="1" ht="61.15">
      <c r="B527" s="117" t="s">
        <v>378</v>
      </c>
      <c r="C527" s="111" t="s">
        <v>240</v>
      </c>
      <c r="D527" s="11">
        <f>SUMIFS('XBS '!T:T,'XBS '!C:C,' General Stock Summary View  '!C527,'XBS '!L:L,' General Stock Summary View  '!B527)</f>
        <v>0</v>
      </c>
      <c r="E527" s="2">
        <f>SUMIFS('Blocked for Processing'!P:P,'Blocked for Processing'!I:I,' General Stock Summary View  '!B527,'Blocked for Processing'!C:C,' General Stock Summary View  '!C527)</f>
        <v>74.083333333333329</v>
      </c>
      <c r="F527" s="122">
        <f t="shared" si="70"/>
        <v>74.083333333333329</v>
      </c>
      <c r="G527" s="148">
        <f>SUMIFS('XBS '!T:T,'XBS '!H:H,' General Stock Summary View  '!$G$2,'XBS '!L:L,' General Stock Summary View  '!B527,'XBS '!C:C,' General Stock Summary View  '!C527)</f>
        <v>0</v>
      </c>
      <c r="H527" s="3">
        <f>SUMIFS('PowerApp_Physical count'!H:H,'PowerApp_Physical count'!B:B,' General Stock Summary View  '!$G$2,'PowerApp_Physical count'!C:C,' General Stock Summary View  '!C527,'PowerApp_Physical count'!A:A,' General Stock Summary View  '!B527)</f>
        <v>74.083333333333329</v>
      </c>
      <c r="I527" s="154">
        <f t="shared" si="82"/>
        <v>74.083333333333329</v>
      </c>
      <c r="J527" s="11">
        <f>SUMIFS('XBS '!T:T,'XBS '!H:H,' General Stock Summary View  '!$J$2,'XBS '!L:L,' General Stock Summary View  '!B527,'XBS '!C:C,' General Stock Summary View  '!C527)</f>
        <v>0</v>
      </c>
      <c r="K527" s="157">
        <f>SUMIFS('PowerApp_Physical count'!H:H,'PowerApp_Physical count'!B:B,' General Stock Summary View  '!$J$2,'PowerApp_Physical count'!C:C,' General Stock Summary View  '!C527,'PowerApp_Physical count'!A:A,' General Stock Summary View  '!B527)</f>
        <v>0</v>
      </c>
      <c r="L527" s="127">
        <f t="shared" si="71"/>
        <v>0</v>
      </c>
      <c r="M527" s="126">
        <f t="shared" si="72"/>
        <v>74.083333333333329</v>
      </c>
      <c r="N527" s="11">
        <f t="shared" si="73"/>
        <v>74.083333333333329</v>
      </c>
      <c r="O527" s="144">
        <f t="shared" si="74"/>
        <v>0</v>
      </c>
      <c r="P527" s="2">
        <f>SUMIFS('XBS '!T:T,'XBS '!H:H,' General Stock Summary View  '!$P$2,'XBS '!L:L,' General Stock Summary View  '!B527,'XBS '!C:C,' General Stock Summary View  '!C527)</f>
        <v>0</v>
      </c>
      <c r="Q527" s="3">
        <f>SUMIFS('PowerApp_Physical count'!H:H,'PowerApp_Physical count'!B:B,' General Stock Summary View  '!$P$2,'PowerApp_Physical count'!C:C,' General Stock Summary View  '!C527,'PowerApp_Physical count'!A:A,' General Stock Summary View  '!B527)</f>
        <v>0</v>
      </c>
      <c r="R527" s="4">
        <f t="shared" si="75"/>
        <v>0</v>
      </c>
      <c r="S527" s="5">
        <f>SUMIFS('XBS '!T:T,'XBS '!L:L,' General Stock Summary View  '!B527,'XBS '!H:H,' General Stock Summary View  '!$S$2,'XBS '!C:C,' General Stock Summary View  '!C527)</f>
        <v>0</v>
      </c>
      <c r="T527" s="3">
        <f>SUMIFS('PowerApp_Physical count'!H:H,'PowerApp_Physical count'!B:B,' General Stock Summary View  '!$S$2,'PowerApp_Physical count'!C:C,' General Stock Summary View  '!C527,'PowerApp_Physical count'!A:A,' General Stock Summary View  '!B527)</f>
        <v>0</v>
      </c>
      <c r="U527" s="4">
        <f t="shared" si="76"/>
        <v>0</v>
      </c>
      <c r="V527" s="2">
        <f>SUMIFS('XBS '!T:T,'XBS '!H:H,' General Stock Summary View  '!$V$2,'XBS '!B:B,' General Stock Summary View  '!C527,'XBS '!L:L,' General Stock Summary View  '!B527)</f>
        <v>0</v>
      </c>
      <c r="W527" s="3">
        <f>SUMIFS('PowerApp_Physical count'!H:H,'PowerApp_Physical count'!B:B,' General Stock Summary View  '!$V$2,'PowerApp_Physical count'!C:C,' General Stock Summary View  '!C527,'PowerApp_Physical count'!A:A,' General Stock Summary View  '!B527)</f>
        <v>0</v>
      </c>
      <c r="X527" s="4">
        <f t="shared" si="77"/>
        <v>0</v>
      </c>
      <c r="Y527" s="5">
        <f>SUMIFS('XBS '!T:T,'XBS '!H:H,' General Stock Summary View  '!$Y$2,'XBS '!B:B,' General Stock Summary View  '!C527,'XBS '!L:L,' General Stock Summary View  '!B527)</f>
        <v>0</v>
      </c>
      <c r="Z527" s="3">
        <f>SUMIFS('PowerApp_Physical count'!H:H,'PowerApp_Physical count'!B:B,' General Stock Summary View  '!$Y$2,'PowerApp_Physical count'!C:C,' General Stock Summary View  '!C527,'PowerApp_Physical count'!A:A,' General Stock Summary View  '!B527)</f>
        <v>0</v>
      </c>
      <c r="AA527" s="4">
        <f t="shared" si="78"/>
        <v>0</v>
      </c>
      <c r="AB527" s="5">
        <f>SUMIFS('XBS '!T:T,'XBS '!H:H,' General Stock Summary View  '!$AB$2,'XBS '!B:B,' General Stock Summary View  '!C527,'XBS '!L:L,' General Stock Summary View  '!B527)</f>
        <v>0</v>
      </c>
      <c r="AC527" s="3">
        <f>SUMIFS('PowerApp_Physical count'!H:H,'PowerApp_Physical count'!B:B,' General Stock Summary View  '!$AB$2,'PowerApp_Physical count'!C:C,' General Stock Summary View  '!C527,'PowerApp_Physical count'!A:A,' General Stock Summary View  '!B527)</f>
        <v>0</v>
      </c>
      <c r="AD527" s="6">
        <f t="shared" si="79"/>
        <v>0</v>
      </c>
      <c r="AE527" s="7">
        <f t="shared" si="80"/>
        <v>74.083333333333329</v>
      </c>
      <c r="AF527" s="8">
        <f t="shared" si="81"/>
        <v>0</v>
      </c>
      <c r="AG527" s="112"/>
    </row>
    <row r="528" spans="2:33" s="113" customFormat="1" ht="61.15">
      <c r="B528" s="117" t="s">
        <v>381</v>
      </c>
      <c r="C528" s="111" t="s">
        <v>240</v>
      </c>
      <c r="D528" s="11">
        <f>SUMIFS('XBS '!T:T,'XBS '!C:C,' General Stock Summary View  '!C528,'XBS '!L:L,' General Stock Summary View  '!B528)</f>
        <v>0</v>
      </c>
      <c r="E528" s="2">
        <f>SUMIFS('Blocked for Processing'!P:P,'Blocked for Processing'!I:I,' General Stock Summary View  '!B528,'Blocked for Processing'!C:C,' General Stock Summary View  '!C528)</f>
        <v>57.95</v>
      </c>
      <c r="F528" s="122">
        <f t="shared" si="70"/>
        <v>57.95</v>
      </c>
      <c r="G528" s="148">
        <f>SUMIFS('XBS '!T:T,'XBS '!H:H,' General Stock Summary View  '!$G$2,'XBS '!L:L,' General Stock Summary View  '!B528,'XBS '!C:C,' General Stock Summary View  '!C528)</f>
        <v>0</v>
      </c>
      <c r="H528" s="3">
        <f>SUMIFS('PowerApp_Physical count'!H:H,'PowerApp_Physical count'!B:B,' General Stock Summary View  '!$G$2,'PowerApp_Physical count'!C:C,' General Stock Summary View  '!C528,'PowerApp_Physical count'!A:A,' General Stock Summary View  '!B528)</f>
        <v>57.95</v>
      </c>
      <c r="I528" s="154">
        <f t="shared" si="82"/>
        <v>57.95</v>
      </c>
      <c r="J528" s="11">
        <f>SUMIFS('XBS '!T:T,'XBS '!H:H,' General Stock Summary View  '!$J$2,'XBS '!L:L,' General Stock Summary View  '!B528,'XBS '!C:C,' General Stock Summary View  '!C528)</f>
        <v>0</v>
      </c>
      <c r="K528" s="157">
        <f>SUMIFS('PowerApp_Physical count'!H:H,'PowerApp_Physical count'!B:B,' General Stock Summary View  '!$J$2,'PowerApp_Physical count'!C:C,' General Stock Summary View  '!C528,'PowerApp_Physical count'!A:A,' General Stock Summary View  '!B528)</f>
        <v>0</v>
      </c>
      <c r="L528" s="127">
        <f t="shared" si="71"/>
        <v>0</v>
      </c>
      <c r="M528" s="126">
        <f t="shared" si="72"/>
        <v>57.95</v>
      </c>
      <c r="N528" s="11">
        <f t="shared" si="73"/>
        <v>57.95</v>
      </c>
      <c r="O528" s="144">
        <f t="shared" si="74"/>
        <v>0</v>
      </c>
      <c r="P528" s="2">
        <f>SUMIFS('XBS '!T:T,'XBS '!H:H,' General Stock Summary View  '!$P$2,'XBS '!L:L,' General Stock Summary View  '!B528,'XBS '!C:C,' General Stock Summary View  '!C528)</f>
        <v>0</v>
      </c>
      <c r="Q528" s="3">
        <f>SUMIFS('PowerApp_Physical count'!H:H,'PowerApp_Physical count'!B:B,' General Stock Summary View  '!$P$2,'PowerApp_Physical count'!C:C,' General Stock Summary View  '!C528,'PowerApp_Physical count'!A:A,' General Stock Summary View  '!B528)</f>
        <v>0</v>
      </c>
      <c r="R528" s="4">
        <f t="shared" si="75"/>
        <v>0</v>
      </c>
      <c r="S528" s="5">
        <f>SUMIFS('XBS '!T:T,'XBS '!L:L,' General Stock Summary View  '!B528,'XBS '!H:H,' General Stock Summary View  '!$S$2,'XBS '!C:C,' General Stock Summary View  '!C528)</f>
        <v>0</v>
      </c>
      <c r="T528" s="3">
        <f>SUMIFS('PowerApp_Physical count'!H:H,'PowerApp_Physical count'!B:B,' General Stock Summary View  '!$S$2,'PowerApp_Physical count'!C:C,' General Stock Summary View  '!C528,'PowerApp_Physical count'!A:A,' General Stock Summary View  '!B528)</f>
        <v>0</v>
      </c>
      <c r="U528" s="4">
        <f t="shared" si="76"/>
        <v>0</v>
      </c>
      <c r="V528" s="2">
        <f>SUMIFS('XBS '!T:T,'XBS '!H:H,' General Stock Summary View  '!$V$2,'XBS '!B:B,' General Stock Summary View  '!C528,'XBS '!L:L,' General Stock Summary View  '!B528)</f>
        <v>0</v>
      </c>
      <c r="W528" s="3">
        <f>SUMIFS('PowerApp_Physical count'!H:H,'PowerApp_Physical count'!B:B,' General Stock Summary View  '!$V$2,'PowerApp_Physical count'!C:C,' General Stock Summary View  '!C528,'PowerApp_Physical count'!A:A,' General Stock Summary View  '!B528)</f>
        <v>0</v>
      </c>
      <c r="X528" s="4">
        <f t="shared" si="77"/>
        <v>0</v>
      </c>
      <c r="Y528" s="5">
        <f>SUMIFS('XBS '!T:T,'XBS '!H:H,' General Stock Summary View  '!$Y$2,'XBS '!B:B,' General Stock Summary View  '!C528,'XBS '!L:L,' General Stock Summary View  '!B528)</f>
        <v>0</v>
      </c>
      <c r="Z528" s="3">
        <f>SUMIFS('PowerApp_Physical count'!H:H,'PowerApp_Physical count'!B:B,' General Stock Summary View  '!$Y$2,'PowerApp_Physical count'!C:C,' General Stock Summary View  '!C528,'PowerApp_Physical count'!A:A,' General Stock Summary View  '!B528)</f>
        <v>0</v>
      </c>
      <c r="AA528" s="4">
        <f t="shared" si="78"/>
        <v>0</v>
      </c>
      <c r="AB528" s="5">
        <f>SUMIFS('XBS '!T:T,'XBS '!H:H,' General Stock Summary View  '!$AB$2,'XBS '!B:B,' General Stock Summary View  '!C528,'XBS '!L:L,' General Stock Summary View  '!B528)</f>
        <v>0</v>
      </c>
      <c r="AC528" s="3">
        <f>SUMIFS('PowerApp_Physical count'!H:H,'PowerApp_Physical count'!B:B,' General Stock Summary View  '!$AB$2,'PowerApp_Physical count'!C:C,' General Stock Summary View  '!C528,'PowerApp_Physical count'!A:A,' General Stock Summary View  '!B528)</f>
        <v>0</v>
      </c>
      <c r="AD528" s="6">
        <f t="shared" si="79"/>
        <v>0</v>
      </c>
      <c r="AE528" s="7">
        <f t="shared" si="80"/>
        <v>57.95</v>
      </c>
      <c r="AF528" s="8">
        <f t="shared" si="81"/>
        <v>0</v>
      </c>
      <c r="AG528" s="112"/>
    </row>
    <row r="529" spans="2:33" s="113" customFormat="1" ht="61.15">
      <c r="B529" s="117" t="s">
        <v>475</v>
      </c>
      <c r="C529" s="111" t="s">
        <v>240</v>
      </c>
      <c r="D529" s="11">
        <f>SUMIFS('XBS '!T:T,'XBS '!C:C,' General Stock Summary View  '!C529,'XBS '!L:L,' General Stock Summary View  '!B529)</f>
        <v>0</v>
      </c>
      <c r="E529" s="2">
        <f>SUMIFS('Blocked for Processing'!P:P,'Blocked for Processing'!I:I,' General Stock Summary View  '!B529,'Blocked for Processing'!C:C,' General Stock Summary View  '!C529)</f>
        <v>57.25</v>
      </c>
      <c r="F529" s="122">
        <f t="shared" si="70"/>
        <v>57.25</v>
      </c>
      <c r="G529" s="148">
        <f>SUMIFS('XBS '!T:T,'XBS '!H:H,' General Stock Summary View  '!$G$2,'XBS '!L:L,' General Stock Summary View  '!B529,'XBS '!C:C,' General Stock Summary View  '!C529)</f>
        <v>0</v>
      </c>
      <c r="H529" s="3">
        <f>SUMIFS('PowerApp_Physical count'!H:H,'PowerApp_Physical count'!B:B,' General Stock Summary View  '!$G$2,'PowerApp_Physical count'!C:C,' General Stock Summary View  '!C529,'PowerApp_Physical count'!A:A,' General Stock Summary View  '!B529)</f>
        <v>57.25</v>
      </c>
      <c r="I529" s="154">
        <f t="shared" si="82"/>
        <v>57.25</v>
      </c>
      <c r="J529" s="11">
        <f>SUMIFS('XBS '!T:T,'XBS '!H:H,' General Stock Summary View  '!$J$2,'XBS '!L:L,' General Stock Summary View  '!B529,'XBS '!C:C,' General Stock Summary View  '!C529)</f>
        <v>0</v>
      </c>
      <c r="K529" s="157">
        <f>SUMIFS('PowerApp_Physical count'!H:H,'PowerApp_Physical count'!B:B,' General Stock Summary View  '!$J$2,'PowerApp_Physical count'!C:C,' General Stock Summary View  '!C529,'PowerApp_Physical count'!A:A,' General Stock Summary View  '!B529)</f>
        <v>0</v>
      </c>
      <c r="L529" s="127">
        <f t="shared" si="71"/>
        <v>0</v>
      </c>
      <c r="M529" s="126">
        <f t="shared" si="72"/>
        <v>57.25</v>
      </c>
      <c r="N529" s="11">
        <f t="shared" si="73"/>
        <v>57.25</v>
      </c>
      <c r="O529" s="144">
        <f t="shared" si="74"/>
        <v>0</v>
      </c>
      <c r="P529" s="2">
        <f>SUMIFS('XBS '!T:T,'XBS '!H:H,' General Stock Summary View  '!$P$2,'XBS '!L:L,' General Stock Summary View  '!B529,'XBS '!C:C,' General Stock Summary View  '!C529)</f>
        <v>0</v>
      </c>
      <c r="Q529" s="3">
        <f>SUMIFS('PowerApp_Physical count'!H:H,'PowerApp_Physical count'!B:B,' General Stock Summary View  '!$P$2,'PowerApp_Physical count'!C:C,' General Stock Summary View  '!C529,'PowerApp_Physical count'!A:A,' General Stock Summary View  '!B529)</f>
        <v>0</v>
      </c>
      <c r="R529" s="4">
        <f t="shared" si="75"/>
        <v>0</v>
      </c>
      <c r="S529" s="5">
        <f>SUMIFS('XBS '!T:T,'XBS '!L:L,' General Stock Summary View  '!B529,'XBS '!H:H,' General Stock Summary View  '!$S$2,'XBS '!C:C,' General Stock Summary View  '!C529)</f>
        <v>0</v>
      </c>
      <c r="T529" s="3">
        <f>SUMIFS('PowerApp_Physical count'!H:H,'PowerApp_Physical count'!B:B,' General Stock Summary View  '!$S$2,'PowerApp_Physical count'!C:C,' General Stock Summary View  '!C529,'PowerApp_Physical count'!A:A,' General Stock Summary View  '!B529)</f>
        <v>0</v>
      </c>
      <c r="U529" s="4">
        <f t="shared" si="76"/>
        <v>0</v>
      </c>
      <c r="V529" s="2">
        <f>SUMIFS('XBS '!T:T,'XBS '!H:H,' General Stock Summary View  '!$V$2,'XBS '!B:B,' General Stock Summary View  '!C529,'XBS '!L:L,' General Stock Summary View  '!B529)</f>
        <v>0</v>
      </c>
      <c r="W529" s="3">
        <f>SUMIFS('PowerApp_Physical count'!H:H,'PowerApp_Physical count'!B:B,' General Stock Summary View  '!$V$2,'PowerApp_Physical count'!C:C,' General Stock Summary View  '!C529,'PowerApp_Physical count'!A:A,' General Stock Summary View  '!B529)</f>
        <v>0</v>
      </c>
      <c r="X529" s="4">
        <f t="shared" si="77"/>
        <v>0</v>
      </c>
      <c r="Y529" s="5">
        <f>SUMIFS('XBS '!T:T,'XBS '!H:H,' General Stock Summary View  '!$Y$2,'XBS '!B:B,' General Stock Summary View  '!C529,'XBS '!L:L,' General Stock Summary View  '!B529)</f>
        <v>0</v>
      </c>
      <c r="Z529" s="3">
        <f>SUMIFS('PowerApp_Physical count'!H:H,'PowerApp_Physical count'!B:B,' General Stock Summary View  '!$Y$2,'PowerApp_Physical count'!C:C,' General Stock Summary View  '!C529,'PowerApp_Physical count'!A:A,' General Stock Summary View  '!B529)</f>
        <v>0</v>
      </c>
      <c r="AA529" s="4">
        <f t="shared" si="78"/>
        <v>0</v>
      </c>
      <c r="AB529" s="5">
        <f>SUMIFS('XBS '!T:T,'XBS '!H:H,' General Stock Summary View  '!$AB$2,'XBS '!B:B,' General Stock Summary View  '!C529,'XBS '!L:L,' General Stock Summary View  '!B529)</f>
        <v>0</v>
      </c>
      <c r="AC529" s="3">
        <f>SUMIFS('PowerApp_Physical count'!H:H,'PowerApp_Physical count'!B:B,' General Stock Summary View  '!$AB$2,'PowerApp_Physical count'!C:C,' General Stock Summary View  '!C529,'PowerApp_Physical count'!A:A,' General Stock Summary View  '!B529)</f>
        <v>0</v>
      </c>
      <c r="AD529" s="6">
        <f t="shared" si="79"/>
        <v>0</v>
      </c>
      <c r="AE529" s="7">
        <f t="shared" si="80"/>
        <v>57.25</v>
      </c>
      <c r="AF529" s="8">
        <f t="shared" si="81"/>
        <v>0</v>
      </c>
      <c r="AG529" s="112"/>
    </row>
    <row r="530" spans="2:33" s="113" customFormat="1" ht="61.15">
      <c r="B530" s="117" t="s">
        <v>376</v>
      </c>
      <c r="C530" s="111" t="s">
        <v>240</v>
      </c>
      <c r="D530" s="11">
        <f>SUMIFS('XBS '!T:T,'XBS '!C:C,' General Stock Summary View  '!C530,'XBS '!L:L,' General Stock Summary View  '!B530)</f>
        <v>0</v>
      </c>
      <c r="E530" s="2">
        <f>SUMIFS('Blocked for Processing'!P:P,'Blocked for Processing'!I:I,' General Stock Summary View  '!B530,'Blocked for Processing'!C:C,' General Stock Summary View  '!C530)</f>
        <v>150.51666666666668</v>
      </c>
      <c r="F530" s="122">
        <f t="shared" si="70"/>
        <v>150.51666666666668</v>
      </c>
      <c r="G530" s="148">
        <f>SUMIFS('XBS '!T:T,'XBS '!H:H,' General Stock Summary View  '!$G$2,'XBS '!L:L,' General Stock Summary View  '!B530,'XBS '!C:C,' General Stock Summary View  '!C530)</f>
        <v>0</v>
      </c>
      <c r="H530" s="3">
        <f>SUMIFS('PowerApp_Physical count'!H:H,'PowerApp_Physical count'!B:B,' General Stock Summary View  '!$G$2,'PowerApp_Physical count'!C:C,' General Stock Summary View  '!C530,'PowerApp_Physical count'!A:A,' General Stock Summary View  '!B530)</f>
        <v>150.51666666666668</v>
      </c>
      <c r="I530" s="154">
        <f t="shared" si="82"/>
        <v>150.51666666666668</v>
      </c>
      <c r="J530" s="11">
        <f>SUMIFS('XBS '!T:T,'XBS '!H:H,' General Stock Summary View  '!$J$2,'XBS '!L:L,' General Stock Summary View  '!B530,'XBS '!C:C,' General Stock Summary View  '!C530)</f>
        <v>0</v>
      </c>
      <c r="K530" s="157">
        <f>SUMIFS('PowerApp_Physical count'!H:H,'PowerApp_Physical count'!B:B,' General Stock Summary View  '!$J$2,'PowerApp_Physical count'!C:C,' General Stock Summary View  '!C530,'PowerApp_Physical count'!A:A,' General Stock Summary View  '!B530)</f>
        <v>0</v>
      </c>
      <c r="L530" s="127">
        <f t="shared" si="71"/>
        <v>0</v>
      </c>
      <c r="M530" s="126">
        <f t="shared" si="72"/>
        <v>150.51666666666668</v>
      </c>
      <c r="N530" s="11">
        <f t="shared" si="73"/>
        <v>150.51666666666668</v>
      </c>
      <c r="O530" s="144">
        <f t="shared" si="74"/>
        <v>0</v>
      </c>
      <c r="P530" s="2">
        <f>SUMIFS('XBS '!T:T,'XBS '!H:H,' General Stock Summary View  '!$P$2,'XBS '!L:L,' General Stock Summary View  '!B530,'XBS '!C:C,' General Stock Summary View  '!C530)</f>
        <v>0</v>
      </c>
      <c r="Q530" s="3">
        <f>SUMIFS('PowerApp_Physical count'!H:H,'PowerApp_Physical count'!B:B,' General Stock Summary View  '!$P$2,'PowerApp_Physical count'!C:C,' General Stock Summary View  '!C530,'PowerApp_Physical count'!A:A,' General Stock Summary View  '!B530)</f>
        <v>0</v>
      </c>
      <c r="R530" s="4">
        <f t="shared" si="75"/>
        <v>0</v>
      </c>
      <c r="S530" s="5">
        <f>SUMIFS('XBS '!T:T,'XBS '!L:L,' General Stock Summary View  '!B530,'XBS '!H:H,' General Stock Summary View  '!$S$2,'XBS '!C:C,' General Stock Summary View  '!C530)</f>
        <v>0</v>
      </c>
      <c r="T530" s="3">
        <f>SUMIFS('PowerApp_Physical count'!H:H,'PowerApp_Physical count'!B:B,' General Stock Summary View  '!$S$2,'PowerApp_Physical count'!C:C,' General Stock Summary View  '!C530,'PowerApp_Physical count'!A:A,' General Stock Summary View  '!B530)</f>
        <v>0</v>
      </c>
      <c r="U530" s="4">
        <f t="shared" si="76"/>
        <v>0</v>
      </c>
      <c r="V530" s="2">
        <f>SUMIFS('XBS '!T:T,'XBS '!H:H,' General Stock Summary View  '!$V$2,'XBS '!B:B,' General Stock Summary View  '!C530,'XBS '!L:L,' General Stock Summary View  '!B530)</f>
        <v>0</v>
      </c>
      <c r="W530" s="3">
        <f>SUMIFS('PowerApp_Physical count'!H:H,'PowerApp_Physical count'!B:B,' General Stock Summary View  '!$V$2,'PowerApp_Physical count'!C:C,' General Stock Summary View  '!C530,'PowerApp_Physical count'!A:A,' General Stock Summary View  '!B530)</f>
        <v>0</v>
      </c>
      <c r="X530" s="4">
        <f t="shared" si="77"/>
        <v>0</v>
      </c>
      <c r="Y530" s="5">
        <f>SUMIFS('XBS '!T:T,'XBS '!H:H,' General Stock Summary View  '!$Y$2,'XBS '!B:B,' General Stock Summary View  '!C530,'XBS '!L:L,' General Stock Summary View  '!B530)</f>
        <v>0</v>
      </c>
      <c r="Z530" s="3">
        <f>SUMIFS('PowerApp_Physical count'!H:H,'PowerApp_Physical count'!B:B,' General Stock Summary View  '!$Y$2,'PowerApp_Physical count'!C:C,' General Stock Summary View  '!C530,'PowerApp_Physical count'!A:A,' General Stock Summary View  '!B530)</f>
        <v>0</v>
      </c>
      <c r="AA530" s="4">
        <f t="shared" si="78"/>
        <v>0</v>
      </c>
      <c r="AB530" s="5">
        <f>SUMIFS('XBS '!T:T,'XBS '!H:H,' General Stock Summary View  '!$AB$2,'XBS '!B:B,' General Stock Summary View  '!C530,'XBS '!L:L,' General Stock Summary View  '!B530)</f>
        <v>0</v>
      </c>
      <c r="AC530" s="3">
        <f>SUMIFS('PowerApp_Physical count'!H:H,'PowerApp_Physical count'!B:B,' General Stock Summary View  '!$AB$2,'PowerApp_Physical count'!C:C,' General Stock Summary View  '!C530,'PowerApp_Physical count'!A:A,' General Stock Summary View  '!B530)</f>
        <v>0</v>
      </c>
      <c r="AD530" s="6">
        <f t="shared" si="79"/>
        <v>0</v>
      </c>
      <c r="AE530" s="7">
        <f t="shared" si="80"/>
        <v>150.51666666666668</v>
      </c>
      <c r="AF530" s="8">
        <f t="shared" si="81"/>
        <v>0</v>
      </c>
      <c r="AG530" s="112"/>
    </row>
    <row r="531" spans="2:33" s="113" customFormat="1" ht="61.15">
      <c r="B531" s="117" t="s">
        <v>390</v>
      </c>
      <c r="C531" s="111" t="s">
        <v>240</v>
      </c>
      <c r="D531" s="11">
        <f>SUMIFS('XBS '!T:T,'XBS '!C:C,' General Stock Summary View  '!C531,'XBS '!L:L,' General Stock Summary View  '!B531)</f>
        <v>0</v>
      </c>
      <c r="E531" s="2">
        <f>SUMIFS('Blocked for Processing'!P:P,'Blocked for Processing'!I:I,' General Stock Summary View  '!B531,'Blocked for Processing'!C:C,' General Stock Summary View  '!C531)</f>
        <v>252.91666666666666</v>
      </c>
      <c r="F531" s="122">
        <f t="shared" si="70"/>
        <v>252.91666666666666</v>
      </c>
      <c r="G531" s="148">
        <f>SUMIFS('XBS '!T:T,'XBS '!H:H,' General Stock Summary View  '!$G$2,'XBS '!L:L,' General Stock Summary View  '!B531,'XBS '!C:C,' General Stock Summary View  '!C531)</f>
        <v>0</v>
      </c>
      <c r="H531" s="3">
        <f>SUMIFS('PowerApp_Physical count'!H:H,'PowerApp_Physical count'!B:B,' General Stock Summary View  '!$G$2,'PowerApp_Physical count'!C:C,' General Stock Summary View  '!C531,'PowerApp_Physical count'!A:A,' General Stock Summary View  '!B531)</f>
        <v>252.91666666666666</v>
      </c>
      <c r="I531" s="154">
        <f t="shared" si="82"/>
        <v>252.91666666666666</v>
      </c>
      <c r="J531" s="11">
        <f>SUMIFS('XBS '!T:T,'XBS '!H:H,' General Stock Summary View  '!$J$2,'XBS '!L:L,' General Stock Summary View  '!B531,'XBS '!C:C,' General Stock Summary View  '!C531)</f>
        <v>0</v>
      </c>
      <c r="K531" s="157">
        <f>SUMIFS('PowerApp_Physical count'!H:H,'PowerApp_Physical count'!B:B,' General Stock Summary View  '!$J$2,'PowerApp_Physical count'!C:C,' General Stock Summary View  '!C531,'PowerApp_Physical count'!A:A,' General Stock Summary View  '!B531)</f>
        <v>0</v>
      </c>
      <c r="L531" s="127">
        <f t="shared" si="71"/>
        <v>0</v>
      </c>
      <c r="M531" s="126">
        <f t="shared" si="72"/>
        <v>252.91666666666666</v>
      </c>
      <c r="N531" s="11">
        <f t="shared" si="73"/>
        <v>252.91666666666666</v>
      </c>
      <c r="O531" s="144">
        <f t="shared" si="74"/>
        <v>0</v>
      </c>
      <c r="P531" s="2">
        <f>SUMIFS('XBS '!T:T,'XBS '!H:H,' General Stock Summary View  '!$P$2,'XBS '!L:L,' General Stock Summary View  '!B531,'XBS '!C:C,' General Stock Summary View  '!C531)</f>
        <v>0</v>
      </c>
      <c r="Q531" s="3">
        <f>SUMIFS('PowerApp_Physical count'!H:H,'PowerApp_Physical count'!B:B,' General Stock Summary View  '!$P$2,'PowerApp_Physical count'!C:C,' General Stock Summary View  '!C531,'PowerApp_Physical count'!A:A,' General Stock Summary View  '!B531)</f>
        <v>0</v>
      </c>
      <c r="R531" s="4">
        <f t="shared" si="75"/>
        <v>0</v>
      </c>
      <c r="S531" s="5">
        <f>SUMIFS('XBS '!T:T,'XBS '!L:L,' General Stock Summary View  '!B531,'XBS '!H:H,' General Stock Summary View  '!$S$2,'XBS '!C:C,' General Stock Summary View  '!C531)</f>
        <v>0</v>
      </c>
      <c r="T531" s="3">
        <f>SUMIFS('PowerApp_Physical count'!H:H,'PowerApp_Physical count'!B:B,' General Stock Summary View  '!$S$2,'PowerApp_Physical count'!C:C,' General Stock Summary View  '!C531,'PowerApp_Physical count'!A:A,' General Stock Summary View  '!B531)</f>
        <v>0</v>
      </c>
      <c r="U531" s="4">
        <f t="shared" si="76"/>
        <v>0</v>
      </c>
      <c r="V531" s="2">
        <f>SUMIFS('XBS '!T:T,'XBS '!H:H,' General Stock Summary View  '!$V$2,'XBS '!B:B,' General Stock Summary View  '!C531,'XBS '!L:L,' General Stock Summary View  '!B531)</f>
        <v>0</v>
      </c>
      <c r="W531" s="3">
        <f>SUMIFS('PowerApp_Physical count'!H:H,'PowerApp_Physical count'!B:B,' General Stock Summary View  '!$V$2,'PowerApp_Physical count'!C:C,' General Stock Summary View  '!C531,'PowerApp_Physical count'!A:A,' General Stock Summary View  '!B531)</f>
        <v>0</v>
      </c>
      <c r="X531" s="4">
        <f t="shared" si="77"/>
        <v>0</v>
      </c>
      <c r="Y531" s="5">
        <f>SUMIFS('XBS '!T:T,'XBS '!H:H,' General Stock Summary View  '!$Y$2,'XBS '!B:B,' General Stock Summary View  '!C531,'XBS '!L:L,' General Stock Summary View  '!B531)</f>
        <v>0</v>
      </c>
      <c r="Z531" s="3">
        <f>SUMIFS('PowerApp_Physical count'!H:H,'PowerApp_Physical count'!B:B,' General Stock Summary View  '!$Y$2,'PowerApp_Physical count'!C:C,' General Stock Summary View  '!C531,'PowerApp_Physical count'!A:A,' General Stock Summary View  '!B531)</f>
        <v>0</v>
      </c>
      <c r="AA531" s="4">
        <f t="shared" si="78"/>
        <v>0</v>
      </c>
      <c r="AB531" s="5">
        <f>SUMIFS('XBS '!T:T,'XBS '!H:H,' General Stock Summary View  '!$AB$2,'XBS '!B:B,' General Stock Summary View  '!C531,'XBS '!L:L,' General Stock Summary View  '!B531)</f>
        <v>0</v>
      </c>
      <c r="AC531" s="3">
        <f>SUMIFS('PowerApp_Physical count'!H:H,'PowerApp_Physical count'!B:B,' General Stock Summary View  '!$AB$2,'PowerApp_Physical count'!C:C,' General Stock Summary View  '!C531,'PowerApp_Physical count'!A:A,' General Stock Summary View  '!B531)</f>
        <v>0</v>
      </c>
      <c r="AD531" s="6">
        <f t="shared" si="79"/>
        <v>0</v>
      </c>
      <c r="AE531" s="7">
        <f t="shared" si="80"/>
        <v>252.91666666666666</v>
      </c>
      <c r="AF531" s="8">
        <f t="shared" si="81"/>
        <v>0</v>
      </c>
      <c r="AG531" s="112"/>
    </row>
    <row r="532" spans="2:33" s="113" customFormat="1" ht="61.15">
      <c r="B532" s="117" t="s">
        <v>374</v>
      </c>
      <c r="C532" s="111" t="s">
        <v>240</v>
      </c>
      <c r="D532" s="11">
        <f>SUMIFS('XBS '!T:T,'XBS '!C:C,' General Stock Summary View  '!C532,'XBS '!L:L,' General Stock Summary View  '!B532)</f>
        <v>0</v>
      </c>
      <c r="E532" s="2">
        <f>SUMIFS('Blocked for Processing'!P:P,'Blocked for Processing'!I:I,' General Stock Summary View  '!B532,'Blocked for Processing'!C:C,' General Stock Summary View  '!C532)</f>
        <v>202.9</v>
      </c>
      <c r="F532" s="122">
        <f t="shared" si="70"/>
        <v>202.9</v>
      </c>
      <c r="G532" s="148">
        <f>SUMIFS('XBS '!T:T,'XBS '!H:H,' General Stock Summary View  '!$G$2,'XBS '!L:L,' General Stock Summary View  '!B532,'XBS '!C:C,' General Stock Summary View  '!C532)</f>
        <v>0</v>
      </c>
      <c r="H532" s="3">
        <f>SUMIFS('PowerApp_Physical count'!H:H,'PowerApp_Physical count'!B:B,' General Stock Summary View  '!$G$2,'PowerApp_Physical count'!C:C,' General Stock Summary View  '!C532,'PowerApp_Physical count'!A:A,' General Stock Summary View  '!B532)</f>
        <v>202.9</v>
      </c>
      <c r="I532" s="154">
        <f t="shared" si="82"/>
        <v>202.9</v>
      </c>
      <c r="J532" s="11">
        <f>SUMIFS('XBS '!T:T,'XBS '!H:H,' General Stock Summary View  '!$J$2,'XBS '!L:L,' General Stock Summary View  '!B532,'XBS '!C:C,' General Stock Summary View  '!C532)</f>
        <v>0</v>
      </c>
      <c r="K532" s="157">
        <f>SUMIFS('PowerApp_Physical count'!H:H,'PowerApp_Physical count'!B:B,' General Stock Summary View  '!$J$2,'PowerApp_Physical count'!C:C,' General Stock Summary View  '!C532,'PowerApp_Physical count'!A:A,' General Stock Summary View  '!B532)</f>
        <v>0</v>
      </c>
      <c r="L532" s="127">
        <f t="shared" si="71"/>
        <v>0</v>
      </c>
      <c r="M532" s="126">
        <f t="shared" si="72"/>
        <v>202.9</v>
      </c>
      <c r="N532" s="11">
        <f t="shared" si="73"/>
        <v>202.9</v>
      </c>
      <c r="O532" s="144">
        <f t="shared" si="74"/>
        <v>0</v>
      </c>
      <c r="P532" s="2">
        <f>SUMIFS('XBS '!T:T,'XBS '!H:H,' General Stock Summary View  '!$P$2,'XBS '!L:L,' General Stock Summary View  '!B532,'XBS '!C:C,' General Stock Summary View  '!C532)</f>
        <v>0</v>
      </c>
      <c r="Q532" s="3">
        <f>SUMIFS('PowerApp_Physical count'!H:H,'PowerApp_Physical count'!B:B,' General Stock Summary View  '!$P$2,'PowerApp_Physical count'!C:C,' General Stock Summary View  '!C532,'PowerApp_Physical count'!A:A,' General Stock Summary View  '!B532)</f>
        <v>0</v>
      </c>
      <c r="R532" s="4">
        <f t="shared" si="75"/>
        <v>0</v>
      </c>
      <c r="S532" s="5">
        <f>SUMIFS('XBS '!T:T,'XBS '!L:L,' General Stock Summary View  '!B532,'XBS '!H:H,' General Stock Summary View  '!$S$2,'XBS '!C:C,' General Stock Summary View  '!C532)</f>
        <v>0</v>
      </c>
      <c r="T532" s="3">
        <f>SUMIFS('PowerApp_Physical count'!H:H,'PowerApp_Physical count'!B:B,' General Stock Summary View  '!$S$2,'PowerApp_Physical count'!C:C,' General Stock Summary View  '!C532,'PowerApp_Physical count'!A:A,' General Stock Summary View  '!B532)</f>
        <v>0</v>
      </c>
      <c r="U532" s="4">
        <f t="shared" si="76"/>
        <v>0</v>
      </c>
      <c r="V532" s="2">
        <f>SUMIFS('XBS '!T:T,'XBS '!H:H,' General Stock Summary View  '!$V$2,'XBS '!B:B,' General Stock Summary View  '!C532,'XBS '!L:L,' General Stock Summary View  '!B532)</f>
        <v>0</v>
      </c>
      <c r="W532" s="3">
        <f>SUMIFS('PowerApp_Physical count'!H:H,'PowerApp_Physical count'!B:B,' General Stock Summary View  '!$V$2,'PowerApp_Physical count'!C:C,' General Stock Summary View  '!C532,'PowerApp_Physical count'!A:A,' General Stock Summary View  '!B532)</f>
        <v>0</v>
      </c>
      <c r="X532" s="4">
        <f t="shared" si="77"/>
        <v>0</v>
      </c>
      <c r="Y532" s="5">
        <f>SUMIFS('XBS '!T:T,'XBS '!H:H,' General Stock Summary View  '!$Y$2,'XBS '!B:B,' General Stock Summary View  '!C532,'XBS '!L:L,' General Stock Summary View  '!B532)</f>
        <v>0</v>
      </c>
      <c r="Z532" s="3">
        <f>SUMIFS('PowerApp_Physical count'!H:H,'PowerApp_Physical count'!B:B,' General Stock Summary View  '!$Y$2,'PowerApp_Physical count'!C:C,' General Stock Summary View  '!C532,'PowerApp_Physical count'!A:A,' General Stock Summary View  '!B532)</f>
        <v>0</v>
      </c>
      <c r="AA532" s="4">
        <f t="shared" si="78"/>
        <v>0</v>
      </c>
      <c r="AB532" s="5">
        <f>SUMIFS('XBS '!T:T,'XBS '!H:H,' General Stock Summary View  '!$AB$2,'XBS '!B:B,' General Stock Summary View  '!C532,'XBS '!L:L,' General Stock Summary View  '!B532)</f>
        <v>0</v>
      </c>
      <c r="AC532" s="3">
        <f>SUMIFS('PowerApp_Physical count'!H:H,'PowerApp_Physical count'!B:B,' General Stock Summary View  '!$AB$2,'PowerApp_Physical count'!C:C,' General Stock Summary View  '!C532,'PowerApp_Physical count'!A:A,' General Stock Summary View  '!B532)</f>
        <v>0</v>
      </c>
      <c r="AD532" s="6">
        <f t="shared" si="79"/>
        <v>0</v>
      </c>
      <c r="AE532" s="7">
        <f t="shared" si="80"/>
        <v>202.9</v>
      </c>
      <c r="AF532" s="8">
        <f t="shared" si="81"/>
        <v>0</v>
      </c>
      <c r="AG532" s="112"/>
    </row>
    <row r="533" spans="2:33" s="113" customFormat="1" ht="61.15">
      <c r="B533" s="117" t="s">
        <v>476</v>
      </c>
      <c r="C533" s="111" t="s">
        <v>240</v>
      </c>
      <c r="D533" s="11">
        <f>SUMIFS('XBS '!T:T,'XBS '!C:C,' General Stock Summary View  '!C533,'XBS '!L:L,' General Stock Summary View  '!B533)</f>
        <v>0</v>
      </c>
      <c r="E533" s="2">
        <f>SUMIFS('Blocked for Processing'!P:P,'Blocked for Processing'!I:I,' General Stock Summary View  '!B533,'Blocked for Processing'!C:C,' General Stock Summary View  '!C533)</f>
        <v>486.18333333333334</v>
      </c>
      <c r="F533" s="122">
        <f t="shared" si="70"/>
        <v>486.18333333333334</v>
      </c>
      <c r="G533" s="148">
        <f>SUMIFS('XBS '!T:T,'XBS '!H:H,' General Stock Summary View  '!$G$2,'XBS '!L:L,' General Stock Summary View  '!B533,'XBS '!C:C,' General Stock Summary View  '!C533)</f>
        <v>0</v>
      </c>
      <c r="H533" s="3">
        <f>SUMIFS('PowerApp_Physical count'!H:H,'PowerApp_Physical count'!B:B,' General Stock Summary View  '!$G$2,'PowerApp_Physical count'!C:C,' General Stock Summary View  '!C533,'PowerApp_Physical count'!A:A,' General Stock Summary View  '!B533)</f>
        <v>486.18333333333334</v>
      </c>
      <c r="I533" s="154">
        <f t="shared" si="82"/>
        <v>486.18333333333334</v>
      </c>
      <c r="J533" s="11">
        <f>SUMIFS('XBS '!T:T,'XBS '!H:H,' General Stock Summary View  '!$J$2,'XBS '!L:L,' General Stock Summary View  '!B533,'XBS '!C:C,' General Stock Summary View  '!C533)</f>
        <v>0</v>
      </c>
      <c r="K533" s="157">
        <f>SUMIFS('PowerApp_Physical count'!H:H,'PowerApp_Physical count'!B:B,' General Stock Summary View  '!$J$2,'PowerApp_Physical count'!C:C,' General Stock Summary View  '!C533,'PowerApp_Physical count'!A:A,' General Stock Summary View  '!B533)</f>
        <v>0</v>
      </c>
      <c r="L533" s="127">
        <f t="shared" si="71"/>
        <v>0</v>
      </c>
      <c r="M533" s="126">
        <f t="shared" si="72"/>
        <v>486.18333333333334</v>
      </c>
      <c r="N533" s="11">
        <f t="shared" si="73"/>
        <v>486.18333333333334</v>
      </c>
      <c r="O533" s="144">
        <f t="shared" si="74"/>
        <v>0</v>
      </c>
      <c r="P533" s="2">
        <f>SUMIFS('XBS '!T:T,'XBS '!H:H,' General Stock Summary View  '!$P$2,'XBS '!L:L,' General Stock Summary View  '!B533,'XBS '!C:C,' General Stock Summary View  '!C533)</f>
        <v>0</v>
      </c>
      <c r="Q533" s="3">
        <f>SUMIFS('PowerApp_Physical count'!H:H,'PowerApp_Physical count'!B:B,' General Stock Summary View  '!$P$2,'PowerApp_Physical count'!C:C,' General Stock Summary View  '!C533,'PowerApp_Physical count'!A:A,' General Stock Summary View  '!B533)</f>
        <v>0</v>
      </c>
      <c r="R533" s="4">
        <f t="shared" si="75"/>
        <v>0</v>
      </c>
      <c r="S533" s="5">
        <f>SUMIFS('XBS '!T:T,'XBS '!L:L,' General Stock Summary View  '!B533,'XBS '!H:H,' General Stock Summary View  '!$S$2,'XBS '!C:C,' General Stock Summary View  '!C533)</f>
        <v>0</v>
      </c>
      <c r="T533" s="3">
        <f>SUMIFS('PowerApp_Physical count'!H:H,'PowerApp_Physical count'!B:B,' General Stock Summary View  '!$S$2,'PowerApp_Physical count'!C:C,' General Stock Summary View  '!C533,'PowerApp_Physical count'!A:A,' General Stock Summary View  '!B533)</f>
        <v>0</v>
      </c>
      <c r="U533" s="4">
        <f t="shared" si="76"/>
        <v>0</v>
      </c>
      <c r="V533" s="2">
        <f>SUMIFS('XBS '!T:T,'XBS '!H:H,' General Stock Summary View  '!$V$2,'XBS '!B:B,' General Stock Summary View  '!C533,'XBS '!L:L,' General Stock Summary View  '!B533)</f>
        <v>0</v>
      </c>
      <c r="W533" s="3">
        <f>SUMIFS('PowerApp_Physical count'!H:H,'PowerApp_Physical count'!B:B,' General Stock Summary View  '!$V$2,'PowerApp_Physical count'!C:C,' General Stock Summary View  '!C533,'PowerApp_Physical count'!A:A,' General Stock Summary View  '!B533)</f>
        <v>0</v>
      </c>
      <c r="X533" s="4">
        <f t="shared" si="77"/>
        <v>0</v>
      </c>
      <c r="Y533" s="5">
        <f>SUMIFS('XBS '!T:T,'XBS '!H:H,' General Stock Summary View  '!$Y$2,'XBS '!B:B,' General Stock Summary View  '!C533,'XBS '!L:L,' General Stock Summary View  '!B533)</f>
        <v>0</v>
      </c>
      <c r="Z533" s="3">
        <f>SUMIFS('PowerApp_Physical count'!H:H,'PowerApp_Physical count'!B:B,' General Stock Summary View  '!$Y$2,'PowerApp_Physical count'!C:C,' General Stock Summary View  '!C533,'PowerApp_Physical count'!A:A,' General Stock Summary View  '!B533)</f>
        <v>0</v>
      </c>
      <c r="AA533" s="4">
        <f t="shared" si="78"/>
        <v>0</v>
      </c>
      <c r="AB533" s="5">
        <f>SUMIFS('XBS '!T:T,'XBS '!H:H,' General Stock Summary View  '!$AB$2,'XBS '!B:B,' General Stock Summary View  '!C533,'XBS '!L:L,' General Stock Summary View  '!B533)</f>
        <v>0</v>
      </c>
      <c r="AC533" s="3">
        <f>SUMIFS('PowerApp_Physical count'!H:H,'PowerApp_Physical count'!B:B,' General Stock Summary View  '!$AB$2,'PowerApp_Physical count'!C:C,' General Stock Summary View  '!C533,'PowerApp_Physical count'!A:A,' General Stock Summary View  '!B533)</f>
        <v>0</v>
      </c>
      <c r="AD533" s="6">
        <f t="shared" si="79"/>
        <v>0</v>
      </c>
      <c r="AE533" s="7">
        <f t="shared" si="80"/>
        <v>486.18333333333334</v>
      </c>
      <c r="AF533" s="8">
        <f t="shared" si="81"/>
        <v>0</v>
      </c>
      <c r="AG533" s="112"/>
    </row>
    <row r="534" spans="2:33" s="113" customFormat="1" ht="61.15">
      <c r="B534" s="117"/>
      <c r="C534" s="111"/>
      <c r="D534" s="11">
        <f>SUMIFS('XBS '!T:T,'XBS '!C:C,' General Stock Summary View  '!C534,'XBS '!L:L,' General Stock Summary View  '!B534)</f>
        <v>0</v>
      </c>
      <c r="E534" s="2">
        <f>SUMIFS('Blocked for Processing'!P:P,'Blocked for Processing'!I:I,' General Stock Summary View  '!B534,'Blocked for Processing'!C:C,' General Stock Summary View  '!C534)</f>
        <v>0</v>
      </c>
      <c r="F534" s="122">
        <f t="shared" si="70"/>
        <v>0</v>
      </c>
      <c r="G534" s="148">
        <f>SUMIFS('XBS '!T:T,'XBS '!H:H,' General Stock Summary View  '!$G$2,'XBS '!L:L,' General Stock Summary View  '!B534,'XBS '!C:C,' General Stock Summary View  '!C534)</f>
        <v>0</v>
      </c>
      <c r="H534" s="3">
        <f>SUMIFS('PowerApp_Physical count'!H:H,'PowerApp_Physical count'!B:B,' General Stock Summary View  '!$G$2,'PowerApp_Physical count'!C:C,' General Stock Summary View  '!C534,'PowerApp_Physical count'!A:A,' General Stock Summary View  '!B534)</f>
        <v>0</v>
      </c>
      <c r="I534" s="154">
        <f t="shared" si="82"/>
        <v>0</v>
      </c>
      <c r="J534" s="11">
        <f>SUMIFS('XBS '!T:T,'XBS '!H:H,' General Stock Summary View  '!$J$2,'XBS '!L:L,' General Stock Summary View  '!B534,'XBS '!C:C,' General Stock Summary View  '!C534)</f>
        <v>0</v>
      </c>
      <c r="K534" s="157">
        <f>SUMIFS('PowerApp_Physical count'!H:H,'PowerApp_Physical count'!B:B,' General Stock Summary View  '!$J$2,'PowerApp_Physical count'!C:C,' General Stock Summary View  '!C534,'PowerApp_Physical count'!A:A,' General Stock Summary View  '!B534)</f>
        <v>0</v>
      </c>
      <c r="L534" s="127">
        <f t="shared" si="71"/>
        <v>0</v>
      </c>
      <c r="M534" s="126">
        <f t="shared" si="72"/>
        <v>0</v>
      </c>
      <c r="N534" s="11">
        <f t="shared" si="73"/>
        <v>0</v>
      </c>
      <c r="O534" s="144">
        <f t="shared" si="74"/>
        <v>0</v>
      </c>
      <c r="P534" s="2">
        <f>SUMIFS('XBS '!T:T,'XBS '!H:H,' General Stock Summary View  '!$P$2,'XBS '!L:L,' General Stock Summary View  '!B534,'XBS '!C:C,' General Stock Summary View  '!C534)</f>
        <v>0</v>
      </c>
      <c r="Q534" s="3">
        <f>SUMIFS('PowerApp_Physical count'!H:H,'PowerApp_Physical count'!B:B,' General Stock Summary View  '!$P$2,'PowerApp_Physical count'!C:C,' General Stock Summary View  '!C534,'PowerApp_Physical count'!A:A,' General Stock Summary View  '!B534)</f>
        <v>0</v>
      </c>
      <c r="R534" s="4">
        <f t="shared" si="75"/>
        <v>0</v>
      </c>
      <c r="S534" s="5">
        <f>SUMIFS('XBS '!T:T,'XBS '!L:L,' General Stock Summary View  '!B534,'XBS '!H:H,' General Stock Summary View  '!$S$2,'XBS '!C:C,' General Stock Summary View  '!C534)</f>
        <v>0</v>
      </c>
      <c r="T534" s="3">
        <f>SUMIFS('PowerApp_Physical count'!H:H,'PowerApp_Physical count'!B:B,' General Stock Summary View  '!$S$2,'PowerApp_Physical count'!C:C,' General Stock Summary View  '!C534,'PowerApp_Physical count'!A:A,' General Stock Summary View  '!B534)</f>
        <v>0</v>
      </c>
      <c r="U534" s="4">
        <f t="shared" si="76"/>
        <v>0</v>
      </c>
      <c r="V534" s="2">
        <f>SUMIFS('XBS '!T:T,'XBS '!H:H,' General Stock Summary View  '!$V$2,'XBS '!B:B,' General Stock Summary View  '!C534,'XBS '!L:L,' General Stock Summary View  '!B534)</f>
        <v>0</v>
      </c>
      <c r="W534" s="3">
        <f>SUMIFS('PowerApp_Physical count'!H:H,'PowerApp_Physical count'!B:B,' General Stock Summary View  '!$V$2,'PowerApp_Physical count'!C:C,' General Stock Summary View  '!C534,'PowerApp_Physical count'!A:A,' General Stock Summary View  '!B534)</f>
        <v>0</v>
      </c>
      <c r="X534" s="4">
        <f t="shared" si="77"/>
        <v>0</v>
      </c>
      <c r="Y534" s="5">
        <f>SUMIFS('XBS '!T:T,'XBS '!H:H,' General Stock Summary View  '!$Y$2,'XBS '!B:B,' General Stock Summary View  '!C534,'XBS '!L:L,' General Stock Summary View  '!B534)</f>
        <v>0</v>
      </c>
      <c r="Z534" s="3">
        <f>SUMIFS('PowerApp_Physical count'!H:H,'PowerApp_Physical count'!B:B,' General Stock Summary View  '!$Y$2,'PowerApp_Physical count'!C:C,' General Stock Summary View  '!C534,'PowerApp_Physical count'!A:A,' General Stock Summary View  '!B534)</f>
        <v>0</v>
      </c>
      <c r="AA534" s="4">
        <f t="shared" si="78"/>
        <v>0</v>
      </c>
      <c r="AB534" s="5">
        <f>SUMIFS('XBS '!T:T,'XBS '!H:H,' General Stock Summary View  '!$AB$2,'XBS '!B:B,' General Stock Summary View  '!C534,'XBS '!L:L,' General Stock Summary View  '!B534)</f>
        <v>0</v>
      </c>
      <c r="AC534" s="3">
        <f>SUMIFS('PowerApp_Physical count'!H:H,'PowerApp_Physical count'!B:B,' General Stock Summary View  '!$AB$2,'PowerApp_Physical count'!C:C,' General Stock Summary View  '!C534,'PowerApp_Physical count'!A:A,' General Stock Summary View  '!B534)</f>
        <v>0</v>
      </c>
      <c r="AD534" s="6">
        <f t="shared" si="79"/>
        <v>0</v>
      </c>
      <c r="AE534" s="7">
        <f t="shared" si="80"/>
        <v>0</v>
      </c>
      <c r="AF534" s="8">
        <f t="shared" si="81"/>
        <v>0</v>
      </c>
      <c r="AG534" s="112"/>
    </row>
    <row r="535" spans="2:33" s="113" customFormat="1" ht="61.15">
      <c r="B535" s="117"/>
      <c r="C535" s="111"/>
      <c r="D535" s="11">
        <f>SUMIFS('XBS '!T:T,'XBS '!C:C,' General Stock Summary View  '!C535,'XBS '!L:L,' General Stock Summary View  '!B535)</f>
        <v>0</v>
      </c>
      <c r="E535" s="2">
        <f>SUMIFS('Blocked for Processing'!P:P,'Blocked for Processing'!I:I,' General Stock Summary View  '!B535,'Blocked for Processing'!C:C,' General Stock Summary View  '!C535)</f>
        <v>0</v>
      </c>
      <c r="F535" s="122">
        <f t="shared" si="70"/>
        <v>0</v>
      </c>
      <c r="G535" s="148">
        <f>SUMIFS('XBS '!T:T,'XBS '!H:H,' General Stock Summary View  '!$G$2,'XBS '!L:L,' General Stock Summary View  '!B535,'XBS '!C:C,' General Stock Summary View  '!C535)</f>
        <v>0</v>
      </c>
      <c r="H535" s="3">
        <f>SUMIFS('PowerApp_Physical count'!H:H,'PowerApp_Physical count'!B:B,' General Stock Summary View  '!$G$2,'PowerApp_Physical count'!C:C,' General Stock Summary View  '!C535,'PowerApp_Physical count'!A:A,' General Stock Summary View  '!B535)</f>
        <v>0</v>
      </c>
      <c r="I535" s="154">
        <f t="shared" si="82"/>
        <v>0</v>
      </c>
      <c r="J535" s="11">
        <f>SUMIFS('XBS '!T:T,'XBS '!H:H,' General Stock Summary View  '!$J$2,'XBS '!L:L,' General Stock Summary View  '!B535,'XBS '!C:C,' General Stock Summary View  '!C535)</f>
        <v>0</v>
      </c>
      <c r="K535" s="157">
        <f>SUMIFS('PowerApp_Physical count'!H:H,'PowerApp_Physical count'!B:B,' General Stock Summary View  '!$J$2,'PowerApp_Physical count'!C:C,' General Stock Summary View  '!C535,'PowerApp_Physical count'!A:A,' General Stock Summary View  '!B535)</f>
        <v>0</v>
      </c>
      <c r="L535" s="127">
        <f t="shared" si="71"/>
        <v>0</v>
      </c>
      <c r="M535" s="126">
        <f t="shared" si="72"/>
        <v>0</v>
      </c>
      <c r="N535" s="11">
        <f t="shared" si="73"/>
        <v>0</v>
      </c>
      <c r="O535" s="144">
        <f t="shared" si="74"/>
        <v>0</v>
      </c>
      <c r="P535" s="2">
        <f>SUMIFS('XBS '!T:T,'XBS '!H:H,' General Stock Summary View  '!$P$2,'XBS '!L:L,' General Stock Summary View  '!B535,'XBS '!C:C,' General Stock Summary View  '!C535)</f>
        <v>0</v>
      </c>
      <c r="Q535" s="3">
        <f>SUMIFS('PowerApp_Physical count'!H:H,'PowerApp_Physical count'!B:B,' General Stock Summary View  '!$P$2,'PowerApp_Physical count'!C:C,' General Stock Summary View  '!C535,'PowerApp_Physical count'!A:A,' General Stock Summary View  '!B535)</f>
        <v>0</v>
      </c>
      <c r="R535" s="4">
        <f t="shared" si="75"/>
        <v>0</v>
      </c>
      <c r="S535" s="5">
        <f>SUMIFS('XBS '!T:T,'XBS '!L:L,' General Stock Summary View  '!B535,'XBS '!H:H,' General Stock Summary View  '!$S$2,'XBS '!C:C,' General Stock Summary View  '!C535)</f>
        <v>0</v>
      </c>
      <c r="T535" s="3">
        <f>SUMIFS('PowerApp_Physical count'!H:H,'PowerApp_Physical count'!B:B,' General Stock Summary View  '!$S$2,'PowerApp_Physical count'!C:C,' General Stock Summary View  '!C535,'PowerApp_Physical count'!A:A,' General Stock Summary View  '!B535)</f>
        <v>0</v>
      </c>
      <c r="U535" s="4">
        <f t="shared" si="76"/>
        <v>0</v>
      </c>
      <c r="V535" s="2">
        <f>SUMIFS('XBS '!T:T,'XBS '!H:H,' General Stock Summary View  '!$V$2,'XBS '!B:B,' General Stock Summary View  '!C535,'XBS '!L:L,' General Stock Summary View  '!B535)</f>
        <v>0</v>
      </c>
      <c r="W535" s="3">
        <f>SUMIFS('PowerApp_Physical count'!H:H,'PowerApp_Physical count'!B:B,' General Stock Summary View  '!$V$2,'PowerApp_Physical count'!C:C,' General Stock Summary View  '!C535,'PowerApp_Physical count'!A:A,' General Stock Summary View  '!B535)</f>
        <v>0</v>
      </c>
      <c r="X535" s="4">
        <f t="shared" si="77"/>
        <v>0</v>
      </c>
      <c r="Y535" s="5">
        <f>SUMIFS('XBS '!T:T,'XBS '!H:H,' General Stock Summary View  '!$Y$2,'XBS '!B:B,' General Stock Summary View  '!C535,'XBS '!L:L,' General Stock Summary View  '!B535)</f>
        <v>0</v>
      </c>
      <c r="Z535" s="3">
        <f>SUMIFS('PowerApp_Physical count'!H:H,'PowerApp_Physical count'!B:B,' General Stock Summary View  '!$Y$2,'PowerApp_Physical count'!C:C,' General Stock Summary View  '!C535,'PowerApp_Physical count'!A:A,' General Stock Summary View  '!B535)</f>
        <v>0</v>
      </c>
      <c r="AA535" s="4">
        <f t="shared" si="78"/>
        <v>0</v>
      </c>
      <c r="AB535" s="5">
        <f>SUMIFS('XBS '!T:T,'XBS '!H:H,' General Stock Summary View  '!$AB$2,'XBS '!B:B,' General Stock Summary View  '!C535,'XBS '!L:L,' General Stock Summary View  '!B535)</f>
        <v>0</v>
      </c>
      <c r="AC535" s="3">
        <f>SUMIFS('PowerApp_Physical count'!H:H,'PowerApp_Physical count'!B:B,' General Stock Summary View  '!$AB$2,'PowerApp_Physical count'!C:C,' General Stock Summary View  '!C535,'PowerApp_Physical count'!A:A,' General Stock Summary View  '!B535)</f>
        <v>0</v>
      </c>
      <c r="AD535" s="6">
        <f t="shared" si="79"/>
        <v>0</v>
      </c>
      <c r="AE535" s="7">
        <f t="shared" si="80"/>
        <v>0</v>
      </c>
      <c r="AF535" s="8">
        <f t="shared" si="81"/>
        <v>0</v>
      </c>
      <c r="AG535" s="112"/>
    </row>
    <row r="536" spans="2:33" s="115" customFormat="1" ht="61.15">
      <c r="B536" s="47"/>
      <c r="C536" s="48"/>
      <c r="D536" s="48"/>
      <c r="E536" s="48"/>
      <c r="F536" s="48"/>
      <c r="G536" s="149"/>
      <c r="H536" s="150"/>
      <c r="I536" s="155"/>
      <c r="J536" s="150"/>
      <c r="K536" s="48"/>
      <c r="L536" s="48"/>
      <c r="M536" s="48"/>
      <c r="N536" s="48"/>
      <c r="O536" s="151"/>
      <c r="P536" s="49"/>
      <c r="Q536" s="150"/>
      <c r="R536" s="4">
        <f t="shared" ref="R536" si="83">Q536-P536</f>
        <v>0</v>
      </c>
      <c r="S536" s="49"/>
      <c r="T536" s="150"/>
      <c r="U536" s="50"/>
      <c r="V536" s="49"/>
      <c r="W536" s="150"/>
      <c r="X536" s="50"/>
      <c r="Y536" s="49"/>
      <c r="Z536" s="150"/>
      <c r="AA536" s="50"/>
      <c r="AB536" s="49"/>
      <c r="AC536" s="150"/>
      <c r="AD536" s="51"/>
      <c r="AE536" s="49"/>
      <c r="AF536" s="150"/>
      <c r="AG536" s="114"/>
    </row>
    <row r="537" spans="2:33" s="56" customFormat="1" ht="52.15" thickBot="1">
      <c r="B537" s="52"/>
      <c r="C537" s="52"/>
      <c r="D537" s="118">
        <f t="shared" ref="D537:J537" si="84">SUM(D4:D536)</f>
        <v>18956.50466666666</v>
      </c>
      <c r="E537" s="118">
        <f t="shared" si="84"/>
        <v>2825.8883333333333</v>
      </c>
      <c r="F537" s="118">
        <f t="shared" si="84"/>
        <v>21782.392999999996</v>
      </c>
      <c r="G537" s="118">
        <f t="shared" si="84"/>
        <v>15851.075000000001</v>
      </c>
      <c r="H537" s="118">
        <f t="shared" si="84"/>
        <v>18669.923333333336</v>
      </c>
      <c r="I537" s="118">
        <f t="shared" si="84"/>
        <v>2818.8483333333334</v>
      </c>
      <c r="J537" s="159">
        <f t="shared" si="84"/>
        <v>0</v>
      </c>
      <c r="K537" s="119">
        <f>SUM(K4:K535)</f>
        <v>0</v>
      </c>
      <c r="L537" s="119">
        <f>SUM(L4:L535)</f>
        <v>0</v>
      </c>
      <c r="M537" s="119">
        <f>SUM(M4:M535)</f>
        <v>18676.963333333337</v>
      </c>
      <c r="N537" s="119">
        <f>SUM(N4:N535)</f>
        <v>18669.923333333336</v>
      </c>
      <c r="O537" s="119">
        <f>SUM(O4:O535)</f>
        <v>-7.0400000000000409</v>
      </c>
      <c r="P537" s="118">
        <f t="shared" ref="P537:AG537" si="85">SUM(P4:P536)</f>
        <v>2097.9296666666664</v>
      </c>
      <c r="Q537" s="118">
        <f t="shared" si="85"/>
        <v>0</v>
      </c>
      <c r="R537" s="118">
        <f t="shared" si="85"/>
        <v>-2097.9296666666664</v>
      </c>
      <c r="S537" s="118">
        <f t="shared" si="85"/>
        <v>358.15</v>
      </c>
      <c r="T537" s="118">
        <f t="shared" si="85"/>
        <v>0</v>
      </c>
      <c r="U537" s="119">
        <f t="shared" si="85"/>
        <v>-358.15</v>
      </c>
      <c r="V537" s="53">
        <f t="shared" si="85"/>
        <v>297.13333333333333</v>
      </c>
      <c r="W537" s="53">
        <f t="shared" si="85"/>
        <v>0</v>
      </c>
      <c r="X537" s="54">
        <f t="shared" si="85"/>
        <v>-297.13333333333333</v>
      </c>
      <c r="Y537" s="53">
        <f t="shared" si="85"/>
        <v>181.20000000000005</v>
      </c>
      <c r="Z537" s="53">
        <f t="shared" si="85"/>
        <v>0</v>
      </c>
      <c r="AA537" s="54">
        <f t="shared" si="85"/>
        <v>-181.20000000000005</v>
      </c>
      <c r="AB537" s="53">
        <f t="shared" si="85"/>
        <v>171.01666666666665</v>
      </c>
      <c r="AC537" s="53">
        <f t="shared" si="85"/>
        <v>0</v>
      </c>
      <c r="AD537" s="54">
        <f t="shared" si="85"/>
        <v>-171.01666666666665</v>
      </c>
      <c r="AE537" s="53">
        <f t="shared" si="85"/>
        <v>18669.923333333336</v>
      </c>
      <c r="AF537" s="53">
        <f t="shared" si="85"/>
        <v>-3112.4696666666673</v>
      </c>
      <c r="AG537" s="55">
        <f t="shared" si="85"/>
        <v>0</v>
      </c>
    </row>
    <row r="538" spans="2:33" ht="52.15" thickBot="1">
      <c r="B538" s="57"/>
      <c r="C538" s="57"/>
      <c r="D538" s="58"/>
      <c r="E538" s="58"/>
      <c r="F538" s="58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  <c r="AA538" s="59"/>
      <c r="AB538" s="60"/>
      <c r="AC538" s="60"/>
      <c r="AD538" s="59"/>
      <c r="AE538" s="59"/>
      <c r="AF538" s="59"/>
      <c r="AG538" s="61"/>
    </row>
    <row r="539" spans="2:33" s="69" customFormat="1">
      <c r="B539" s="62"/>
      <c r="C539" s="63"/>
      <c r="D539" s="64" t="s">
        <v>477</v>
      </c>
      <c r="E539" s="64"/>
      <c r="F539" s="64"/>
      <c r="G539" s="65" t="s">
        <v>478</v>
      </c>
      <c r="H539" s="64"/>
      <c r="I539" s="64" t="s">
        <v>479</v>
      </c>
      <c r="J539" s="64" t="s">
        <v>480</v>
      </c>
      <c r="K539" s="66" t="s">
        <v>481</v>
      </c>
      <c r="L539" s="194" t="s">
        <v>482</v>
      </c>
      <c r="M539" s="194"/>
      <c r="N539" s="194"/>
      <c r="O539" s="194"/>
      <c r="P539" s="194"/>
      <c r="Q539" s="194"/>
      <c r="R539" s="194"/>
      <c r="S539" s="194"/>
      <c r="T539" s="129"/>
      <c r="U539" s="129"/>
      <c r="V539" s="129"/>
      <c r="W539" s="129"/>
      <c r="X539" s="129"/>
      <c r="Y539" s="129"/>
      <c r="Z539" s="129"/>
      <c r="AA539" s="129"/>
      <c r="AB539" s="129"/>
      <c r="AC539" s="129"/>
      <c r="AD539" s="130"/>
      <c r="AE539" s="67"/>
      <c r="AF539" s="67"/>
      <c r="AG539" s="68"/>
    </row>
    <row r="540" spans="2:33" s="77" customFormat="1" ht="63">
      <c r="B540" s="106" t="s">
        <v>483</v>
      </c>
      <c r="C540" s="106"/>
      <c r="D540" s="132">
        <f>G537+J537+E537</f>
        <v>18676.963333333333</v>
      </c>
      <c r="E540" s="132"/>
      <c r="F540" s="132"/>
      <c r="G540" s="133">
        <f>SUBTOTAL(9,D540:F540)</f>
        <v>18676.963333333333</v>
      </c>
      <c r="H540" s="134"/>
      <c r="I540" s="134">
        <f>N537</f>
        <v>18669.923333333336</v>
      </c>
      <c r="J540" s="134">
        <f>D553</f>
        <v>428</v>
      </c>
      <c r="K540" s="135">
        <f>I540-G540</f>
        <v>-7.0399999999972351</v>
      </c>
      <c r="L540" s="134"/>
      <c r="M540" s="134"/>
      <c r="N540" s="106"/>
      <c r="O540" s="106"/>
      <c r="Q540" s="182"/>
      <c r="R540" s="72"/>
      <c r="S540" s="70"/>
      <c r="T540" s="70"/>
      <c r="U540" s="70"/>
      <c r="V540" s="70"/>
      <c r="W540" s="73"/>
      <c r="X540" s="73"/>
      <c r="Y540" s="73"/>
      <c r="Z540" s="73"/>
      <c r="AA540" s="73"/>
      <c r="AB540" s="73"/>
      <c r="AC540" s="73"/>
      <c r="AD540" s="74"/>
      <c r="AE540" s="75"/>
      <c r="AF540" s="70"/>
      <c r="AG540" s="76"/>
    </row>
    <row r="541" spans="2:33" s="166" customFormat="1" ht="63">
      <c r="B541" s="163" t="s">
        <v>4</v>
      </c>
      <c r="C541" s="163"/>
      <c r="D541" s="132">
        <f>P537</f>
        <v>2097.9296666666664</v>
      </c>
      <c r="E541" s="132"/>
      <c r="F541" s="132"/>
      <c r="G541" s="164">
        <f t="shared" ref="G541:G546" si="86">SUBTOTAL(9,D541:F541)</f>
        <v>2097.9296666666664</v>
      </c>
      <c r="H541" s="132"/>
      <c r="I541" s="132">
        <f>Q537</f>
        <v>0</v>
      </c>
      <c r="J541" s="164"/>
      <c r="K541" s="165">
        <f>I541-D541</f>
        <v>-2097.9296666666664</v>
      </c>
      <c r="L541" s="132"/>
      <c r="M541" s="132"/>
      <c r="N541" s="163"/>
      <c r="O541" s="163"/>
      <c r="R541" s="193"/>
      <c r="S541" s="193"/>
      <c r="T541" s="193"/>
      <c r="U541" s="193"/>
      <c r="V541" s="193"/>
      <c r="W541" s="193"/>
      <c r="X541" s="193"/>
      <c r="Y541" s="193"/>
      <c r="Z541" s="193"/>
      <c r="AA541" s="193"/>
      <c r="AB541" s="193"/>
      <c r="AC541" s="193"/>
      <c r="AD541" s="168"/>
      <c r="AE541" s="169"/>
      <c r="AF541" s="170"/>
      <c r="AG541" s="171"/>
    </row>
    <row r="542" spans="2:33" s="166" customFormat="1" ht="63">
      <c r="B542" s="163" t="s">
        <v>5</v>
      </c>
      <c r="C542" s="163"/>
      <c r="D542" s="132">
        <f>S537</f>
        <v>358.15</v>
      </c>
      <c r="E542" s="172"/>
      <c r="F542" s="132"/>
      <c r="G542" s="164">
        <f t="shared" si="86"/>
        <v>358.15</v>
      </c>
      <c r="H542" s="132"/>
      <c r="I542" s="132">
        <f>T537</f>
        <v>0</v>
      </c>
      <c r="J542" s="164"/>
      <c r="K542" s="165">
        <f>I542-D542</f>
        <v>-358.15</v>
      </c>
      <c r="L542" s="132"/>
      <c r="M542" s="132"/>
      <c r="N542" s="163"/>
      <c r="O542" s="163"/>
      <c r="R542" s="173"/>
      <c r="S542" s="170"/>
      <c r="T542" s="170"/>
      <c r="U542" s="170"/>
      <c r="V542" s="174"/>
      <c r="W542" s="175"/>
      <c r="X542" s="175"/>
      <c r="Y542" s="175"/>
      <c r="Z542" s="175"/>
      <c r="AA542" s="175"/>
      <c r="AB542" s="175"/>
      <c r="AC542" s="175"/>
      <c r="AD542" s="176"/>
      <c r="AE542" s="169"/>
      <c r="AF542" s="170"/>
      <c r="AG542" s="171"/>
    </row>
    <row r="543" spans="2:33" s="166" customFormat="1" ht="63">
      <c r="B543" s="163" t="s">
        <v>484</v>
      </c>
      <c r="C543" s="163"/>
      <c r="D543" s="132">
        <f>V537</f>
        <v>297.13333333333333</v>
      </c>
      <c r="E543" s="132"/>
      <c r="F543" s="132"/>
      <c r="G543" s="164">
        <f t="shared" si="86"/>
        <v>297.13333333333333</v>
      </c>
      <c r="H543" s="132"/>
      <c r="I543" s="132">
        <f>W537</f>
        <v>0</v>
      </c>
      <c r="J543" s="164"/>
      <c r="K543" s="165">
        <f>I543-D543</f>
        <v>-297.13333333333333</v>
      </c>
      <c r="L543" s="132"/>
      <c r="M543" s="132"/>
      <c r="N543" s="163"/>
      <c r="O543" s="163"/>
      <c r="R543" s="167"/>
      <c r="S543" s="170"/>
      <c r="T543" s="170"/>
      <c r="U543" s="170"/>
      <c r="V543" s="174"/>
      <c r="W543" s="175"/>
      <c r="X543" s="175"/>
      <c r="Y543" s="175"/>
      <c r="Z543" s="175"/>
      <c r="AA543" s="175"/>
      <c r="AB543" s="175"/>
      <c r="AC543" s="175"/>
      <c r="AD543" s="176"/>
      <c r="AE543" s="169"/>
      <c r="AF543" s="170"/>
      <c r="AG543" s="171"/>
    </row>
    <row r="544" spans="2:33" s="166" customFormat="1" ht="63">
      <c r="B544" s="177" t="s">
        <v>485</v>
      </c>
      <c r="C544" s="177"/>
      <c r="D544" s="132">
        <f>Y537</f>
        <v>181.20000000000005</v>
      </c>
      <c r="E544" s="132"/>
      <c r="F544" s="132"/>
      <c r="G544" s="164">
        <f t="shared" si="86"/>
        <v>181.20000000000005</v>
      </c>
      <c r="H544" s="132"/>
      <c r="I544" s="132">
        <f>Z537</f>
        <v>0</v>
      </c>
      <c r="J544" s="164"/>
      <c r="K544" s="165">
        <f>I544-D544</f>
        <v>-181.20000000000005</v>
      </c>
      <c r="L544" s="132"/>
      <c r="M544" s="132"/>
      <c r="N544" s="163"/>
      <c r="O544" s="163"/>
      <c r="R544" s="173"/>
      <c r="S544" s="170"/>
      <c r="T544" s="170"/>
      <c r="U544" s="170"/>
      <c r="V544" s="174"/>
      <c r="W544" s="175"/>
      <c r="X544" s="175"/>
      <c r="Y544" s="175"/>
      <c r="Z544" s="175"/>
      <c r="AA544" s="175"/>
      <c r="AB544" s="175"/>
      <c r="AC544" s="175"/>
      <c r="AD544" s="176"/>
      <c r="AE544" s="169"/>
      <c r="AF544" s="170"/>
      <c r="AG544" s="171"/>
    </row>
    <row r="545" spans="2:33" s="166" customFormat="1" ht="63">
      <c r="B545" s="163" t="s">
        <v>486</v>
      </c>
      <c r="C545" s="163"/>
      <c r="D545" s="132">
        <f>AB537</f>
        <v>171.01666666666665</v>
      </c>
      <c r="E545" s="132"/>
      <c r="F545" s="132"/>
      <c r="G545" s="164">
        <f t="shared" si="86"/>
        <v>171.01666666666665</v>
      </c>
      <c r="H545" s="132"/>
      <c r="I545" s="132">
        <f>AC537</f>
        <v>0</v>
      </c>
      <c r="J545" s="164"/>
      <c r="K545" s="165">
        <f>I545-D545</f>
        <v>-171.01666666666665</v>
      </c>
      <c r="L545" s="132"/>
      <c r="M545" s="132"/>
      <c r="N545" s="163"/>
      <c r="O545" s="163"/>
      <c r="R545" s="173"/>
      <c r="S545" s="170"/>
      <c r="T545" s="170"/>
      <c r="U545" s="170"/>
      <c r="V545" s="174"/>
      <c r="W545" s="175"/>
      <c r="X545" s="175"/>
      <c r="Y545" s="175"/>
      <c r="Z545" s="175"/>
      <c r="AA545" s="175"/>
      <c r="AB545" s="178"/>
      <c r="AC545" s="175"/>
      <c r="AD545" s="176"/>
      <c r="AE545" s="169"/>
      <c r="AF545" s="170"/>
      <c r="AG545" s="171"/>
    </row>
    <row r="546" spans="2:33" s="77" customFormat="1">
      <c r="B546" s="70"/>
      <c r="C546" s="70"/>
      <c r="D546" s="136"/>
      <c r="E546" s="136"/>
      <c r="F546" s="136"/>
      <c r="G546" s="137">
        <f t="shared" si="86"/>
        <v>0</v>
      </c>
      <c r="H546" s="138"/>
      <c r="I546" s="138"/>
      <c r="J546" s="137"/>
      <c r="K546" s="139"/>
      <c r="L546" s="138"/>
      <c r="M546" s="138"/>
      <c r="N546" s="70"/>
      <c r="O546" s="70"/>
      <c r="R546" s="70"/>
      <c r="S546" s="70"/>
      <c r="T546" s="70"/>
      <c r="U546" s="70"/>
      <c r="V546" s="71"/>
      <c r="W546" s="73"/>
      <c r="X546" s="73"/>
      <c r="Y546" s="78"/>
      <c r="Z546" s="78"/>
      <c r="AA546" s="78"/>
      <c r="AB546" s="78"/>
      <c r="AC546" s="73"/>
      <c r="AD546" s="79"/>
      <c r="AE546" s="80"/>
      <c r="AF546" s="81"/>
      <c r="AG546" s="76"/>
    </row>
    <row r="547" spans="2:33">
      <c r="B547" s="82"/>
      <c r="C547" s="152"/>
      <c r="D547" s="131">
        <f>SUM(D540:D546)</f>
        <v>21782.393000000004</v>
      </c>
      <c r="E547" s="153"/>
      <c r="F547" s="153">
        <f>SUM(F540:F546)</f>
        <v>0</v>
      </c>
      <c r="G547" s="131">
        <f>SUM(G540:G546)</f>
        <v>21782.393000000004</v>
      </c>
      <c r="H547" s="131"/>
      <c r="I547" s="131">
        <f>SUM(I540:I546)</f>
        <v>18669.923333333336</v>
      </c>
      <c r="J547" s="153"/>
      <c r="K547" s="153"/>
      <c r="L547" s="153"/>
      <c r="M547" s="120"/>
      <c r="N547" s="120"/>
      <c r="O547" s="120"/>
      <c r="P547" s="120"/>
      <c r="Q547" s="120"/>
      <c r="R547" s="83"/>
      <c r="S547" s="83"/>
      <c r="T547" s="83"/>
      <c r="U547" s="83"/>
      <c r="V547" s="83"/>
      <c r="W547" s="83"/>
      <c r="X547" s="83"/>
      <c r="Y547" s="84"/>
      <c r="Z547" s="84"/>
      <c r="AA547" s="84"/>
      <c r="AB547" s="85"/>
      <c r="AC547" s="84"/>
      <c r="AD547" s="160"/>
      <c r="AE547" s="161"/>
      <c r="AF547" s="162"/>
      <c r="AG547" s="17"/>
    </row>
    <row r="548" spans="2:33">
      <c r="B548" s="86"/>
      <c r="C548" s="87"/>
      <c r="D548" s="88"/>
      <c r="E548" s="88"/>
      <c r="F548" s="88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  <c r="AA548" s="89"/>
      <c r="AB548" s="90"/>
      <c r="AC548" s="90"/>
      <c r="AD548" s="89"/>
      <c r="AE548" s="89"/>
      <c r="AF548" s="91"/>
      <c r="AG548" s="17"/>
    </row>
    <row r="549" spans="2:33">
      <c r="B549" s="92"/>
      <c r="C549" s="93"/>
      <c r="D549" s="94" t="s">
        <v>487</v>
      </c>
      <c r="E549" s="95"/>
      <c r="F549" s="95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  <c r="AA549" s="89"/>
      <c r="AB549" s="90"/>
      <c r="AC549" s="90"/>
      <c r="AD549" s="89"/>
      <c r="AE549" s="89"/>
      <c r="AF549" s="89"/>
      <c r="AG549" s="17"/>
    </row>
    <row r="550" spans="2:33">
      <c r="B550" s="96" t="s">
        <v>488</v>
      </c>
      <c r="C550" s="90"/>
      <c r="D550" s="97">
        <v>102</v>
      </c>
      <c r="E550" s="98"/>
      <c r="F550" s="98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  <c r="AA550" s="89"/>
      <c r="AB550" s="90"/>
      <c r="AC550" s="90"/>
      <c r="AD550" s="89"/>
      <c r="AE550" s="89"/>
      <c r="AF550" s="89"/>
      <c r="AG550" s="17"/>
    </row>
    <row r="551" spans="2:33">
      <c r="B551" s="96" t="s">
        <v>489</v>
      </c>
      <c r="C551" s="90"/>
      <c r="D551" s="97">
        <v>126</v>
      </c>
      <c r="E551" s="98"/>
      <c r="F551" s="98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  <c r="AA551" s="89"/>
      <c r="AB551" s="90"/>
      <c r="AC551" s="90"/>
      <c r="AD551" s="89"/>
      <c r="AE551" s="89"/>
      <c r="AF551" s="89"/>
      <c r="AG551" s="17"/>
    </row>
    <row r="552" spans="2:33" ht="52.15" thickBot="1">
      <c r="B552" s="96" t="s">
        <v>490</v>
      </c>
      <c r="C552" s="90"/>
      <c r="D552" s="97">
        <v>200</v>
      </c>
      <c r="E552" s="98"/>
      <c r="F552" s="98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99"/>
      <c r="R552" s="89"/>
      <c r="S552" s="99"/>
      <c r="T552" s="89"/>
      <c r="U552" s="89"/>
      <c r="V552" s="89"/>
      <c r="W552" s="89"/>
      <c r="X552" s="89"/>
      <c r="Y552" s="89"/>
      <c r="Z552" s="89"/>
      <c r="AA552" s="89"/>
      <c r="AB552" s="90"/>
      <c r="AC552" s="90"/>
      <c r="AD552" s="89"/>
      <c r="AE552" s="89"/>
      <c r="AF552" s="89"/>
      <c r="AG552" s="17"/>
    </row>
    <row r="553" spans="2:33" ht="52.15" thickBot="1">
      <c r="B553" s="100"/>
      <c r="C553" s="101"/>
      <c r="D553" s="102">
        <f>SUM(D550:D552)</f>
        <v>428</v>
      </c>
      <c r="E553" s="103"/>
      <c r="F553" s="103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  <c r="AA553" s="89"/>
      <c r="AB553" s="90"/>
      <c r="AC553" s="90"/>
      <c r="AD553" s="89"/>
      <c r="AE553" s="89"/>
      <c r="AF553" s="89"/>
      <c r="AG553" s="17"/>
    </row>
    <row r="554" spans="2:33">
      <c r="B554" s="86"/>
      <c r="C554" s="87"/>
      <c r="D554" s="98"/>
      <c r="E554" s="98"/>
      <c r="F554" s="98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  <c r="AA554" s="89"/>
      <c r="AB554" s="90"/>
      <c r="AC554" s="90"/>
      <c r="AD554" s="89"/>
      <c r="AE554" s="89"/>
      <c r="AF554" s="89"/>
      <c r="AG554" s="17"/>
    </row>
    <row r="556" spans="2:33">
      <c r="B556" s="86"/>
      <c r="C556" s="87"/>
      <c r="D556" s="98"/>
      <c r="E556" s="98"/>
      <c r="F556" s="98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  <c r="AA556" s="89"/>
      <c r="AB556" s="90"/>
      <c r="AC556" s="90"/>
      <c r="AD556" s="89"/>
      <c r="AE556" s="89"/>
      <c r="AF556" s="89"/>
      <c r="AG556" s="17"/>
    </row>
    <row r="557" spans="2:33">
      <c r="B557" s="86"/>
      <c r="C557" s="87"/>
      <c r="D557" s="98"/>
      <c r="E557" s="98"/>
      <c r="F557" s="98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  <c r="AA557" s="89"/>
      <c r="AB557" s="90"/>
      <c r="AC557" s="90"/>
      <c r="AD557" s="89"/>
      <c r="AE557" s="89"/>
      <c r="AF557" s="89"/>
      <c r="AG557" s="17"/>
    </row>
    <row r="558" spans="2:33">
      <c r="B558" s="86"/>
      <c r="C558" s="87"/>
      <c r="D558" s="98"/>
      <c r="E558" s="98"/>
      <c r="F558" s="98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  <c r="AA558" s="89"/>
      <c r="AB558" s="90"/>
      <c r="AC558" s="90"/>
      <c r="AD558" s="89"/>
      <c r="AE558" s="89"/>
      <c r="AF558" s="89"/>
      <c r="AG558" s="17"/>
    </row>
    <row r="559" spans="2:33">
      <c r="B559" s="86"/>
      <c r="C559" s="87"/>
      <c r="D559" s="98"/>
      <c r="E559" s="98"/>
      <c r="F559" s="98"/>
      <c r="G559" s="89" t="s">
        <v>491</v>
      </c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  <c r="AA559" s="89"/>
      <c r="AB559" s="90"/>
      <c r="AC559" s="90"/>
      <c r="AD559" s="89"/>
      <c r="AE559" s="89"/>
      <c r="AF559" s="89"/>
      <c r="AG559" s="17"/>
    </row>
    <row r="560" spans="2:33">
      <c r="B560" s="86"/>
      <c r="C560" s="87"/>
      <c r="D560" s="98"/>
      <c r="E560" s="98"/>
      <c r="F560" s="98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  <c r="AA560" s="89"/>
      <c r="AB560" s="90"/>
      <c r="AC560" s="90"/>
      <c r="AD560" s="89"/>
      <c r="AE560" s="89"/>
      <c r="AF560" s="89"/>
      <c r="AG560" s="17"/>
    </row>
    <row r="561" spans="2:33">
      <c r="B561" s="86"/>
      <c r="C561" s="87"/>
      <c r="D561" s="98"/>
      <c r="E561" s="98"/>
      <c r="F561" s="98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  <c r="AA561" s="89"/>
      <c r="AB561" s="90"/>
      <c r="AC561" s="90"/>
      <c r="AD561" s="89"/>
      <c r="AE561" s="89"/>
      <c r="AF561" s="89"/>
      <c r="AG561" s="17"/>
    </row>
    <row r="562" spans="2:33">
      <c r="B562" s="86"/>
      <c r="C562" s="87"/>
      <c r="D562" s="98"/>
      <c r="E562" s="98"/>
      <c r="F562" s="98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  <c r="AA562" s="89"/>
      <c r="AB562" s="90"/>
      <c r="AC562" s="90"/>
      <c r="AD562" s="89"/>
      <c r="AE562" s="89"/>
      <c r="AF562" s="89"/>
      <c r="AG562" s="17"/>
    </row>
    <row r="563" spans="2:33">
      <c r="B563" s="86"/>
      <c r="C563" s="87"/>
      <c r="D563" s="98"/>
      <c r="E563" s="98"/>
      <c r="F563" s="98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  <c r="AA563" s="89"/>
      <c r="AB563" s="90"/>
      <c r="AC563" s="90"/>
      <c r="AD563" s="89"/>
      <c r="AE563" s="89"/>
      <c r="AF563" s="89"/>
      <c r="AG563" s="17"/>
    </row>
    <row r="564" spans="2:33">
      <c r="B564" s="86"/>
      <c r="C564" s="87"/>
      <c r="D564" s="98"/>
      <c r="E564" s="98"/>
      <c r="F564" s="98"/>
      <c r="G564" s="89" t="s">
        <v>492</v>
      </c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  <c r="AA564" s="89"/>
      <c r="AB564" s="90"/>
      <c r="AC564" s="90"/>
      <c r="AD564" s="89"/>
      <c r="AE564" s="89"/>
      <c r="AF564" s="89"/>
      <c r="AG564" s="17"/>
    </row>
    <row r="565" spans="2:33">
      <c r="B565" s="86"/>
      <c r="C565" s="87"/>
      <c r="D565" s="98"/>
      <c r="E565" s="98"/>
      <c r="F565" s="98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  <c r="AA565" s="89"/>
      <c r="AB565" s="90"/>
      <c r="AC565" s="90"/>
      <c r="AD565" s="89"/>
      <c r="AE565" s="89"/>
      <c r="AF565" s="89"/>
      <c r="AG565" s="17"/>
    </row>
    <row r="566" spans="2:33">
      <c r="B566" s="86"/>
      <c r="C566" s="87"/>
      <c r="D566" s="98"/>
      <c r="E566" s="98"/>
      <c r="F566" s="98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  <c r="AA566" s="89"/>
      <c r="AB566" s="90"/>
      <c r="AC566" s="90"/>
      <c r="AD566" s="89"/>
      <c r="AE566" s="89"/>
      <c r="AF566" s="89"/>
      <c r="AG566" s="17"/>
    </row>
    <row r="567" spans="2:33">
      <c r="B567" s="86"/>
      <c r="C567" s="87"/>
      <c r="D567" s="98"/>
      <c r="E567" s="98"/>
      <c r="F567" s="98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  <c r="AA567" s="89"/>
      <c r="AB567" s="90"/>
      <c r="AC567" s="90"/>
      <c r="AD567" s="89"/>
      <c r="AE567" s="89"/>
      <c r="AF567" s="89"/>
      <c r="AG567" s="17"/>
    </row>
    <row r="568" spans="2:33">
      <c r="B568" s="86"/>
      <c r="C568" s="87"/>
      <c r="D568" s="98"/>
      <c r="E568" s="98"/>
      <c r="F568" s="98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  <c r="AA568" s="89"/>
      <c r="AB568" s="90"/>
      <c r="AC568" s="90"/>
      <c r="AD568" s="89"/>
      <c r="AE568" s="89"/>
      <c r="AF568" s="89"/>
      <c r="AG568" s="17"/>
    </row>
    <row r="569" spans="2:33">
      <c r="B569" s="86"/>
      <c r="C569" s="87"/>
      <c r="D569" s="98"/>
      <c r="E569" s="98"/>
      <c r="F569" s="98"/>
      <c r="G569" s="89" t="s">
        <v>493</v>
      </c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  <c r="AA569" s="89"/>
      <c r="AB569" s="90"/>
      <c r="AC569" s="90"/>
      <c r="AD569" s="89"/>
      <c r="AE569" s="89"/>
      <c r="AF569" s="89"/>
      <c r="AG569" s="17"/>
    </row>
    <row r="570" spans="2:33">
      <c r="B570" s="86"/>
      <c r="C570" s="87"/>
      <c r="D570" s="98"/>
      <c r="E570" s="98"/>
      <c r="F570" s="98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89"/>
      <c r="AA570" s="89"/>
      <c r="AB570" s="90"/>
      <c r="AC570" s="90"/>
      <c r="AD570" s="89"/>
      <c r="AE570" s="89"/>
      <c r="AF570" s="89"/>
      <c r="AG570" s="17"/>
    </row>
    <row r="571" spans="2:33">
      <c r="B571" s="86"/>
      <c r="C571" s="87"/>
      <c r="D571" s="98"/>
      <c r="E571" s="98"/>
      <c r="F571" s="98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89"/>
      <c r="AA571" s="89"/>
      <c r="AB571" s="90"/>
      <c r="AC571" s="90"/>
      <c r="AD571" s="89"/>
      <c r="AE571" s="89"/>
      <c r="AF571" s="89"/>
      <c r="AG571" s="17"/>
    </row>
    <row r="572" spans="2:33">
      <c r="B572" s="86"/>
      <c r="C572" s="87"/>
      <c r="D572" s="98"/>
      <c r="E572" s="98"/>
      <c r="F572" s="98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89"/>
      <c r="AA572" s="89"/>
      <c r="AB572" s="90"/>
      <c r="AC572" s="90"/>
      <c r="AD572" s="89"/>
      <c r="AE572" s="89"/>
      <c r="AF572" s="89"/>
      <c r="AG572" s="17"/>
    </row>
    <row r="573" spans="2:33">
      <c r="B573" s="86"/>
      <c r="C573" s="87"/>
      <c r="D573" s="98"/>
      <c r="E573" s="98"/>
      <c r="F573" s="98"/>
      <c r="G573" s="89" t="s">
        <v>494</v>
      </c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90"/>
      <c r="AC573" s="90"/>
      <c r="AD573" s="89"/>
      <c r="AE573" s="89"/>
      <c r="AF573" s="89"/>
      <c r="AG573" s="17"/>
    </row>
    <row r="574" spans="2:33">
      <c r="B574" s="86"/>
      <c r="C574" s="87"/>
      <c r="D574" s="98"/>
      <c r="E574" s="98"/>
      <c r="F574" s="98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  <c r="AA574" s="89"/>
      <c r="AB574" s="90"/>
      <c r="AC574" s="90"/>
      <c r="AD574" s="89"/>
      <c r="AE574" s="89"/>
      <c r="AF574" s="89"/>
      <c r="AG574" s="17"/>
    </row>
    <row r="575" spans="2:33">
      <c r="B575" s="86"/>
      <c r="C575" s="87"/>
      <c r="D575" s="98"/>
      <c r="E575" s="98"/>
      <c r="F575" s="98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  <c r="Z575" s="89"/>
      <c r="AA575" s="89"/>
      <c r="AB575" s="90"/>
      <c r="AC575" s="90"/>
      <c r="AD575" s="89"/>
      <c r="AE575" s="89"/>
      <c r="AF575" s="89"/>
      <c r="AG575" s="17"/>
    </row>
    <row r="576" spans="2:33">
      <c r="B576" s="86"/>
      <c r="C576" s="87"/>
      <c r="D576" s="98"/>
      <c r="E576" s="98"/>
      <c r="F576" s="98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  <c r="Z576" s="89"/>
      <c r="AA576" s="89"/>
      <c r="AB576" s="90"/>
      <c r="AC576" s="90"/>
      <c r="AD576" s="89"/>
      <c r="AE576" s="89"/>
      <c r="AF576" s="89"/>
      <c r="AG576" s="17"/>
    </row>
    <row r="577" spans="2:33">
      <c r="B577" s="86"/>
      <c r="C577" s="87"/>
      <c r="D577" s="98"/>
      <c r="E577" s="98"/>
      <c r="F577" s="98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89"/>
      <c r="AA577" s="89"/>
      <c r="AB577" s="90"/>
      <c r="AC577" s="90"/>
      <c r="AD577" s="89"/>
      <c r="AE577" s="89"/>
      <c r="AF577" s="89"/>
      <c r="AG577" s="17"/>
    </row>
    <row r="578" spans="2:33">
      <c r="B578" s="86"/>
      <c r="C578" s="87"/>
      <c r="D578" s="98"/>
      <c r="E578" s="98"/>
      <c r="F578" s="98"/>
      <c r="G578" s="89" t="s">
        <v>495</v>
      </c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  <c r="Z578" s="89"/>
      <c r="AA578" s="89"/>
      <c r="AB578" s="90"/>
      <c r="AC578" s="90"/>
      <c r="AD578" s="89"/>
      <c r="AE578" s="89"/>
      <c r="AF578" s="89"/>
      <c r="AG578" s="17"/>
    </row>
    <row r="579" spans="2:33">
      <c r="B579" s="86"/>
      <c r="C579" s="87"/>
      <c r="D579" s="98"/>
      <c r="E579" s="98"/>
      <c r="F579" s="98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  <c r="AA579" s="89"/>
      <c r="AB579" s="90"/>
      <c r="AC579" s="90"/>
      <c r="AD579" s="89"/>
      <c r="AE579" s="89"/>
      <c r="AF579" s="89"/>
      <c r="AG579" s="17"/>
    </row>
    <row r="580" spans="2:33">
      <c r="B580" s="86"/>
      <c r="C580" s="87"/>
      <c r="D580" s="98"/>
      <c r="E580" s="98"/>
      <c r="F580" s="98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  <c r="AA580" s="89"/>
      <c r="AB580" s="90"/>
      <c r="AC580" s="90"/>
      <c r="AD580" s="89"/>
      <c r="AE580" s="89"/>
      <c r="AF580" s="89"/>
      <c r="AG580" s="17"/>
    </row>
    <row r="581" spans="2:33">
      <c r="B581" s="86"/>
      <c r="C581" s="87"/>
      <c r="D581" s="98"/>
      <c r="E581" s="98"/>
      <c r="F581" s="98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  <c r="Z581" s="89"/>
      <c r="AA581" s="89"/>
      <c r="AB581" s="90"/>
      <c r="AC581" s="90"/>
      <c r="AD581" s="89"/>
      <c r="AE581" s="89"/>
      <c r="AF581" s="89"/>
      <c r="AG581" s="17"/>
    </row>
    <row r="582" spans="2:33">
      <c r="B582" s="86"/>
      <c r="C582" s="87"/>
      <c r="D582" s="98"/>
      <c r="E582" s="98"/>
      <c r="F582" s="98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  <c r="Z582" s="89"/>
      <c r="AA582" s="89"/>
      <c r="AB582" s="90"/>
      <c r="AC582" s="90"/>
      <c r="AD582" s="89"/>
      <c r="AE582" s="89"/>
      <c r="AF582" s="89"/>
      <c r="AG582" s="17"/>
    </row>
    <row r="583" spans="2:33">
      <c r="B583" s="86"/>
      <c r="C583" s="87"/>
      <c r="D583" s="98"/>
      <c r="E583" s="98"/>
      <c r="F583" s="98"/>
      <c r="G583" s="89" t="s">
        <v>495</v>
      </c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  <c r="Z583" s="89"/>
      <c r="AA583" s="89"/>
      <c r="AB583" s="90"/>
      <c r="AC583" s="90"/>
      <c r="AD583" s="89"/>
      <c r="AE583" s="89"/>
      <c r="AF583" s="89"/>
      <c r="AG583" s="17"/>
    </row>
    <row r="584" spans="2:33" ht="52.15" thickBot="1">
      <c r="B584" s="57"/>
      <c r="C584" s="57"/>
      <c r="D584" s="58"/>
      <c r="E584" s="58"/>
      <c r="F584" s="58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  <c r="AA584" s="59"/>
      <c r="AB584" s="60"/>
      <c r="AC584" s="60"/>
      <c r="AD584" s="59"/>
      <c r="AE584" s="59"/>
      <c r="AF584" s="59"/>
      <c r="AG584" s="104"/>
    </row>
    <row r="585" spans="2:33">
      <c r="AG585" s="13"/>
    </row>
    <row r="586" spans="2:33">
      <c r="AG586" s="13"/>
    </row>
    <row r="587" spans="2:33">
      <c r="AG587" s="13"/>
    </row>
    <row r="588" spans="2:33">
      <c r="AG588" s="13"/>
    </row>
    <row r="589" spans="2:33">
      <c r="AG589" s="13"/>
    </row>
    <row r="590" spans="2:33">
      <c r="AG590" s="13"/>
    </row>
    <row r="591" spans="2:33">
      <c r="AG591" s="13"/>
    </row>
    <row r="592" spans="2:33">
      <c r="AG592" s="13"/>
    </row>
    <row r="593" spans="33:33">
      <c r="AG593" s="13"/>
    </row>
    <row r="594" spans="33:33">
      <c r="AG594" s="13"/>
    </row>
    <row r="595" spans="33:33">
      <c r="AG595" s="13"/>
    </row>
  </sheetData>
  <autoFilter ref="B3:AG537" xr:uid="{0AB505DD-528D-44D0-8F42-EE8192EC1B28}"/>
  <mergeCells count="2">
    <mergeCell ref="R541:AC541"/>
    <mergeCell ref="L539:S539"/>
  </mergeCells>
  <phoneticPr fontId="42" type="noConversion"/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411A8-FF9B-4E67-A325-E7C5C30ADC88}">
  <sheetPr>
    <tabColor theme="7" tint="-0.249977111117893"/>
  </sheetPr>
  <dimension ref="A1:AC305"/>
  <sheetViews>
    <sheetView zoomScale="85" zoomScaleNormal="85" workbookViewId="0">
      <pane ySplit="1" topLeftCell="V2" activePane="bottomLeft" state="frozen"/>
      <selection pane="bottomLeft" activeCell="Z2" sqref="Z2"/>
    </sheetView>
  </sheetViews>
  <sheetFormatPr defaultColWidth="8.85546875" defaultRowHeight="15.6"/>
  <cols>
    <col min="1" max="1" width="12.42578125" style="12" bestFit="1" customWidth="1"/>
    <col min="2" max="2" width="30.5703125" style="12" bestFit="1" customWidth="1"/>
    <col min="3" max="3" width="10.140625" style="12" bestFit="1" customWidth="1"/>
    <col min="4" max="4" width="8.5703125" style="12" bestFit="1" customWidth="1"/>
    <col min="5" max="5" width="11.7109375" style="12" bestFit="1" customWidth="1"/>
    <col min="6" max="6" width="8.85546875" style="12" bestFit="1" customWidth="1"/>
    <col min="7" max="7" width="19.42578125" style="12" bestFit="1" customWidth="1"/>
    <col min="8" max="8" width="15.5703125" style="107" bestFit="1" customWidth="1"/>
    <col min="9" max="9" width="12.28515625" style="179" bestFit="1" customWidth="1"/>
    <col min="10" max="10" width="8.5703125" style="179" bestFit="1" customWidth="1"/>
    <col min="11" max="11" width="11.7109375" style="179" bestFit="1" customWidth="1"/>
    <col min="12" max="12" width="14.5703125" style="179" bestFit="1" customWidth="1"/>
    <col min="13" max="13" width="18" style="179" bestFit="1" customWidth="1"/>
    <col min="14" max="14" width="54.28515625" style="179" bestFit="1" customWidth="1"/>
    <col min="15" max="15" width="20" style="179" bestFit="1" customWidth="1"/>
    <col min="16" max="16" width="17.140625" style="179" bestFit="1" customWidth="1"/>
    <col min="17" max="17" width="18.85546875" style="179" bestFit="1" customWidth="1"/>
    <col min="18" max="18" width="20.7109375" style="179" bestFit="1" customWidth="1"/>
    <col min="19" max="19" width="16.85546875" style="179" bestFit="1" customWidth="1"/>
    <col min="20" max="20" width="32.7109375" style="179" bestFit="1" customWidth="1"/>
    <col min="21" max="21" width="15.7109375" style="179" bestFit="1" customWidth="1"/>
    <col min="22" max="22" width="18" style="179" bestFit="1" customWidth="1"/>
    <col min="23" max="23" width="54.28515625" style="179" bestFit="1" customWidth="1"/>
    <col min="24" max="24" width="15.5703125" style="12" bestFit="1" customWidth="1"/>
    <col min="25" max="25" width="19.42578125" style="12" bestFit="1" customWidth="1"/>
    <col min="26" max="26" width="16.140625" style="12" bestFit="1" customWidth="1"/>
    <col min="27" max="27" width="18.140625" style="12" bestFit="1" customWidth="1"/>
    <col min="28" max="28" width="16" style="12" customWidth="1"/>
    <col min="29" max="29" width="8.7109375" style="12" customWidth="1"/>
    <col min="30" max="16384" width="8.85546875" style="12"/>
  </cols>
  <sheetData>
    <row r="1" spans="1:29">
      <c r="A1" s="12" t="s">
        <v>496</v>
      </c>
      <c r="B1" s="12" t="s">
        <v>497</v>
      </c>
      <c r="C1" s="12" t="s">
        <v>498</v>
      </c>
      <c r="D1" s="12" t="s">
        <v>499</v>
      </c>
      <c r="E1" s="12" t="s">
        <v>500</v>
      </c>
      <c r="F1" s="12" t="s">
        <v>501</v>
      </c>
      <c r="G1" s="12" t="s">
        <v>502</v>
      </c>
      <c r="H1" s="107" t="s">
        <v>501</v>
      </c>
      <c r="I1" s="179" t="s">
        <v>503</v>
      </c>
      <c r="J1" s="179" t="s">
        <v>504</v>
      </c>
      <c r="K1" s="179" t="s">
        <v>505</v>
      </c>
      <c r="L1" s="179" t="s">
        <v>506</v>
      </c>
      <c r="M1" s="179" t="s">
        <v>507</v>
      </c>
      <c r="N1" s="179" t="s">
        <v>508</v>
      </c>
      <c r="O1" s="179" t="s">
        <v>509</v>
      </c>
      <c r="P1" s="179" t="s">
        <v>510</v>
      </c>
      <c r="Q1" s="179" t="s">
        <v>511</v>
      </c>
      <c r="R1" s="179" t="s">
        <v>512</v>
      </c>
      <c r="S1" s="179" t="s">
        <v>513</v>
      </c>
      <c r="T1" s="179" t="s">
        <v>514</v>
      </c>
      <c r="U1" s="179" t="s">
        <v>515</v>
      </c>
      <c r="V1" s="179" t="s">
        <v>516</v>
      </c>
      <c r="W1" s="179" t="s">
        <v>517</v>
      </c>
      <c r="X1" s="12" t="s">
        <v>518</v>
      </c>
      <c r="Y1" s="12" t="s">
        <v>519</v>
      </c>
      <c r="Z1" s="12" t="s">
        <v>520</v>
      </c>
      <c r="AA1" s="12" t="s">
        <v>521</v>
      </c>
    </row>
    <row r="2" spans="1:29">
      <c r="A2" s="12" t="s">
        <v>176</v>
      </c>
      <c r="B2" s="12" t="s">
        <v>1</v>
      </c>
      <c r="C2" s="12" t="s">
        <v>162</v>
      </c>
      <c r="D2" s="12">
        <v>80</v>
      </c>
      <c r="E2" s="12">
        <v>0</v>
      </c>
      <c r="F2" s="12">
        <v>80</v>
      </c>
      <c r="G2" s="12">
        <v>4800</v>
      </c>
      <c r="H2" s="121">
        <v>80</v>
      </c>
      <c r="I2" s="179" t="s">
        <v>522</v>
      </c>
      <c r="J2" s="179">
        <v>1</v>
      </c>
      <c r="M2" s="179">
        <v>46032.380555555559</v>
      </c>
      <c r="N2" s="179" t="s">
        <v>523</v>
      </c>
      <c r="S2" s="179">
        <v>0</v>
      </c>
      <c r="W2" s="179" t="s">
        <v>523</v>
      </c>
      <c r="X2" s="12">
        <v>46032.380555555559</v>
      </c>
      <c r="Y2" s="12" t="s">
        <v>524</v>
      </c>
      <c r="AB2" s="12" t="s">
        <v>525</v>
      </c>
      <c r="AC2" s="12" t="s">
        <v>526</v>
      </c>
    </row>
    <row r="3" spans="1:29">
      <c r="A3" s="12" t="s">
        <v>263</v>
      </c>
      <c r="B3" s="12" t="s">
        <v>1</v>
      </c>
      <c r="C3" s="12" t="s">
        <v>240</v>
      </c>
      <c r="D3" s="12">
        <v>165</v>
      </c>
      <c r="E3" s="12">
        <v>55</v>
      </c>
      <c r="F3" s="12">
        <v>166</v>
      </c>
      <c r="G3" s="12">
        <v>9955</v>
      </c>
      <c r="H3" s="121">
        <v>165.91666666666666</v>
      </c>
      <c r="I3" s="179" t="s">
        <v>527</v>
      </c>
      <c r="J3" s="179">
        <v>1</v>
      </c>
      <c r="M3" s="179">
        <v>46032.381944444445</v>
      </c>
      <c r="N3" s="179" t="s">
        <v>528</v>
      </c>
      <c r="S3" s="179">
        <v>0</v>
      </c>
      <c r="W3" s="179" t="s">
        <v>528</v>
      </c>
      <c r="X3" s="12">
        <v>46032.381944444445</v>
      </c>
      <c r="Y3" s="12" t="s">
        <v>529</v>
      </c>
      <c r="AB3" s="12" t="s">
        <v>525</v>
      </c>
      <c r="AC3" s="12" t="s">
        <v>526</v>
      </c>
    </row>
    <row r="4" spans="1:29">
      <c r="A4" s="12" t="s">
        <v>193</v>
      </c>
      <c r="B4" s="12" t="s">
        <v>1</v>
      </c>
      <c r="C4" s="12" t="s">
        <v>162</v>
      </c>
      <c r="D4" s="12">
        <v>219</v>
      </c>
      <c r="E4" s="12">
        <v>27</v>
      </c>
      <c r="F4" s="12">
        <v>220</v>
      </c>
      <c r="G4" s="12">
        <v>13167</v>
      </c>
      <c r="H4" s="121">
        <v>219.45</v>
      </c>
      <c r="I4" s="179" t="s">
        <v>522</v>
      </c>
      <c r="J4" s="179">
        <v>1</v>
      </c>
      <c r="M4" s="179">
        <v>46032.382638888892</v>
      </c>
      <c r="N4" s="179" t="s">
        <v>523</v>
      </c>
      <c r="S4" s="179">
        <v>0</v>
      </c>
      <c r="W4" s="179" t="s">
        <v>523</v>
      </c>
      <c r="X4" s="12">
        <v>46032.382638888892</v>
      </c>
      <c r="Y4" s="12" t="s">
        <v>524</v>
      </c>
      <c r="AB4" s="12" t="s">
        <v>525</v>
      </c>
      <c r="AC4" s="12" t="s">
        <v>526</v>
      </c>
    </row>
    <row r="5" spans="1:29">
      <c r="A5" s="12" t="s">
        <v>137</v>
      </c>
      <c r="B5" s="12" t="s">
        <v>1</v>
      </c>
      <c r="C5" s="12" t="s">
        <v>133</v>
      </c>
      <c r="D5" s="12">
        <v>123</v>
      </c>
      <c r="E5" s="12">
        <v>17</v>
      </c>
      <c r="F5" s="12">
        <v>124</v>
      </c>
      <c r="G5" s="12">
        <v>7397</v>
      </c>
      <c r="H5" s="121">
        <v>123.28333333333333</v>
      </c>
      <c r="I5" s="179" t="s">
        <v>530</v>
      </c>
      <c r="J5" s="179">
        <v>1</v>
      </c>
      <c r="M5" s="179">
        <v>46032.383333333331</v>
      </c>
      <c r="N5" s="179" t="s">
        <v>531</v>
      </c>
      <c r="S5" s="179">
        <v>0</v>
      </c>
      <c r="W5" s="179" t="s">
        <v>531</v>
      </c>
      <c r="X5" s="12">
        <v>46032.396527777775</v>
      </c>
      <c r="Y5" s="12" t="s">
        <v>532</v>
      </c>
      <c r="AB5" s="12" t="s">
        <v>525</v>
      </c>
      <c r="AC5" s="12" t="s">
        <v>526</v>
      </c>
    </row>
    <row r="6" spans="1:29">
      <c r="A6" s="12" t="s">
        <v>250</v>
      </c>
      <c r="B6" s="12" t="s">
        <v>1</v>
      </c>
      <c r="C6" s="12" t="s">
        <v>240</v>
      </c>
      <c r="D6" s="12">
        <v>44</v>
      </c>
      <c r="E6" s="12">
        <v>51</v>
      </c>
      <c r="F6" s="12">
        <v>45</v>
      </c>
      <c r="G6" s="12">
        <v>2691</v>
      </c>
      <c r="H6" s="121">
        <v>44.85</v>
      </c>
      <c r="I6" s="179" t="s">
        <v>533</v>
      </c>
      <c r="J6" s="179">
        <v>1</v>
      </c>
      <c r="M6" s="179">
        <v>46032.384027777778</v>
      </c>
      <c r="N6" s="179" t="s">
        <v>534</v>
      </c>
      <c r="S6" s="179">
        <v>0</v>
      </c>
      <c r="W6" s="179" t="s">
        <v>534</v>
      </c>
      <c r="X6" s="12">
        <v>46032.384722222225</v>
      </c>
      <c r="Y6" s="12" t="s">
        <v>535</v>
      </c>
      <c r="AB6" s="12" t="s">
        <v>525</v>
      </c>
      <c r="AC6" s="12" t="s">
        <v>526</v>
      </c>
    </row>
    <row r="7" spans="1:29">
      <c r="A7" s="12" t="s">
        <v>143</v>
      </c>
      <c r="B7" s="12" t="s">
        <v>1</v>
      </c>
      <c r="C7" s="12" t="s">
        <v>133</v>
      </c>
      <c r="D7" s="12">
        <v>67</v>
      </c>
      <c r="E7" s="12">
        <v>39</v>
      </c>
      <c r="F7" s="12">
        <v>68</v>
      </c>
      <c r="G7" s="12">
        <v>4059</v>
      </c>
      <c r="H7" s="121">
        <v>67.650000000000006</v>
      </c>
      <c r="I7" s="179" t="s">
        <v>536</v>
      </c>
      <c r="J7" s="179">
        <v>1</v>
      </c>
      <c r="M7" s="179">
        <v>46032.384027777778</v>
      </c>
      <c r="N7" s="179" t="s">
        <v>531</v>
      </c>
      <c r="S7" s="179">
        <v>0</v>
      </c>
      <c r="W7" s="179" t="s">
        <v>531</v>
      </c>
      <c r="X7" s="12">
        <v>46032.384722222225</v>
      </c>
      <c r="Y7" s="12" t="s">
        <v>537</v>
      </c>
      <c r="AB7" s="12" t="s">
        <v>525</v>
      </c>
      <c r="AC7" s="12" t="s">
        <v>526</v>
      </c>
    </row>
    <row r="8" spans="1:29">
      <c r="A8" s="12" t="s">
        <v>165</v>
      </c>
      <c r="B8" s="12" t="s">
        <v>1</v>
      </c>
      <c r="C8" s="12" t="s">
        <v>162</v>
      </c>
      <c r="D8" s="12">
        <v>194</v>
      </c>
      <c r="E8" s="12">
        <v>40</v>
      </c>
      <c r="F8" s="12">
        <v>195</v>
      </c>
      <c r="G8" s="12">
        <v>11680</v>
      </c>
      <c r="H8" s="121">
        <v>194.66666666666666</v>
      </c>
      <c r="I8" s="179" t="s">
        <v>522</v>
      </c>
      <c r="J8" s="179">
        <v>1</v>
      </c>
      <c r="M8" s="179">
        <v>46032.384027777778</v>
      </c>
      <c r="N8" s="179" t="s">
        <v>523</v>
      </c>
      <c r="S8" s="179">
        <v>0</v>
      </c>
      <c r="W8" s="179" t="s">
        <v>523</v>
      </c>
      <c r="X8" s="12">
        <v>46032.384722222225</v>
      </c>
      <c r="Y8" s="12" t="s">
        <v>524</v>
      </c>
      <c r="AB8" s="12" t="s">
        <v>525</v>
      </c>
      <c r="AC8" s="12" t="s">
        <v>526</v>
      </c>
    </row>
    <row r="9" spans="1:29">
      <c r="A9" s="12" t="s">
        <v>476</v>
      </c>
      <c r="B9" s="12" t="s">
        <v>1</v>
      </c>
      <c r="C9" s="12" t="s">
        <v>240</v>
      </c>
      <c r="D9" s="12">
        <v>486</v>
      </c>
      <c r="E9" s="12">
        <v>11</v>
      </c>
      <c r="F9" s="12">
        <v>487</v>
      </c>
      <c r="G9" s="12">
        <v>29171</v>
      </c>
      <c r="H9" s="121">
        <v>486.18333333333334</v>
      </c>
      <c r="I9" s="179" t="s">
        <v>538</v>
      </c>
      <c r="J9" s="179">
        <v>1</v>
      </c>
      <c r="M9" s="179">
        <v>46032.384722222225</v>
      </c>
      <c r="N9" s="179" t="s">
        <v>539</v>
      </c>
      <c r="S9" s="179">
        <v>0</v>
      </c>
      <c r="W9" s="179" t="s">
        <v>539</v>
      </c>
      <c r="X9" s="12">
        <v>46032.384722222225</v>
      </c>
      <c r="Y9" s="12" t="s">
        <v>540</v>
      </c>
      <c r="AB9" s="12" t="s">
        <v>525</v>
      </c>
      <c r="AC9" s="12" t="s">
        <v>526</v>
      </c>
    </row>
    <row r="10" spans="1:29">
      <c r="A10" s="12" t="s">
        <v>307</v>
      </c>
      <c r="B10" s="12" t="s">
        <v>1</v>
      </c>
      <c r="C10" s="12" t="s">
        <v>240</v>
      </c>
      <c r="D10" s="12">
        <v>102</v>
      </c>
      <c r="E10" s="12">
        <v>9</v>
      </c>
      <c r="F10" s="12">
        <v>103</v>
      </c>
      <c r="G10" s="12">
        <v>6129</v>
      </c>
      <c r="H10" s="121">
        <v>102.15</v>
      </c>
      <c r="I10" s="179" t="s">
        <v>527</v>
      </c>
      <c r="J10" s="179">
        <v>1</v>
      </c>
      <c r="M10" s="179">
        <v>46032.385416666664</v>
      </c>
      <c r="N10" s="179" t="s">
        <v>528</v>
      </c>
      <c r="S10" s="179">
        <v>0</v>
      </c>
      <c r="W10" s="179" t="s">
        <v>528</v>
      </c>
      <c r="X10" s="12">
        <v>46032.385416666664</v>
      </c>
      <c r="Y10" s="12" t="s">
        <v>529</v>
      </c>
      <c r="AB10" s="12" t="s">
        <v>525</v>
      </c>
      <c r="AC10" s="12" t="s">
        <v>526</v>
      </c>
    </row>
    <row r="11" spans="1:29">
      <c r="A11" s="12" t="s">
        <v>132</v>
      </c>
      <c r="B11" s="12" t="s">
        <v>1</v>
      </c>
      <c r="C11" s="12" t="s">
        <v>140</v>
      </c>
      <c r="D11" s="12">
        <v>80</v>
      </c>
      <c r="E11" s="12">
        <v>39</v>
      </c>
      <c r="F11" s="12">
        <v>81</v>
      </c>
      <c r="G11" s="12">
        <v>4839</v>
      </c>
      <c r="H11" s="121">
        <v>80.650000000000006</v>
      </c>
      <c r="I11" s="179" t="s">
        <v>530</v>
      </c>
      <c r="J11" s="179">
        <v>1</v>
      </c>
      <c r="M11" s="179">
        <v>46032.385416666664</v>
      </c>
      <c r="N11" s="179" t="s">
        <v>531</v>
      </c>
      <c r="S11" s="179">
        <v>0</v>
      </c>
      <c r="W11" s="179" t="s">
        <v>531</v>
      </c>
      <c r="X11" s="12">
        <v>46032.525000000001</v>
      </c>
      <c r="Y11" s="12" t="s">
        <v>541</v>
      </c>
      <c r="AB11" s="12" t="s">
        <v>525</v>
      </c>
      <c r="AC11" s="12" t="s">
        <v>526</v>
      </c>
    </row>
    <row r="12" spans="1:29">
      <c r="A12" s="12" t="s">
        <v>177</v>
      </c>
      <c r="B12" s="12" t="s">
        <v>1</v>
      </c>
      <c r="C12" s="12" t="s">
        <v>162</v>
      </c>
      <c r="D12" s="12">
        <v>7</v>
      </c>
      <c r="E12" s="12">
        <v>53</v>
      </c>
      <c r="F12" s="12">
        <v>8</v>
      </c>
      <c r="G12" s="12">
        <v>473</v>
      </c>
      <c r="H12" s="121">
        <v>7.8833333333333337</v>
      </c>
      <c r="I12" s="179" t="s">
        <v>538</v>
      </c>
      <c r="J12" s="179">
        <v>1</v>
      </c>
      <c r="M12" s="179">
        <v>46032.385416666664</v>
      </c>
      <c r="N12" s="179" t="s">
        <v>539</v>
      </c>
      <c r="S12" s="179">
        <v>0</v>
      </c>
      <c r="W12" s="179" t="s">
        <v>539</v>
      </c>
      <c r="X12" s="12">
        <v>46032.385416666664</v>
      </c>
      <c r="Y12" s="12" t="s">
        <v>540</v>
      </c>
      <c r="AB12" s="12" t="s">
        <v>525</v>
      </c>
      <c r="AC12" s="12" t="s">
        <v>526</v>
      </c>
    </row>
    <row r="13" spans="1:29">
      <c r="A13" s="12" t="s">
        <v>152</v>
      </c>
      <c r="B13" s="12" t="s">
        <v>1</v>
      </c>
      <c r="C13" s="12" t="s">
        <v>140</v>
      </c>
      <c r="D13" s="12">
        <v>52</v>
      </c>
      <c r="E13" s="12">
        <v>31</v>
      </c>
      <c r="F13" s="12">
        <v>53</v>
      </c>
      <c r="G13" s="12">
        <v>3151</v>
      </c>
      <c r="H13" s="121">
        <v>52.516666666666666</v>
      </c>
      <c r="I13" s="179" t="s">
        <v>542</v>
      </c>
      <c r="J13" s="179">
        <v>1</v>
      </c>
      <c r="M13" s="179">
        <v>46032.385416666664</v>
      </c>
      <c r="N13" s="179" t="s">
        <v>523</v>
      </c>
      <c r="S13" s="179">
        <v>0</v>
      </c>
      <c r="W13" s="179" t="s">
        <v>523</v>
      </c>
      <c r="X13" s="12">
        <v>46032.386111111111</v>
      </c>
      <c r="Y13" s="12" t="s">
        <v>524</v>
      </c>
      <c r="AB13" s="12" t="s">
        <v>525</v>
      </c>
      <c r="AC13" s="12" t="s">
        <v>526</v>
      </c>
    </row>
    <row r="14" spans="1:29">
      <c r="A14" s="12" t="s">
        <v>139</v>
      </c>
      <c r="B14" s="12" t="s">
        <v>1</v>
      </c>
      <c r="C14" s="12" t="s">
        <v>140</v>
      </c>
      <c r="D14" s="12">
        <v>55</v>
      </c>
      <c r="E14" s="12">
        <v>15</v>
      </c>
      <c r="F14" s="12">
        <v>56</v>
      </c>
      <c r="G14" s="12">
        <v>3315</v>
      </c>
      <c r="H14" s="121">
        <v>55.25</v>
      </c>
      <c r="I14" s="179" t="s">
        <v>543</v>
      </c>
      <c r="J14" s="179">
        <v>1</v>
      </c>
      <c r="M14" s="179">
        <v>46032.386111111111</v>
      </c>
      <c r="N14" s="179" t="s">
        <v>531</v>
      </c>
      <c r="S14" s="179">
        <v>0</v>
      </c>
      <c r="W14" s="179" t="s">
        <v>531</v>
      </c>
      <c r="X14" s="12">
        <v>46032.386805555558</v>
      </c>
      <c r="Y14" s="12" t="s">
        <v>541</v>
      </c>
      <c r="AB14" s="12" t="s">
        <v>525</v>
      </c>
      <c r="AC14" s="12" t="s">
        <v>526</v>
      </c>
    </row>
    <row r="15" spans="1:29">
      <c r="A15" s="12" t="s">
        <v>178</v>
      </c>
      <c r="B15" s="12" t="s">
        <v>1</v>
      </c>
      <c r="C15" s="12" t="s">
        <v>162</v>
      </c>
      <c r="D15" s="12">
        <v>8</v>
      </c>
      <c r="E15" s="12">
        <v>8</v>
      </c>
      <c r="F15" s="12">
        <v>9</v>
      </c>
      <c r="G15" s="12">
        <v>488</v>
      </c>
      <c r="H15" s="121">
        <v>8.1333333333333329</v>
      </c>
      <c r="I15" s="179" t="s">
        <v>538</v>
      </c>
      <c r="J15" s="179">
        <v>2</v>
      </c>
      <c r="M15" s="179">
        <v>46032.386805555558</v>
      </c>
      <c r="N15" s="179" t="s">
        <v>539</v>
      </c>
      <c r="S15" s="179">
        <v>0</v>
      </c>
      <c r="W15" s="179" t="s">
        <v>539</v>
      </c>
      <c r="X15" s="12">
        <v>46032.386805555558</v>
      </c>
      <c r="Y15" s="12" t="s">
        <v>540</v>
      </c>
      <c r="AB15" s="12" t="s">
        <v>525</v>
      </c>
      <c r="AC15" s="12" t="s">
        <v>526</v>
      </c>
    </row>
    <row r="16" spans="1:29">
      <c r="A16" s="12" t="s">
        <v>188</v>
      </c>
      <c r="B16" s="12" t="s">
        <v>1</v>
      </c>
      <c r="C16" s="12" t="s">
        <v>162</v>
      </c>
      <c r="D16" s="12">
        <v>320</v>
      </c>
      <c r="E16" s="12">
        <v>0</v>
      </c>
      <c r="F16" s="12">
        <v>320</v>
      </c>
      <c r="G16" s="12">
        <v>19200</v>
      </c>
      <c r="H16" s="121">
        <v>320</v>
      </c>
      <c r="I16" s="179" t="s">
        <v>544</v>
      </c>
      <c r="J16" s="179">
        <v>1</v>
      </c>
      <c r="M16" s="179">
        <v>46032.386805555558</v>
      </c>
      <c r="N16" s="179" t="s">
        <v>545</v>
      </c>
      <c r="S16" s="179">
        <v>0</v>
      </c>
      <c r="W16" s="179" t="s">
        <v>545</v>
      </c>
      <c r="X16" s="12">
        <v>46032.390277777777</v>
      </c>
      <c r="Y16" s="12" t="s">
        <v>529</v>
      </c>
      <c r="AB16" s="12" t="s">
        <v>525</v>
      </c>
      <c r="AC16" s="12" t="s">
        <v>526</v>
      </c>
    </row>
    <row r="17" spans="1:29">
      <c r="A17" s="12" t="s">
        <v>288</v>
      </c>
      <c r="B17" s="12" t="s">
        <v>1</v>
      </c>
      <c r="C17" s="12" t="s">
        <v>240</v>
      </c>
      <c r="D17" s="12">
        <v>346</v>
      </c>
      <c r="E17" s="12">
        <v>64</v>
      </c>
      <c r="F17" s="12">
        <v>347</v>
      </c>
      <c r="G17" s="12">
        <v>20824</v>
      </c>
      <c r="H17" s="121">
        <v>347.06666666666666</v>
      </c>
      <c r="I17" s="179" t="s">
        <v>527</v>
      </c>
      <c r="J17" s="179">
        <v>1</v>
      </c>
      <c r="M17" s="179">
        <v>46032.386805555558</v>
      </c>
      <c r="N17" s="179" t="s">
        <v>528</v>
      </c>
      <c r="S17" s="179">
        <v>0</v>
      </c>
      <c r="W17" s="179" t="s">
        <v>528</v>
      </c>
      <c r="X17" s="12">
        <v>46032.387499999997</v>
      </c>
      <c r="Y17" s="12" t="s">
        <v>529</v>
      </c>
      <c r="AB17" s="12" t="s">
        <v>525</v>
      </c>
      <c r="AC17" s="12" t="s">
        <v>526</v>
      </c>
    </row>
    <row r="18" spans="1:29">
      <c r="A18" s="12" t="s">
        <v>301</v>
      </c>
      <c r="B18" s="12" t="s">
        <v>1</v>
      </c>
      <c r="C18" s="12" t="s">
        <v>240</v>
      </c>
      <c r="D18" s="12">
        <v>310</v>
      </c>
      <c r="E18" s="12">
        <v>39</v>
      </c>
      <c r="F18" s="12">
        <v>311</v>
      </c>
      <c r="G18" s="12">
        <v>18639</v>
      </c>
      <c r="H18" s="121">
        <v>310.64999999999998</v>
      </c>
      <c r="I18" s="179" t="s">
        <v>533</v>
      </c>
      <c r="J18" s="179">
        <v>1</v>
      </c>
      <c r="M18" s="179">
        <v>46032.387499999997</v>
      </c>
      <c r="N18" s="179" t="s">
        <v>534</v>
      </c>
      <c r="S18" s="179">
        <v>0</v>
      </c>
      <c r="W18" s="179" t="s">
        <v>534</v>
      </c>
      <c r="X18" s="12">
        <v>46032.387499999997</v>
      </c>
      <c r="Y18" s="12" t="s">
        <v>546</v>
      </c>
      <c r="AB18" s="12" t="s">
        <v>525</v>
      </c>
      <c r="AC18" s="12" t="s">
        <v>526</v>
      </c>
    </row>
    <row r="19" spans="1:29">
      <c r="A19" s="12" t="s">
        <v>308</v>
      </c>
      <c r="B19" s="12" t="s">
        <v>1</v>
      </c>
      <c r="C19" s="12" t="s">
        <v>240</v>
      </c>
      <c r="D19" s="12">
        <v>16</v>
      </c>
      <c r="E19" s="12">
        <v>10</v>
      </c>
      <c r="F19" s="12">
        <v>17</v>
      </c>
      <c r="G19" s="12">
        <v>970</v>
      </c>
      <c r="H19" s="121">
        <v>16.166666666666668</v>
      </c>
      <c r="I19" s="179" t="s">
        <v>542</v>
      </c>
      <c r="J19" s="179">
        <v>1</v>
      </c>
      <c r="M19" s="179">
        <v>46032.387499999997</v>
      </c>
      <c r="N19" s="179" t="s">
        <v>523</v>
      </c>
      <c r="S19" s="179">
        <v>0</v>
      </c>
      <c r="W19" s="179" t="s">
        <v>523</v>
      </c>
      <c r="X19" s="12">
        <v>46032.387499999997</v>
      </c>
      <c r="Y19" s="12" t="s">
        <v>524</v>
      </c>
      <c r="AB19" s="12" t="s">
        <v>525</v>
      </c>
      <c r="AC19" s="12" t="s">
        <v>526</v>
      </c>
    </row>
    <row r="20" spans="1:29">
      <c r="A20" s="12" t="s">
        <v>246</v>
      </c>
      <c r="B20" s="12" t="s">
        <v>1</v>
      </c>
      <c r="C20" s="12" t="s">
        <v>240</v>
      </c>
      <c r="D20" s="12">
        <v>48</v>
      </c>
      <c r="E20" s="12">
        <v>66</v>
      </c>
      <c r="F20" s="12">
        <v>49</v>
      </c>
      <c r="G20" s="12">
        <v>2946</v>
      </c>
      <c r="H20" s="121">
        <v>49.1</v>
      </c>
      <c r="I20" s="179" t="s">
        <v>547</v>
      </c>
      <c r="J20" s="179">
        <v>1</v>
      </c>
      <c r="M20" s="179">
        <v>46032.387499999997</v>
      </c>
      <c r="N20" s="179" t="s">
        <v>539</v>
      </c>
      <c r="S20" s="179">
        <v>0</v>
      </c>
      <c r="W20" s="179" t="s">
        <v>539</v>
      </c>
      <c r="X20" s="12">
        <v>46032.388194444444</v>
      </c>
      <c r="Y20" s="12" t="s">
        <v>540</v>
      </c>
      <c r="AB20" s="12" t="s">
        <v>525</v>
      </c>
      <c r="AC20" s="12" t="s">
        <v>526</v>
      </c>
    </row>
    <row r="21" spans="1:29">
      <c r="A21" s="12" t="s">
        <v>289</v>
      </c>
      <c r="B21" s="12" t="s">
        <v>1</v>
      </c>
      <c r="C21" s="12" t="s">
        <v>240</v>
      </c>
      <c r="D21" s="12">
        <v>189</v>
      </c>
      <c r="E21" s="12">
        <v>43</v>
      </c>
      <c r="F21" s="12">
        <v>190</v>
      </c>
      <c r="G21" s="12">
        <v>11383</v>
      </c>
      <c r="H21" s="121">
        <v>189.71666666666667</v>
      </c>
      <c r="I21" s="179" t="s">
        <v>543</v>
      </c>
      <c r="J21" s="179">
        <v>1</v>
      </c>
      <c r="M21" s="179">
        <v>46032.388194444444</v>
      </c>
      <c r="N21" s="179" t="s">
        <v>531</v>
      </c>
      <c r="S21" s="179">
        <v>0</v>
      </c>
      <c r="W21" s="179" t="s">
        <v>531</v>
      </c>
      <c r="X21" s="12">
        <v>46032.388194444444</v>
      </c>
      <c r="Y21" s="12" t="s">
        <v>537</v>
      </c>
      <c r="AB21" s="12" t="s">
        <v>525</v>
      </c>
      <c r="AC21" s="12" t="s">
        <v>526</v>
      </c>
    </row>
    <row r="22" spans="1:29">
      <c r="A22" s="12" t="s">
        <v>360</v>
      </c>
      <c r="B22" s="12" t="s">
        <v>1</v>
      </c>
      <c r="C22" s="12" t="s">
        <v>347</v>
      </c>
      <c r="D22" s="12">
        <v>12</v>
      </c>
      <c r="E22" s="12">
        <v>43</v>
      </c>
      <c r="F22" s="12">
        <v>13</v>
      </c>
      <c r="G22" s="12">
        <v>763</v>
      </c>
      <c r="H22" s="121">
        <v>12.716666666666667</v>
      </c>
      <c r="I22" s="179" t="s">
        <v>548</v>
      </c>
      <c r="J22" s="179">
        <v>1</v>
      </c>
      <c r="M22" s="179">
        <v>46032.388194444444</v>
      </c>
      <c r="N22" s="179" t="s">
        <v>549</v>
      </c>
      <c r="S22" s="179">
        <v>0</v>
      </c>
      <c r="W22" s="179" t="s">
        <v>549</v>
      </c>
      <c r="X22" s="12">
        <v>46032.388194444444</v>
      </c>
      <c r="Y22" s="12" t="s">
        <v>541</v>
      </c>
      <c r="AB22" s="12" t="s">
        <v>525</v>
      </c>
      <c r="AC22" s="12" t="s">
        <v>526</v>
      </c>
    </row>
    <row r="23" spans="1:29">
      <c r="A23" s="12" t="s">
        <v>284</v>
      </c>
      <c r="B23" s="12" t="s">
        <v>1</v>
      </c>
      <c r="C23" s="12" t="s">
        <v>240</v>
      </c>
      <c r="D23" s="12">
        <v>351</v>
      </c>
      <c r="E23" s="12">
        <v>0</v>
      </c>
      <c r="F23" s="12">
        <v>351</v>
      </c>
      <c r="G23" s="12">
        <v>21060</v>
      </c>
      <c r="H23" s="121">
        <v>351</v>
      </c>
      <c r="I23" s="179" t="s">
        <v>550</v>
      </c>
      <c r="J23" s="179">
        <v>1</v>
      </c>
      <c r="M23" s="179">
        <v>46032.388194444444</v>
      </c>
      <c r="N23" s="179" t="s">
        <v>551</v>
      </c>
      <c r="S23" s="179">
        <v>0</v>
      </c>
      <c r="W23" s="179" t="s">
        <v>551</v>
      </c>
      <c r="X23" s="12">
        <v>46032.388194444444</v>
      </c>
      <c r="AB23" s="12" t="s">
        <v>525</v>
      </c>
      <c r="AC23" s="12" t="s">
        <v>526</v>
      </c>
    </row>
    <row r="24" spans="1:29">
      <c r="A24" s="12" t="s">
        <v>376</v>
      </c>
      <c r="B24" s="12" t="s">
        <v>1</v>
      </c>
      <c r="C24" s="12" t="s">
        <v>240</v>
      </c>
      <c r="D24" s="12">
        <v>150</v>
      </c>
      <c r="E24" s="12">
        <v>31</v>
      </c>
      <c r="F24" s="12">
        <v>151</v>
      </c>
      <c r="G24" s="12">
        <v>9031</v>
      </c>
      <c r="H24" s="121">
        <v>150.51666666666668</v>
      </c>
      <c r="I24" s="179" t="s">
        <v>527</v>
      </c>
      <c r="J24" s="179">
        <v>1</v>
      </c>
      <c r="M24" s="179">
        <v>46032.388194444444</v>
      </c>
      <c r="N24" s="179" t="s">
        <v>528</v>
      </c>
      <c r="S24" s="179">
        <v>0</v>
      </c>
      <c r="W24" s="179" t="s">
        <v>528</v>
      </c>
      <c r="X24" s="12">
        <v>46032.388888888891</v>
      </c>
      <c r="Y24" s="12" t="s">
        <v>529</v>
      </c>
      <c r="AB24" s="12" t="s">
        <v>525</v>
      </c>
      <c r="AC24" s="12" t="s">
        <v>526</v>
      </c>
    </row>
    <row r="25" spans="1:29">
      <c r="A25" s="12" t="s">
        <v>278</v>
      </c>
      <c r="B25" s="12" t="s">
        <v>1</v>
      </c>
      <c r="C25" s="12" t="s">
        <v>240</v>
      </c>
      <c r="D25" s="12">
        <v>16</v>
      </c>
      <c r="E25" s="12">
        <v>23</v>
      </c>
      <c r="F25" s="12">
        <v>17</v>
      </c>
      <c r="G25" s="12">
        <v>983</v>
      </c>
      <c r="H25" s="121">
        <v>16.383333333333333</v>
      </c>
      <c r="I25" s="179" t="s">
        <v>547</v>
      </c>
      <c r="J25" s="179">
        <v>2</v>
      </c>
      <c r="M25" s="179">
        <v>46032.388888888891</v>
      </c>
      <c r="N25" s="179" t="s">
        <v>539</v>
      </c>
      <c r="S25" s="179">
        <v>0</v>
      </c>
      <c r="W25" s="179" t="s">
        <v>539</v>
      </c>
      <c r="X25" s="12">
        <v>46032.388888888891</v>
      </c>
      <c r="Y25" s="12" t="s">
        <v>540</v>
      </c>
      <c r="AB25" s="12" t="s">
        <v>525</v>
      </c>
      <c r="AC25" s="12" t="s">
        <v>526</v>
      </c>
    </row>
    <row r="26" spans="1:29">
      <c r="A26" s="12" t="s">
        <v>259</v>
      </c>
      <c r="B26" s="12" t="s">
        <v>1</v>
      </c>
      <c r="C26" s="12" t="s">
        <v>240</v>
      </c>
      <c r="D26" s="12">
        <v>107</v>
      </c>
      <c r="E26" s="12">
        <v>28</v>
      </c>
      <c r="F26" s="12">
        <v>108</v>
      </c>
      <c r="G26" s="12">
        <v>6448</v>
      </c>
      <c r="H26" s="121">
        <v>107.46666666666667</v>
      </c>
      <c r="I26" s="179" t="s">
        <v>542</v>
      </c>
      <c r="J26" s="179">
        <v>1</v>
      </c>
      <c r="M26" s="179">
        <v>46032.388888888891</v>
      </c>
      <c r="N26" s="179" t="s">
        <v>523</v>
      </c>
      <c r="S26" s="179">
        <v>0</v>
      </c>
      <c r="W26" s="179" t="s">
        <v>523</v>
      </c>
      <c r="X26" s="12">
        <v>46032.388888888891</v>
      </c>
      <c r="Y26" s="12" t="s">
        <v>524</v>
      </c>
      <c r="AB26" s="12" t="s">
        <v>525</v>
      </c>
      <c r="AC26" s="12" t="s">
        <v>526</v>
      </c>
    </row>
    <row r="27" spans="1:29">
      <c r="A27" s="12" t="s">
        <v>134</v>
      </c>
      <c r="B27" s="12" t="s">
        <v>1</v>
      </c>
      <c r="C27" s="12" t="s">
        <v>140</v>
      </c>
      <c r="D27" s="12">
        <v>80</v>
      </c>
      <c r="E27" s="12">
        <v>30</v>
      </c>
      <c r="F27" s="12">
        <v>81</v>
      </c>
      <c r="G27" s="12">
        <v>4830</v>
      </c>
      <c r="H27" s="121">
        <v>80.5</v>
      </c>
      <c r="I27" s="179" t="s">
        <v>550</v>
      </c>
      <c r="J27" s="179">
        <v>1</v>
      </c>
      <c r="M27" s="179">
        <v>46032.388888888891</v>
      </c>
      <c r="N27" s="179" t="s">
        <v>551</v>
      </c>
      <c r="S27" s="179">
        <v>0</v>
      </c>
      <c r="W27" s="179" t="s">
        <v>551</v>
      </c>
      <c r="X27" s="12">
        <v>46032.388888888891</v>
      </c>
      <c r="AB27" s="12" t="s">
        <v>525</v>
      </c>
      <c r="AC27" s="12" t="s">
        <v>526</v>
      </c>
    </row>
    <row r="28" spans="1:29">
      <c r="A28" s="12" t="s">
        <v>279</v>
      </c>
      <c r="B28" s="12" t="s">
        <v>1</v>
      </c>
      <c r="C28" s="12" t="s">
        <v>240</v>
      </c>
      <c r="D28" s="12">
        <v>15</v>
      </c>
      <c r="E28" s="12">
        <v>41</v>
      </c>
      <c r="F28" s="12">
        <v>16</v>
      </c>
      <c r="G28" s="12">
        <v>941</v>
      </c>
      <c r="H28" s="121">
        <v>15.683333333333334</v>
      </c>
      <c r="I28" s="179" t="s">
        <v>547</v>
      </c>
      <c r="J28" s="179">
        <v>3</v>
      </c>
      <c r="M28" s="179">
        <v>46032.38958333333</v>
      </c>
      <c r="N28" s="179" t="s">
        <v>539</v>
      </c>
      <c r="S28" s="179">
        <v>0</v>
      </c>
      <c r="W28" s="179" t="s">
        <v>539</v>
      </c>
      <c r="X28" s="12">
        <v>46032.38958333333</v>
      </c>
      <c r="Y28" s="12" t="s">
        <v>540</v>
      </c>
      <c r="AB28" s="12" t="s">
        <v>525</v>
      </c>
      <c r="AC28" s="12" t="s">
        <v>526</v>
      </c>
    </row>
    <row r="29" spans="1:29">
      <c r="A29" s="12" t="s">
        <v>324</v>
      </c>
      <c r="B29" s="12" t="s">
        <v>1</v>
      </c>
      <c r="C29" s="12" t="s">
        <v>314</v>
      </c>
      <c r="D29" s="12">
        <v>14</v>
      </c>
      <c r="E29" s="12">
        <v>52</v>
      </c>
      <c r="F29" s="12">
        <v>15</v>
      </c>
      <c r="G29" s="12">
        <v>752</v>
      </c>
      <c r="H29" s="121">
        <v>15.04</v>
      </c>
      <c r="I29" s="179" t="s">
        <v>552</v>
      </c>
      <c r="J29" s="179">
        <v>1</v>
      </c>
      <c r="M29" s="179">
        <v>46032.38958333333</v>
      </c>
      <c r="N29" s="179" t="s">
        <v>528</v>
      </c>
      <c r="S29" s="179">
        <v>0</v>
      </c>
      <c r="W29" s="179" t="s">
        <v>528</v>
      </c>
      <c r="X29" s="12">
        <v>46032.38958333333</v>
      </c>
      <c r="Y29" s="12" t="s">
        <v>529</v>
      </c>
      <c r="AB29" s="12" t="s">
        <v>525</v>
      </c>
      <c r="AC29" s="12" t="s">
        <v>526</v>
      </c>
    </row>
    <row r="30" spans="1:29">
      <c r="A30" s="12" t="s">
        <v>260</v>
      </c>
      <c r="B30" s="12" t="s">
        <v>1</v>
      </c>
      <c r="C30" s="12" t="s">
        <v>240</v>
      </c>
      <c r="D30" s="12">
        <v>212</v>
      </c>
      <c r="E30" s="12">
        <v>6</v>
      </c>
      <c r="F30" s="12">
        <v>213</v>
      </c>
      <c r="G30" s="12">
        <v>12726</v>
      </c>
      <c r="H30" s="121">
        <v>212.1</v>
      </c>
      <c r="I30" s="179" t="s">
        <v>553</v>
      </c>
      <c r="J30" s="179">
        <v>1</v>
      </c>
      <c r="M30" s="179">
        <v>46032.38958333333</v>
      </c>
      <c r="N30" s="179" t="s">
        <v>531</v>
      </c>
      <c r="S30" s="179">
        <v>0</v>
      </c>
      <c r="W30" s="179" t="s">
        <v>531</v>
      </c>
      <c r="X30" s="12">
        <v>46032.38958333333</v>
      </c>
      <c r="Y30" s="12" t="s">
        <v>541</v>
      </c>
      <c r="AB30" s="12" t="s">
        <v>525</v>
      </c>
      <c r="AC30" s="12" t="s">
        <v>526</v>
      </c>
    </row>
    <row r="31" spans="1:29">
      <c r="A31" s="12" t="s">
        <v>96</v>
      </c>
      <c r="B31" s="12" t="s">
        <v>1</v>
      </c>
      <c r="C31" s="12" t="s">
        <v>58</v>
      </c>
      <c r="D31" s="12">
        <v>15</v>
      </c>
      <c r="E31" s="12">
        <v>26</v>
      </c>
      <c r="F31" s="12">
        <v>16</v>
      </c>
      <c r="G31" s="12">
        <v>926</v>
      </c>
      <c r="H31" s="121">
        <v>15.433333333333334</v>
      </c>
      <c r="I31" s="179" t="s">
        <v>548</v>
      </c>
      <c r="J31" s="179">
        <v>2</v>
      </c>
      <c r="M31" s="179">
        <v>46032.38958333333</v>
      </c>
      <c r="N31" s="179" t="s">
        <v>549</v>
      </c>
      <c r="S31" s="179">
        <v>0</v>
      </c>
      <c r="W31" s="179" t="s">
        <v>549</v>
      </c>
      <c r="X31" s="12">
        <v>46032.38958333333</v>
      </c>
      <c r="Y31" s="12" t="s">
        <v>541</v>
      </c>
      <c r="AB31" s="12" t="s">
        <v>525</v>
      </c>
      <c r="AC31" s="12" t="s">
        <v>526</v>
      </c>
    </row>
    <row r="32" spans="1:29">
      <c r="A32" s="12" t="s">
        <v>147</v>
      </c>
      <c r="B32" s="12" t="s">
        <v>1</v>
      </c>
      <c r="C32" s="12" t="s">
        <v>140</v>
      </c>
      <c r="D32" s="12">
        <v>104</v>
      </c>
      <c r="E32" s="12">
        <v>29</v>
      </c>
      <c r="F32" s="12">
        <v>105</v>
      </c>
      <c r="G32" s="12">
        <v>6269</v>
      </c>
      <c r="H32" s="121">
        <v>104.48333333333333</v>
      </c>
      <c r="I32" s="179" t="s">
        <v>542</v>
      </c>
      <c r="J32" s="179">
        <v>1</v>
      </c>
      <c r="M32" s="179">
        <v>46032.38958333333</v>
      </c>
      <c r="N32" s="179" t="s">
        <v>523</v>
      </c>
      <c r="S32" s="179">
        <v>0</v>
      </c>
      <c r="W32" s="179" t="s">
        <v>523</v>
      </c>
      <c r="X32" s="12">
        <v>46032.390277777777</v>
      </c>
      <c r="Y32" s="12" t="s">
        <v>524</v>
      </c>
      <c r="AB32" s="12" t="s">
        <v>525</v>
      </c>
      <c r="AC32" s="12" t="s">
        <v>526</v>
      </c>
    </row>
    <row r="33" spans="1:29">
      <c r="A33" s="12" t="s">
        <v>151</v>
      </c>
      <c r="B33" s="12" t="s">
        <v>1</v>
      </c>
      <c r="C33" s="12" t="s">
        <v>140</v>
      </c>
      <c r="D33" s="12">
        <v>54</v>
      </c>
      <c r="E33" s="12">
        <v>57</v>
      </c>
      <c r="F33" s="12">
        <v>55</v>
      </c>
      <c r="G33" s="12">
        <v>3297</v>
      </c>
      <c r="H33" s="121">
        <v>54.95</v>
      </c>
      <c r="I33" s="179" t="s">
        <v>553</v>
      </c>
      <c r="J33" s="179">
        <v>1</v>
      </c>
      <c r="M33" s="179">
        <v>46032.390277777777</v>
      </c>
      <c r="N33" s="179" t="s">
        <v>531</v>
      </c>
      <c r="S33" s="179">
        <v>0</v>
      </c>
      <c r="W33" s="179" t="s">
        <v>531</v>
      </c>
      <c r="X33" s="12">
        <v>46032.390277777777</v>
      </c>
      <c r="Y33" s="12" t="s">
        <v>532</v>
      </c>
      <c r="AB33" s="12" t="s">
        <v>525</v>
      </c>
      <c r="AC33" s="12" t="s">
        <v>526</v>
      </c>
    </row>
    <row r="34" spans="1:29">
      <c r="A34" s="12" t="s">
        <v>97</v>
      </c>
      <c r="B34" s="12" t="s">
        <v>1</v>
      </c>
      <c r="C34" s="12" t="s">
        <v>58</v>
      </c>
      <c r="D34" s="12">
        <v>36</v>
      </c>
      <c r="E34" s="12">
        <v>23</v>
      </c>
      <c r="F34" s="12">
        <v>37</v>
      </c>
      <c r="G34" s="12">
        <v>2183</v>
      </c>
      <c r="H34" s="121">
        <v>36.383333333333333</v>
      </c>
      <c r="I34" s="179" t="s">
        <v>548</v>
      </c>
      <c r="J34" s="179">
        <v>3</v>
      </c>
      <c r="M34" s="179">
        <v>46032.390277777777</v>
      </c>
      <c r="N34" s="179" t="s">
        <v>549</v>
      </c>
      <c r="S34" s="179">
        <v>0</v>
      </c>
      <c r="W34" s="179" t="s">
        <v>549</v>
      </c>
      <c r="X34" s="12">
        <v>46032.390277777777</v>
      </c>
      <c r="Y34" s="12" t="s">
        <v>541</v>
      </c>
      <c r="AB34" s="12" t="s">
        <v>525</v>
      </c>
      <c r="AC34" s="12" t="s">
        <v>526</v>
      </c>
    </row>
    <row r="35" spans="1:29">
      <c r="A35" s="12" t="s">
        <v>143</v>
      </c>
      <c r="B35" s="12" t="s">
        <v>1</v>
      </c>
      <c r="C35" s="12" t="s">
        <v>140</v>
      </c>
      <c r="D35" s="12">
        <v>126</v>
      </c>
      <c r="E35" s="12">
        <v>65</v>
      </c>
      <c r="F35" s="12">
        <v>127</v>
      </c>
      <c r="G35" s="12">
        <v>7625</v>
      </c>
      <c r="H35" s="121">
        <v>127.08333333333333</v>
      </c>
      <c r="I35" s="179" t="s">
        <v>554</v>
      </c>
      <c r="J35" s="179">
        <v>1</v>
      </c>
      <c r="M35" s="179">
        <v>46032.390277777777</v>
      </c>
      <c r="N35" s="179" t="s">
        <v>551</v>
      </c>
      <c r="S35" s="179">
        <v>0</v>
      </c>
      <c r="W35" s="179" t="s">
        <v>551</v>
      </c>
      <c r="X35" s="12">
        <v>46032.390277777777</v>
      </c>
      <c r="AB35" s="12" t="s">
        <v>525</v>
      </c>
      <c r="AC35" s="12" t="s">
        <v>526</v>
      </c>
    </row>
    <row r="36" spans="1:29">
      <c r="A36" s="12" t="s">
        <v>325</v>
      </c>
      <c r="B36" s="12" t="s">
        <v>1</v>
      </c>
      <c r="C36" s="12" t="s">
        <v>314</v>
      </c>
      <c r="D36" s="12">
        <v>15</v>
      </c>
      <c r="E36" s="12">
        <v>53</v>
      </c>
      <c r="F36" s="12">
        <v>16</v>
      </c>
      <c r="G36" s="12">
        <v>803</v>
      </c>
      <c r="H36" s="121">
        <v>16.059999999999999</v>
      </c>
      <c r="I36" s="179" t="s">
        <v>552</v>
      </c>
      <c r="J36" s="179">
        <v>2</v>
      </c>
      <c r="M36" s="179">
        <v>46032.390277777777</v>
      </c>
      <c r="N36" s="179" t="s">
        <v>528</v>
      </c>
      <c r="S36" s="179">
        <v>0</v>
      </c>
      <c r="W36" s="179" t="s">
        <v>528</v>
      </c>
      <c r="X36" s="12">
        <v>46032.390277777777</v>
      </c>
      <c r="Y36" s="12" t="s">
        <v>529</v>
      </c>
      <c r="AB36" s="12" t="s">
        <v>525</v>
      </c>
      <c r="AC36" s="12" t="s">
        <v>526</v>
      </c>
    </row>
    <row r="37" spans="1:29">
      <c r="A37" s="12" t="s">
        <v>336</v>
      </c>
      <c r="B37" s="12" t="s">
        <v>1</v>
      </c>
      <c r="C37" s="12" t="s">
        <v>337</v>
      </c>
      <c r="D37" s="12">
        <v>16</v>
      </c>
      <c r="E37" s="12">
        <v>30</v>
      </c>
      <c r="F37" s="12">
        <v>17</v>
      </c>
      <c r="G37" s="12">
        <v>990</v>
      </c>
      <c r="H37" s="121">
        <v>16.5</v>
      </c>
      <c r="I37" s="179" t="s">
        <v>555</v>
      </c>
      <c r="J37" s="179">
        <v>1</v>
      </c>
      <c r="M37" s="179">
        <v>46032.390277777777</v>
      </c>
      <c r="N37" s="179" t="s">
        <v>556</v>
      </c>
      <c r="S37" s="179">
        <v>0</v>
      </c>
      <c r="W37" s="179" t="s">
        <v>556</v>
      </c>
      <c r="X37" s="12">
        <v>46032.4</v>
      </c>
      <c r="Y37" s="12" t="s">
        <v>557</v>
      </c>
      <c r="AB37" s="12" t="s">
        <v>525</v>
      </c>
      <c r="AC37" s="12" t="s">
        <v>526</v>
      </c>
    </row>
    <row r="38" spans="1:29">
      <c r="A38" s="12" t="s">
        <v>274</v>
      </c>
      <c r="B38" s="12" t="s">
        <v>1</v>
      </c>
      <c r="C38" s="12" t="s">
        <v>240</v>
      </c>
      <c r="D38" s="12">
        <v>69</v>
      </c>
      <c r="E38" s="12">
        <v>52</v>
      </c>
      <c r="F38" s="12">
        <v>70</v>
      </c>
      <c r="G38" s="12">
        <v>4192</v>
      </c>
      <c r="H38" s="121">
        <v>69.86666666666666</v>
      </c>
      <c r="I38" s="179" t="s">
        <v>547</v>
      </c>
      <c r="J38" s="179">
        <v>1</v>
      </c>
      <c r="M38" s="179">
        <v>46032.390972222223</v>
      </c>
      <c r="N38" s="179" t="s">
        <v>539</v>
      </c>
      <c r="S38" s="179">
        <v>0</v>
      </c>
      <c r="W38" s="179" t="s">
        <v>539</v>
      </c>
      <c r="X38" s="12">
        <v>46032.390972222223</v>
      </c>
      <c r="Y38" s="12" t="s">
        <v>540</v>
      </c>
      <c r="AB38" s="12" t="s">
        <v>525</v>
      </c>
      <c r="AC38" s="12" t="s">
        <v>526</v>
      </c>
    </row>
    <row r="39" spans="1:29">
      <c r="A39" s="12" t="s">
        <v>149</v>
      </c>
      <c r="B39" s="12" t="s">
        <v>1</v>
      </c>
      <c r="C39" s="12" t="s">
        <v>140</v>
      </c>
      <c r="D39" s="12">
        <v>20</v>
      </c>
      <c r="E39" s="12">
        <v>59</v>
      </c>
      <c r="F39" s="12">
        <v>21</v>
      </c>
      <c r="G39" s="12">
        <v>1259</v>
      </c>
      <c r="H39" s="121">
        <v>20.983333333333334</v>
      </c>
      <c r="I39" s="179" t="s">
        <v>554</v>
      </c>
      <c r="J39" s="179">
        <v>2</v>
      </c>
      <c r="M39" s="179">
        <v>46032.390972222223</v>
      </c>
      <c r="N39" s="179" t="s">
        <v>551</v>
      </c>
      <c r="S39" s="179">
        <v>0</v>
      </c>
      <c r="W39" s="179" t="s">
        <v>551</v>
      </c>
      <c r="X39" s="12">
        <v>46032.390972222223</v>
      </c>
      <c r="AB39" s="12" t="s">
        <v>525</v>
      </c>
      <c r="AC39" s="12" t="s">
        <v>526</v>
      </c>
    </row>
    <row r="40" spans="1:29">
      <c r="A40" s="12" t="s">
        <v>138</v>
      </c>
      <c r="B40" s="12" t="s">
        <v>1</v>
      </c>
      <c r="C40" s="12" t="s">
        <v>140</v>
      </c>
      <c r="D40" s="12">
        <v>76</v>
      </c>
      <c r="E40" s="12">
        <v>53</v>
      </c>
      <c r="F40" s="12">
        <v>77</v>
      </c>
      <c r="G40" s="12">
        <v>4613</v>
      </c>
      <c r="H40" s="121">
        <v>76.88333333333334</v>
      </c>
      <c r="I40" s="179" t="s">
        <v>542</v>
      </c>
      <c r="J40" s="179">
        <v>1</v>
      </c>
      <c r="M40" s="179">
        <v>46032.390972222223</v>
      </c>
      <c r="N40" s="179" t="s">
        <v>523</v>
      </c>
      <c r="S40" s="179">
        <v>0</v>
      </c>
      <c r="W40" s="179" t="s">
        <v>523</v>
      </c>
      <c r="X40" s="12">
        <v>46032.390972222223</v>
      </c>
      <c r="Y40" s="12" t="s">
        <v>524</v>
      </c>
      <c r="AB40" s="12" t="s">
        <v>525</v>
      </c>
      <c r="AC40" s="12" t="s">
        <v>526</v>
      </c>
    </row>
    <row r="41" spans="1:29">
      <c r="A41" s="12" t="s">
        <v>157</v>
      </c>
      <c r="B41" s="12" t="s">
        <v>1</v>
      </c>
      <c r="C41" s="12" t="s">
        <v>314</v>
      </c>
      <c r="D41" s="12">
        <v>11</v>
      </c>
      <c r="E41" s="12">
        <v>11</v>
      </c>
      <c r="F41" s="12">
        <v>12</v>
      </c>
      <c r="G41" s="12">
        <v>561</v>
      </c>
      <c r="H41" s="121">
        <v>11.22</v>
      </c>
      <c r="I41" s="179" t="s">
        <v>552</v>
      </c>
      <c r="J41" s="179">
        <v>3</v>
      </c>
      <c r="M41" s="179">
        <v>46032.390972222223</v>
      </c>
      <c r="N41" s="179" t="s">
        <v>528</v>
      </c>
      <c r="S41" s="179">
        <v>0</v>
      </c>
      <c r="W41" s="179" t="s">
        <v>528</v>
      </c>
      <c r="X41" s="12">
        <v>46032.39166666667</v>
      </c>
      <c r="Y41" s="12" t="s">
        <v>529</v>
      </c>
      <c r="AB41" s="12" t="s">
        <v>525</v>
      </c>
      <c r="AC41" s="12" t="s">
        <v>526</v>
      </c>
    </row>
    <row r="42" spans="1:29">
      <c r="A42" s="12" t="s">
        <v>361</v>
      </c>
      <c r="B42" s="12" t="s">
        <v>1</v>
      </c>
      <c r="C42" s="12" t="s">
        <v>347</v>
      </c>
      <c r="D42" s="12">
        <v>33</v>
      </c>
      <c r="E42" s="12">
        <v>49</v>
      </c>
      <c r="F42" s="12">
        <v>34</v>
      </c>
      <c r="G42" s="12">
        <v>2029</v>
      </c>
      <c r="H42" s="121">
        <v>33.81666666666667</v>
      </c>
      <c r="I42" s="179" t="s">
        <v>548</v>
      </c>
      <c r="J42" s="179">
        <v>4</v>
      </c>
      <c r="M42" s="179">
        <v>46032.390972222223</v>
      </c>
      <c r="N42" s="179" t="s">
        <v>549</v>
      </c>
      <c r="S42" s="179">
        <v>0</v>
      </c>
      <c r="W42" s="179" t="s">
        <v>549</v>
      </c>
      <c r="X42" s="12">
        <v>46032.39166666667</v>
      </c>
      <c r="Y42" s="12" t="s">
        <v>541</v>
      </c>
      <c r="AB42" s="12" t="s">
        <v>525</v>
      </c>
      <c r="AC42" s="12" t="s">
        <v>526</v>
      </c>
    </row>
    <row r="43" spans="1:29">
      <c r="A43" s="12" t="s">
        <v>98</v>
      </c>
      <c r="B43" s="12" t="s">
        <v>1</v>
      </c>
      <c r="C43" s="12" t="s">
        <v>58</v>
      </c>
      <c r="D43" s="12">
        <v>26</v>
      </c>
      <c r="E43" s="12">
        <v>49</v>
      </c>
      <c r="F43" s="12">
        <v>27</v>
      </c>
      <c r="G43" s="12">
        <v>1609</v>
      </c>
      <c r="H43" s="121">
        <v>26.816666666666666</v>
      </c>
      <c r="I43" s="179" t="s">
        <v>548</v>
      </c>
      <c r="J43" s="179">
        <v>5</v>
      </c>
      <c r="M43" s="179">
        <v>46032.39166666667</v>
      </c>
      <c r="N43" s="179" t="s">
        <v>549</v>
      </c>
      <c r="S43" s="179">
        <v>0</v>
      </c>
      <c r="W43" s="179" t="s">
        <v>549</v>
      </c>
      <c r="X43" s="12">
        <v>46032.392361111109</v>
      </c>
      <c r="Y43" s="12" t="s">
        <v>541</v>
      </c>
      <c r="AB43" s="12" t="s">
        <v>525</v>
      </c>
      <c r="AC43" s="12" t="s">
        <v>526</v>
      </c>
    </row>
    <row r="44" spans="1:29">
      <c r="A44" s="12" t="s">
        <v>146</v>
      </c>
      <c r="B44" s="12" t="s">
        <v>1</v>
      </c>
      <c r="C44" s="12" t="s">
        <v>140</v>
      </c>
      <c r="D44" s="12">
        <v>136</v>
      </c>
      <c r="E44" s="12">
        <v>53</v>
      </c>
      <c r="F44" s="12">
        <v>137</v>
      </c>
      <c r="G44" s="12">
        <v>8213</v>
      </c>
      <c r="H44" s="121">
        <v>136.88333333333333</v>
      </c>
      <c r="I44" s="179" t="s">
        <v>542</v>
      </c>
      <c r="J44" s="179">
        <v>1</v>
      </c>
      <c r="M44" s="179">
        <v>46032.39166666667</v>
      </c>
      <c r="N44" s="179" t="s">
        <v>523</v>
      </c>
      <c r="S44" s="179">
        <v>0</v>
      </c>
      <c r="W44" s="179" t="s">
        <v>523</v>
      </c>
      <c r="X44" s="12">
        <v>46032.392361111109</v>
      </c>
      <c r="Y44" s="12" t="s">
        <v>524</v>
      </c>
      <c r="AB44" s="12" t="s">
        <v>525</v>
      </c>
      <c r="AC44" s="12" t="s">
        <v>526</v>
      </c>
    </row>
    <row r="45" spans="1:29">
      <c r="A45" s="12" t="s">
        <v>293</v>
      </c>
      <c r="B45" s="12" t="s">
        <v>1</v>
      </c>
      <c r="C45" s="12" t="s">
        <v>240</v>
      </c>
      <c r="D45" s="12">
        <v>155</v>
      </c>
      <c r="E45" s="12">
        <v>59</v>
      </c>
      <c r="F45" s="12">
        <v>156</v>
      </c>
      <c r="G45" s="12">
        <v>9359</v>
      </c>
      <c r="H45" s="121">
        <v>155.98333333333332</v>
      </c>
      <c r="I45" s="179" t="s">
        <v>558</v>
      </c>
      <c r="J45" s="179">
        <v>1</v>
      </c>
      <c r="M45" s="179">
        <v>46032.392361111109</v>
      </c>
      <c r="N45" s="179" t="s">
        <v>539</v>
      </c>
      <c r="S45" s="179">
        <v>0</v>
      </c>
      <c r="W45" s="179" t="s">
        <v>539</v>
      </c>
      <c r="X45" s="12">
        <v>46032.392361111109</v>
      </c>
      <c r="Y45" s="12" t="s">
        <v>540</v>
      </c>
      <c r="AB45" s="12" t="s">
        <v>525</v>
      </c>
      <c r="AC45" s="12" t="s">
        <v>526</v>
      </c>
    </row>
    <row r="46" spans="1:29">
      <c r="A46" s="12" t="s">
        <v>275</v>
      </c>
      <c r="B46" s="12" t="s">
        <v>1</v>
      </c>
      <c r="C46" s="12" t="s">
        <v>240</v>
      </c>
      <c r="D46" s="12">
        <v>91</v>
      </c>
      <c r="E46" s="12">
        <v>11</v>
      </c>
      <c r="F46" s="12">
        <v>92</v>
      </c>
      <c r="G46" s="12">
        <v>5471</v>
      </c>
      <c r="H46" s="121">
        <v>91.183333333333337</v>
      </c>
      <c r="I46" s="179" t="s">
        <v>553</v>
      </c>
      <c r="J46" s="179">
        <v>1</v>
      </c>
      <c r="M46" s="179">
        <v>46032.392361111109</v>
      </c>
      <c r="N46" s="179" t="s">
        <v>531</v>
      </c>
      <c r="S46" s="179">
        <v>0</v>
      </c>
      <c r="W46" s="179" t="s">
        <v>531</v>
      </c>
      <c r="X46" s="12">
        <v>46032.392361111109</v>
      </c>
      <c r="Y46" s="12" t="s">
        <v>541</v>
      </c>
      <c r="AB46" s="12" t="s">
        <v>525</v>
      </c>
      <c r="AC46" s="12" t="s">
        <v>526</v>
      </c>
    </row>
    <row r="47" spans="1:29">
      <c r="A47" s="12" t="s">
        <v>320</v>
      </c>
      <c r="B47" s="12" t="s">
        <v>1</v>
      </c>
      <c r="C47" s="12" t="s">
        <v>314</v>
      </c>
      <c r="D47" s="12">
        <v>15</v>
      </c>
      <c r="E47" s="12">
        <v>10</v>
      </c>
      <c r="F47" s="12">
        <v>16</v>
      </c>
      <c r="G47" s="12">
        <v>760</v>
      </c>
      <c r="H47" s="121">
        <v>15.2</v>
      </c>
      <c r="I47" s="179" t="s">
        <v>552</v>
      </c>
      <c r="J47" s="179">
        <v>4</v>
      </c>
      <c r="M47" s="179">
        <v>46032.392361111109</v>
      </c>
      <c r="N47" s="179" t="s">
        <v>528</v>
      </c>
      <c r="S47" s="179">
        <v>0</v>
      </c>
      <c r="W47" s="179" t="s">
        <v>528</v>
      </c>
      <c r="X47" s="12">
        <v>46032.392361111109</v>
      </c>
      <c r="Y47" s="12" t="s">
        <v>529</v>
      </c>
      <c r="AB47" s="12" t="s">
        <v>525</v>
      </c>
      <c r="AC47" s="12" t="s">
        <v>526</v>
      </c>
    </row>
    <row r="48" spans="1:29">
      <c r="A48" s="12" t="s">
        <v>136</v>
      </c>
      <c r="B48" s="12" t="s">
        <v>1</v>
      </c>
      <c r="C48" s="12" t="s">
        <v>133</v>
      </c>
      <c r="D48" s="12">
        <v>168</v>
      </c>
      <c r="E48" s="12">
        <v>35</v>
      </c>
      <c r="F48" s="12">
        <v>169</v>
      </c>
      <c r="G48" s="12">
        <v>10115</v>
      </c>
      <c r="H48" s="121">
        <v>168.58333333333334</v>
      </c>
      <c r="I48" s="179" t="s">
        <v>554</v>
      </c>
      <c r="J48" s="179">
        <v>1</v>
      </c>
      <c r="M48" s="179">
        <v>46032.392361111109</v>
      </c>
      <c r="N48" s="179" t="s">
        <v>551</v>
      </c>
      <c r="S48" s="179">
        <v>0</v>
      </c>
      <c r="W48" s="179" t="s">
        <v>551</v>
      </c>
      <c r="X48" s="12">
        <v>46032.396527777775</v>
      </c>
      <c r="Y48" s="12" t="s">
        <v>529</v>
      </c>
      <c r="AB48" s="12" t="s">
        <v>525</v>
      </c>
      <c r="AC48" s="12" t="s">
        <v>526</v>
      </c>
    </row>
    <row r="49" spans="1:29">
      <c r="A49" s="12" t="s">
        <v>99</v>
      </c>
      <c r="B49" s="12" t="s">
        <v>1</v>
      </c>
      <c r="C49" s="12" t="s">
        <v>58</v>
      </c>
      <c r="D49" s="12">
        <v>10</v>
      </c>
      <c r="E49" s="12">
        <v>66</v>
      </c>
      <c r="F49" s="12">
        <v>11</v>
      </c>
      <c r="G49" s="12">
        <v>666</v>
      </c>
      <c r="H49" s="121">
        <v>11.1</v>
      </c>
      <c r="I49" s="179" t="s">
        <v>548</v>
      </c>
      <c r="J49" s="179">
        <v>6</v>
      </c>
      <c r="M49" s="179">
        <v>46032.392361111109</v>
      </c>
      <c r="N49" s="179" t="s">
        <v>549</v>
      </c>
      <c r="S49" s="179">
        <v>0</v>
      </c>
      <c r="W49" s="179" t="s">
        <v>549</v>
      </c>
      <c r="X49" s="12">
        <v>46032.393055555556</v>
      </c>
      <c r="Y49" s="12" t="s">
        <v>541</v>
      </c>
      <c r="AB49" s="12" t="s">
        <v>525</v>
      </c>
      <c r="AC49" s="12" t="s">
        <v>526</v>
      </c>
    </row>
    <row r="50" spans="1:29">
      <c r="A50" s="12" t="s">
        <v>298</v>
      </c>
      <c r="B50" s="12" t="s">
        <v>1</v>
      </c>
      <c r="C50" s="12" t="s">
        <v>240</v>
      </c>
      <c r="D50" s="12">
        <v>147</v>
      </c>
      <c r="E50" s="12">
        <v>38</v>
      </c>
      <c r="F50" s="12">
        <v>148</v>
      </c>
      <c r="G50" s="12">
        <v>8858</v>
      </c>
      <c r="H50" s="121">
        <v>147.63333333333333</v>
      </c>
      <c r="I50" s="179" t="s">
        <v>555</v>
      </c>
      <c r="J50" s="179">
        <v>1</v>
      </c>
      <c r="M50" s="179">
        <v>46032.392361111109</v>
      </c>
      <c r="N50" s="179" t="s">
        <v>556</v>
      </c>
      <c r="S50" s="179">
        <v>0</v>
      </c>
      <c r="W50" s="179" t="s">
        <v>556</v>
      </c>
      <c r="X50" s="12">
        <v>46032.4</v>
      </c>
      <c r="Y50" s="12" t="s">
        <v>559</v>
      </c>
      <c r="AB50" s="12" t="s">
        <v>525</v>
      </c>
      <c r="AC50" s="12" t="s">
        <v>526</v>
      </c>
    </row>
    <row r="51" spans="1:29">
      <c r="A51" s="12" t="s">
        <v>269</v>
      </c>
      <c r="B51" s="12" t="s">
        <v>1</v>
      </c>
      <c r="C51" s="12" t="s">
        <v>240</v>
      </c>
      <c r="D51" s="12">
        <v>267</v>
      </c>
      <c r="E51" s="12">
        <v>18</v>
      </c>
      <c r="F51" s="12">
        <v>268</v>
      </c>
      <c r="G51" s="12">
        <v>16038</v>
      </c>
      <c r="H51" s="121">
        <v>267.3</v>
      </c>
      <c r="I51" s="179" t="s">
        <v>538</v>
      </c>
      <c r="J51" s="179">
        <v>1</v>
      </c>
      <c r="M51" s="179">
        <v>46032.393055555556</v>
      </c>
      <c r="N51" s="179" t="s">
        <v>534</v>
      </c>
      <c r="S51" s="179">
        <v>0</v>
      </c>
      <c r="W51" s="179" t="s">
        <v>534</v>
      </c>
      <c r="X51" s="12">
        <v>46032.393055555556</v>
      </c>
      <c r="Y51" s="12" t="s">
        <v>546</v>
      </c>
      <c r="AB51" s="12" t="s">
        <v>525</v>
      </c>
      <c r="AC51" s="12" t="s">
        <v>526</v>
      </c>
    </row>
    <row r="52" spans="1:29">
      <c r="A52" s="12" t="s">
        <v>155</v>
      </c>
      <c r="B52" s="12" t="s">
        <v>1</v>
      </c>
      <c r="C52" s="12" t="s">
        <v>314</v>
      </c>
      <c r="D52" s="12">
        <v>28</v>
      </c>
      <c r="E52" s="12">
        <v>21</v>
      </c>
      <c r="F52" s="12">
        <v>29</v>
      </c>
      <c r="G52" s="12">
        <v>1421</v>
      </c>
      <c r="H52" s="121">
        <v>28.42</v>
      </c>
      <c r="I52" s="179" t="s">
        <v>552</v>
      </c>
      <c r="J52" s="179">
        <v>5</v>
      </c>
      <c r="M52" s="179">
        <v>46032.393055555556</v>
      </c>
      <c r="N52" s="179" t="s">
        <v>528</v>
      </c>
      <c r="S52" s="179">
        <v>0</v>
      </c>
      <c r="W52" s="179" t="s">
        <v>528</v>
      </c>
      <c r="X52" s="12">
        <v>46032.393055555556</v>
      </c>
      <c r="Y52" s="12" t="s">
        <v>529</v>
      </c>
      <c r="AB52" s="12" t="s">
        <v>525</v>
      </c>
      <c r="AC52" s="12" t="s">
        <v>526</v>
      </c>
    </row>
    <row r="53" spans="1:29">
      <c r="A53" s="12" t="s">
        <v>294</v>
      </c>
      <c r="B53" s="12" t="s">
        <v>1</v>
      </c>
      <c r="C53" s="12" t="s">
        <v>240</v>
      </c>
      <c r="D53" s="12">
        <v>137</v>
      </c>
      <c r="E53" s="12">
        <v>23</v>
      </c>
      <c r="F53" s="12">
        <v>138</v>
      </c>
      <c r="G53" s="12">
        <v>8243</v>
      </c>
      <c r="H53" s="121">
        <v>137.38333333333333</v>
      </c>
      <c r="I53" s="179" t="s">
        <v>553</v>
      </c>
      <c r="J53" s="179">
        <v>1</v>
      </c>
      <c r="M53" s="179">
        <v>46032.393750000003</v>
      </c>
      <c r="N53" s="179" t="s">
        <v>531</v>
      </c>
      <c r="S53" s="179">
        <v>0</v>
      </c>
      <c r="W53" s="179" t="s">
        <v>531</v>
      </c>
      <c r="X53" s="12">
        <v>46032.393750000003</v>
      </c>
      <c r="Y53" s="12" t="s">
        <v>560</v>
      </c>
      <c r="AB53" s="12" t="s">
        <v>525</v>
      </c>
      <c r="AC53" s="12" t="s">
        <v>526</v>
      </c>
    </row>
    <row r="54" spans="1:29">
      <c r="A54" s="12" t="s">
        <v>342</v>
      </c>
      <c r="B54" s="12" t="s">
        <v>1</v>
      </c>
      <c r="C54" s="12" t="s">
        <v>341</v>
      </c>
      <c r="D54" s="12">
        <v>63</v>
      </c>
      <c r="E54" s="12">
        <v>20</v>
      </c>
      <c r="F54" s="12">
        <v>64</v>
      </c>
      <c r="G54" s="12">
        <v>3800</v>
      </c>
      <c r="H54" s="121">
        <v>63.333333333333336</v>
      </c>
      <c r="I54" s="179" t="s">
        <v>561</v>
      </c>
      <c r="J54" s="179">
        <v>1</v>
      </c>
      <c r="M54" s="179">
        <v>46032.393750000003</v>
      </c>
      <c r="N54" s="179" t="s">
        <v>549</v>
      </c>
      <c r="S54" s="179">
        <v>0</v>
      </c>
      <c r="W54" s="179" t="s">
        <v>549</v>
      </c>
      <c r="X54" s="12">
        <v>46032.393750000003</v>
      </c>
      <c r="Y54" s="12" t="s">
        <v>541</v>
      </c>
      <c r="AB54" s="12" t="s">
        <v>525</v>
      </c>
      <c r="AC54" s="12" t="s">
        <v>526</v>
      </c>
    </row>
    <row r="55" spans="1:29">
      <c r="A55" s="12" t="s">
        <v>186</v>
      </c>
      <c r="B55" s="12" t="s">
        <v>1</v>
      </c>
      <c r="C55" s="12" t="s">
        <v>162</v>
      </c>
      <c r="D55" s="12">
        <v>175</v>
      </c>
      <c r="E55" s="12">
        <v>19</v>
      </c>
      <c r="F55" s="12">
        <v>176</v>
      </c>
      <c r="G55" s="12">
        <v>10519</v>
      </c>
      <c r="H55" s="121">
        <v>175.31666666666666</v>
      </c>
      <c r="I55" s="179" t="s">
        <v>544</v>
      </c>
      <c r="J55" s="179">
        <v>1</v>
      </c>
      <c r="M55" s="179">
        <v>46032.393750000003</v>
      </c>
      <c r="N55" s="179" t="s">
        <v>562</v>
      </c>
      <c r="S55" s="179">
        <v>0</v>
      </c>
      <c r="W55" s="179" t="s">
        <v>562</v>
      </c>
      <c r="X55" s="12">
        <v>46032.394444444442</v>
      </c>
      <c r="Y55" s="12" t="s">
        <v>524</v>
      </c>
      <c r="AB55" s="12" t="s">
        <v>525</v>
      </c>
      <c r="AC55" s="12" t="s">
        <v>526</v>
      </c>
    </row>
    <row r="56" spans="1:29">
      <c r="A56" s="12" t="s">
        <v>312</v>
      </c>
      <c r="B56" s="12" t="s">
        <v>1</v>
      </c>
      <c r="C56" s="12" t="s">
        <v>311</v>
      </c>
      <c r="D56" s="12">
        <v>10</v>
      </c>
      <c r="E56" s="12">
        <v>42</v>
      </c>
      <c r="F56" s="12">
        <v>11</v>
      </c>
      <c r="G56" s="12">
        <v>642</v>
      </c>
      <c r="H56" s="121">
        <v>10.7</v>
      </c>
      <c r="I56" s="179" t="s">
        <v>555</v>
      </c>
      <c r="J56" s="179">
        <v>1</v>
      </c>
      <c r="M56" s="179">
        <v>46032.393750000003</v>
      </c>
      <c r="N56" s="179" t="s">
        <v>556</v>
      </c>
      <c r="S56" s="179">
        <v>0</v>
      </c>
      <c r="W56" s="179" t="s">
        <v>556</v>
      </c>
      <c r="X56" s="12">
        <v>46032.4</v>
      </c>
      <c r="Y56" s="12" t="s">
        <v>559</v>
      </c>
      <c r="AB56" s="12" t="s">
        <v>525</v>
      </c>
      <c r="AC56" s="12" t="s">
        <v>526</v>
      </c>
    </row>
    <row r="57" spans="1:29">
      <c r="A57" s="12" t="s">
        <v>390</v>
      </c>
      <c r="B57" s="12" t="s">
        <v>1</v>
      </c>
      <c r="C57" s="12" t="s">
        <v>373</v>
      </c>
      <c r="D57" s="12">
        <v>39</v>
      </c>
      <c r="E57" s="12">
        <v>14</v>
      </c>
      <c r="F57" s="12">
        <v>40</v>
      </c>
      <c r="G57" s="12">
        <v>2354</v>
      </c>
      <c r="H57" s="121">
        <v>39.233333333333334</v>
      </c>
      <c r="I57" s="179" t="s">
        <v>552</v>
      </c>
      <c r="J57" s="179">
        <v>1</v>
      </c>
      <c r="M57" s="179">
        <v>46032.393750000003</v>
      </c>
      <c r="N57" s="179" t="s">
        <v>528</v>
      </c>
      <c r="S57" s="179">
        <v>0</v>
      </c>
      <c r="W57" s="179" t="s">
        <v>528</v>
      </c>
      <c r="X57" s="12">
        <v>46032.394444444442</v>
      </c>
      <c r="Y57" s="12" t="s">
        <v>529</v>
      </c>
      <c r="AB57" s="12" t="s">
        <v>525</v>
      </c>
      <c r="AC57" s="12" t="s">
        <v>526</v>
      </c>
    </row>
    <row r="58" spans="1:29">
      <c r="A58" s="12" t="s">
        <v>153</v>
      </c>
      <c r="B58" s="12" t="s">
        <v>1</v>
      </c>
      <c r="C58" s="12" t="s">
        <v>154</v>
      </c>
      <c r="D58" s="12">
        <v>48</v>
      </c>
      <c r="E58" s="12">
        <v>30</v>
      </c>
      <c r="F58" s="12">
        <v>49</v>
      </c>
      <c r="G58" s="12">
        <v>2910</v>
      </c>
      <c r="H58" s="121">
        <v>48.5</v>
      </c>
      <c r="I58" s="179" t="s">
        <v>563</v>
      </c>
      <c r="J58" s="179">
        <v>1</v>
      </c>
      <c r="M58" s="179">
        <v>46032.394444444442</v>
      </c>
      <c r="N58" s="179" t="s">
        <v>551</v>
      </c>
      <c r="S58" s="179">
        <v>0</v>
      </c>
      <c r="W58" s="179" t="s">
        <v>551</v>
      </c>
      <c r="X58" s="12">
        <v>46032.394444444442</v>
      </c>
      <c r="AB58" s="12" t="s">
        <v>525</v>
      </c>
      <c r="AC58" s="12" t="s">
        <v>526</v>
      </c>
    </row>
    <row r="59" spans="1:29">
      <c r="A59" s="12" t="s">
        <v>248</v>
      </c>
      <c r="B59" s="12" t="s">
        <v>1</v>
      </c>
      <c r="C59" s="12" t="s">
        <v>240</v>
      </c>
      <c r="D59" s="12">
        <v>127</v>
      </c>
      <c r="E59" s="12">
        <v>4</v>
      </c>
      <c r="F59" s="12">
        <v>128</v>
      </c>
      <c r="G59" s="12">
        <v>7624</v>
      </c>
      <c r="H59" s="121">
        <v>127.06666666666666</v>
      </c>
      <c r="I59" s="179" t="s">
        <v>564</v>
      </c>
      <c r="J59" s="179">
        <v>1</v>
      </c>
      <c r="M59" s="179">
        <v>46032.394444444442</v>
      </c>
      <c r="N59" s="179" t="s">
        <v>523</v>
      </c>
      <c r="S59" s="179">
        <v>0</v>
      </c>
      <c r="W59" s="179" t="s">
        <v>523</v>
      </c>
      <c r="X59" s="12">
        <v>46032.394444444442</v>
      </c>
      <c r="Y59" s="12" t="s">
        <v>524</v>
      </c>
      <c r="AB59" s="12" t="s">
        <v>525</v>
      </c>
      <c r="AC59" s="12" t="s">
        <v>526</v>
      </c>
    </row>
    <row r="60" spans="1:29">
      <c r="A60" s="12" t="s">
        <v>286</v>
      </c>
      <c r="B60" s="12" t="s">
        <v>1</v>
      </c>
      <c r="C60" s="12" t="s">
        <v>373</v>
      </c>
      <c r="D60" s="12">
        <v>20</v>
      </c>
      <c r="E60" s="12">
        <v>52</v>
      </c>
      <c r="F60" s="12">
        <v>21</v>
      </c>
      <c r="G60" s="12">
        <v>1252</v>
      </c>
      <c r="H60" s="121">
        <v>20.866666666666667</v>
      </c>
      <c r="I60" s="179" t="s">
        <v>558</v>
      </c>
      <c r="J60" s="179">
        <v>1</v>
      </c>
      <c r="M60" s="179">
        <v>46032.394444444442</v>
      </c>
      <c r="N60" s="179" t="s">
        <v>539</v>
      </c>
      <c r="S60" s="179">
        <v>0</v>
      </c>
      <c r="W60" s="179" t="s">
        <v>539</v>
      </c>
      <c r="X60" s="12">
        <v>46032.394444444442</v>
      </c>
      <c r="Y60" s="12" t="s">
        <v>540</v>
      </c>
      <c r="AB60" s="12" t="s">
        <v>525</v>
      </c>
      <c r="AC60" s="12" t="s">
        <v>526</v>
      </c>
    </row>
    <row r="61" spans="1:29">
      <c r="A61" s="12" t="s">
        <v>378</v>
      </c>
      <c r="B61" s="12" t="s">
        <v>1</v>
      </c>
      <c r="C61" s="12" t="s">
        <v>240</v>
      </c>
      <c r="D61" s="12">
        <v>73</v>
      </c>
      <c r="E61" s="12">
        <v>65</v>
      </c>
      <c r="F61" s="12">
        <v>74</v>
      </c>
      <c r="G61" s="12">
        <v>4445</v>
      </c>
      <c r="H61" s="121">
        <v>74.083333333333329</v>
      </c>
      <c r="I61" s="179" t="s">
        <v>565</v>
      </c>
      <c r="J61" s="179">
        <v>1</v>
      </c>
      <c r="M61" s="179">
        <v>46032.394444444442</v>
      </c>
      <c r="N61" s="179" t="s">
        <v>531</v>
      </c>
      <c r="S61" s="179">
        <v>0</v>
      </c>
      <c r="W61" s="179" t="s">
        <v>531</v>
      </c>
      <c r="X61" s="12">
        <v>46032.394444444442</v>
      </c>
      <c r="Y61" s="12" t="s">
        <v>537</v>
      </c>
      <c r="AB61" s="12" t="s">
        <v>525</v>
      </c>
      <c r="AC61" s="12" t="s">
        <v>526</v>
      </c>
    </row>
    <row r="62" spans="1:29">
      <c r="A62" s="12" t="s">
        <v>158</v>
      </c>
      <c r="B62" s="12" t="s">
        <v>1</v>
      </c>
      <c r="C62" s="12" t="s">
        <v>154</v>
      </c>
      <c r="D62" s="12">
        <v>9</v>
      </c>
      <c r="E62" s="12">
        <v>14</v>
      </c>
      <c r="F62" s="12">
        <v>10</v>
      </c>
      <c r="G62" s="12">
        <v>554</v>
      </c>
      <c r="H62" s="121">
        <v>9.2333333333333325</v>
      </c>
      <c r="I62" s="179" t="s">
        <v>554</v>
      </c>
      <c r="J62" s="179">
        <v>2</v>
      </c>
      <c r="M62" s="179">
        <v>46032.394444444442</v>
      </c>
      <c r="N62" s="179" t="s">
        <v>551</v>
      </c>
      <c r="S62" s="179">
        <v>0</v>
      </c>
      <c r="W62" s="179" t="s">
        <v>551</v>
      </c>
      <c r="X62" s="12">
        <v>46032.394444444442</v>
      </c>
      <c r="AB62" s="12" t="s">
        <v>525</v>
      </c>
      <c r="AC62" s="12" t="s">
        <v>526</v>
      </c>
    </row>
    <row r="63" spans="1:29">
      <c r="A63" s="12" t="s">
        <v>379</v>
      </c>
      <c r="B63" s="12" t="s">
        <v>1</v>
      </c>
      <c r="C63" s="12" t="s">
        <v>373</v>
      </c>
      <c r="D63" s="12">
        <v>16</v>
      </c>
      <c r="E63" s="12">
        <v>51</v>
      </c>
      <c r="F63" s="12">
        <v>17</v>
      </c>
      <c r="G63" s="12">
        <v>1011</v>
      </c>
      <c r="H63" s="121">
        <v>16.850000000000001</v>
      </c>
      <c r="I63" s="179" t="s">
        <v>552</v>
      </c>
      <c r="J63" s="179">
        <v>2</v>
      </c>
      <c r="M63" s="179">
        <v>46032.395138888889</v>
      </c>
      <c r="N63" s="179" t="s">
        <v>528</v>
      </c>
      <c r="S63" s="179">
        <v>0</v>
      </c>
      <c r="W63" s="179" t="s">
        <v>528</v>
      </c>
      <c r="X63" s="12">
        <v>46032.395138888889</v>
      </c>
      <c r="Y63" s="12" t="s">
        <v>529</v>
      </c>
      <c r="AB63" s="12" t="s">
        <v>525</v>
      </c>
      <c r="AC63" s="12" t="s">
        <v>526</v>
      </c>
    </row>
    <row r="64" spans="1:29">
      <c r="A64" s="12" t="s">
        <v>287</v>
      </c>
      <c r="B64" s="12" t="s">
        <v>1</v>
      </c>
      <c r="C64" s="12" t="s">
        <v>373</v>
      </c>
      <c r="D64" s="12">
        <v>13</v>
      </c>
      <c r="E64" s="12">
        <v>47</v>
      </c>
      <c r="F64" s="12">
        <v>14</v>
      </c>
      <c r="G64" s="12">
        <v>827</v>
      </c>
      <c r="H64" s="121">
        <v>13.783333333333333</v>
      </c>
      <c r="I64" s="179" t="s">
        <v>558</v>
      </c>
      <c r="J64" s="179">
        <v>2</v>
      </c>
      <c r="M64" s="179">
        <v>46032.395138888889</v>
      </c>
      <c r="N64" s="179" t="s">
        <v>539</v>
      </c>
      <c r="S64" s="179">
        <v>0</v>
      </c>
      <c r="W64" s="179" t="s">
        <v>539</v>
      </c>
      <c r="X64" s="12">
        <v>46032.395138888889</v>
      </c>
      <c r="Y64" s="12" t="s">
        <v>540</v>
      </c>
      <c r="AB64" s="12" t="s">
        <v>525</v>
      </c>
      <c r="AC64" s="12" t="s">
        <v>526</v>
      </c>
    </row>
    <row r="65" spans="1:29">
      <c r="A65" s="12" t="s">
        <v>245</v>
      </c>
      <c r="B65" s="12" t="s">
        <v>1</v>
      </c>
      <c r="C65" s="12" t="s">
        <v>240</v>
      </c>
      <c r="D65" s="12">
        <v>79</v>
      </c>
      <c r="E65" s="12">
        <v>38</v>
      </c>
      <c r="F65" s="12">
        <v>80</v>
      </c>
      <c r="G65" s="12">
        <v>4778</v>
      </c>
      <c r="H65" s="121">
        <v>79.63333333333334</v>
      </c>
      <c r="I65" s="179" t="s">
        <v>565</v>
      </c>
      <c r="J65" s="179">
        <v>1</v>
      </c>
      <c r="M65" s="179">
        <v>46032.395138888889</v>
      </c>
      <c r="N65" s="179" t="s">
        <v>531</v>
      </c>
      <c r="S65" s="179">
        <v>0</v>
      </c>
      <c r="W65" s="179" t="s">
        <v>531</v>
      </c>
      <c r="X65" s="12">
        <v>46032.395138888889</v>
      </c>
      <c r="Y65" s="12" t="s">
        <v>537</v>
      </c>
      <c r="AB65" s="12" t="s">
        <v>525</v>
      </c>
      <c r="AC65" s="12" t="s">
        <v>526</v>
      </c>
    </row>
    <row r="66" spans="1:29">
      <c r="A66" s="12" t="s">
        <v>35</v>
      </c>
      <c r="B66" s="12" t="s">
        <v>1</v>
      </c>
      <c r="C66" s="12" t="s">
        <v>36</v>
      </c>
      <c r="D66" s="12">
        <v>53</v>
      </c>
      <c r="E66" s="12">
        <v>43</v>
      </c>
      <c r="F66" s="12">
        <v>54</v>
      </c>
      <c r="G66" s="12">
        <v>3223</v>
      </c>
      <c r="H66" s="121">
        <v>53.716666666666669</v>
      </c>
      <c r="I66" s="179" t="s">
        <v>561</v>
      </c>
      <c r="J66" s="179">
        <v>1</v>
      </c>
      <c r="M66" s="179">
        <v>46032.395138888889</v>
      </c>
      <c r="N66" s="179" t="s">
        <v>549</v>
      </c>
      <c r="S66" s="179">
        <v>0</v>
      </c>
      <c r="W66" s="179" t="s">
        <v>549</v>
      </c>
      <c r="X66" s="12">
        <v>46032.395138888889</v>
      </c>
      <c r="Y66" s="12" t="s">
        <v>541</v>
      </c>
      <c r="AB66" s="12" t="s">
        <v>525</v>
      </c>
      <c r="AC66" s="12" t="s">
        <v>526</v>
      </c>
    </row>
    <row r="67" spans="1:29">
      <c r="A67" s="12" t="s">
        <v>566</v>
      </c>
      <c r="B67" s="12" t="s">
        <v>1</v>
      </c>
      <c r="C67" s="12" t="s">
        <v>197</v>
      </c>
      <c r="D67" s="12">
        <v>0</v>
      </c>
      <c r="E67" s="12">
        <v>0</v>
      </c>
      <c r="F67" s="12">
        <v>0</v>
      </c>
      <c r="G67" s="12">
        <v>0</v>
      </c>
      <c r="H67" s="121">
        <v>0</v>
      </c>
      <c r="I67" s="179" t="s">
        <v>555</v>
      </c>
      <c r="J67" s="179">
        <v>1</v>
      </c>
      <c r="M67" s="179">
        <v>46032.395138888889</v>
      </c>
      <c r="N67" s="179" t="s">
        <v>556</v>
      </c>
      <c r="S67" s="179">
        <v>0</v>
      </c>
      <c r="W67" s="179" t="s">
        <v>556</v>
      </c>
      <c r="X67" s="12">
        <v>46032.4</v>
      </c>
      <c r="Y67" s="12" t="s">
        <v>559</v>
      </c>
      <c r="AB67" s="12" t="s">
        <v>525</v>
      </c>
      <c r="AC67" s="12" t="s">
        <v>526</v>
      </c>
    </row>
    <row r="68" spans="1:29">
      <c r="A68" s="12" t="s">
        <v>138</v>
      </c>
      <c r="B68" s="12" t="s">
        <v>1</v>
      </c>
      <c r="C68" s="12" t="s">
        <v>133</v>
      </c>
      <c r="D68" s="12">
        <v>158</v>
      </c>
      <c r="E68" s="12">
        <v>0</v>
      </c>
      <c r="F68" s="12">
        <v>158</v>
      </c>
      <c r="G68" s="12">
        <v>9480</v>
      </c>
      <c r="H68" s="121">
        <v>158</v>
      </c>
      <c r="I68" s="179" t="s">
        <v>533</v>
      </c>
      <c r="J68" s="179">
        <v>1</v>
      </c>
      <c r="M68" s="179">
        <v>46032.395138888889</v>
      </c>
      <c r="N68" s="179" t="s">
        <v>534</v>
      </c>
      <c r="S68" s="179">
        <v>0</v>
      </c>
      <c r="W68" s="179" t="s">
        <v>534</v>
      </c>
      <c r="X68" s="12">
        <v>46032.395833333336</v>
      </c>
      <c r="Y68" s="12" t="s">
        <v>546</v>
      </c>
      <c r="AB68" s="12" t="s">
        <v>525</v>
      </c>
      <c r="AC68" s="12" t="s">
        <v>526</v>
      </c>
    </row>
    <row r="69" spans="1:29">
      <c r="A69" s="12" t="s">
        <v>156</v>
      </c>
      <c r="B69" s="12" t="s">
        <v>1</v>
      </c>
      <c r="C69" s="12" t="s">
        <v>154</v>
      </c>
      <c r="D69" s="12">
        <v>8</v>
      </c>
      <c r="E69" s="12">
        <v>54</v>
      </c>
      <c r="F69" s="12">
        <v>9</v>
      </c>
      <c r="G69" s="12">
        <v>534</v>
      </c>
      <c r="H69" s="121">
        <v>8.9</v>
      </c>
      <c r="I69" s="179" t="s">
        <v>554</v>
      </c>
      <c r="J69" s="179">
        <v>3</v>
      </c>
      <c r="M69" s="179">
        <v>46032.395833333336</v>
      </c>
      <c r="N69" s="179" t="s">
        <v>551</v>
      </c>
      <c r="S69" s="179">
        <v>0</v>
      </c>
      <c r="W69" s="179" t="s">
        <v>551</v>
      </c>
      <c r="X69" s="12">
        <v>46032.395833333336</v>
      </c>
      <c r="AB69" s="12" t="s">
        <v>525</v>
      </c>
      <c r="AC69" s="12" t="s">
        <v>526</v>
      </c>
    </row>
    <row r="70" spans="1:29">
      <c r="A70" s="12" t="s">
        <v>262</v>
      </c>
      <c r="B70" s="12" t="s">
        <v>1</v>
      </c>
      <c r="C70" s="12" t="s">
        <v>240</v>
      </c>
      <c r="D70" s="12">
        <v>178</v>
      </c>
      <c r="E70" s="12">
        <v>10</v>
      </c>
      <c r="F70" s="12">
        <v>179</v>
      </c>
      <c r="G70" s="12">
        <v>10690</v>
      </c>
      <c r="H70" s="121">
        <v>178.16666666666666</v>
      </c>
      <c r="I70" s="179" t="s">
        <v>564</v>
      </c>
      <c r="J70" s="179">
        <v>1</v>
      </c>
      <c r="M70" s="179">
        <v>46032.395833333336</v>
      </c>
      <c r="N70" s="179" t="s">
        <v>523</v>
      </c>
      <c r="S70" s="179">
        <v>0</v>
      </c>
      <c r="W70" s="179" t="s">
        <v>523</v>
      </c>
      <c r="X70" s="12">
        <v>46032.395833333336</v>
      </c>
      <c r="Y70" s="12" t="s">
        <v>524</v>
      </c>
      <c r="AB70" s="12" t="s">
        <v>525</v>
      </c>
      <c r="AC70" s="12" t="s">
        <v>526</v>
      </c>
    </row>
    <row r="71" spans="1:29">
      <c r="A71" s="12" t="s">
        <v>281</v>
      </c>
      <c r="B71" s="12" t="s">
        <v>1</v>
      </c>
      <c r="C71" s="12" t="s">
        <v>373</v>
      </c>
      <c r="D71" s="12">
        <v>14</v>
      </c>
      <c r="E71" s="12">
        <v>59</v>
      </c>
      <c r="F71" s="12">
        <v>15</v>
      </c>
      <c r="G71" s="12">
        <v>899</v>
      </c>
      <c r="H71" s="121">
        <v>14.983333333333333</v>
      </c>
      <c r="I71" s="179" t="s">
        <v>552</v>
      </c>
      <c r="J71" s="179">
        <v>3</v>
      </c>
      <c r="M71" s="179">
        <v>46032.395833333336</v>
      </c>
      <c r="N71" s="179" t="s">
        <v>528</v>
      </c>
      <c r="S71" s="179">
        <v>0</v>
      </c>
      <c r="W71" s="179" t="s">
        <v>528</v>
      </c>
      <c r="X71" s="12">
        <v>46032.395833333336</v>
      </c>
      <c r="Y71" s="12" t="s">
        <v>529</v>
      </c>
      <c r="AB71" s="12" t="s">
        <v>525</v>
      </c>
      <c r="AC71" s="12" t="s">
        <v>526</v>
      </c>
    </row>
    <row r="72" spans="1:29">
      <c r="A72" s="12" t="s">
        <v>386</v>
      </c>
      <c r="B72" s="12" t="s">
        <v>1</v>
      </c>
      <c r="C72" s="12" t="s">
        <v>373</v>
      </c>
      <c r="D72" s="12">
        <v>9</v>
      </c>
      <c r="E72" s="12">
        <v>23</v>
      </c>
      <c r="F72" s="12">
        <v>10</v>
      </c>
      <c r="G72" s="12">
        <v>563</v>
      </c>
      <c r="H72" s="121">
        <v>9.3833333333333329</v>
      </c>
      <c r="I72" s="179" t="s">
        <v>558</v>
      </c>
      <c r="J72" s="179">
        <v>3</v>
      </c>
      <c r="M72" s="179">
        <v>46032.395833333336</v>
      </c>
      <c r="N72" s="179" t="s">
        <v>539</v>
      </c>
      <c r="S72" s="179">
        <v>0</v>
      </c>
      <c r="W72" s="179" t="s">
        <v>539</v>
      </c>
      <c r="X72" s="12">
        <v>46032.395833333336</v>
      </c>
      <c r="Y72" s="12" t="s">
        <v>540</v>
      </c>
      <c r="AB72" s="12" t="s">
        <v>525</v>
      </c>
      <c r="AC72" s="12" t="s">
        <v>526</v>
      </c>
    </row>
    <row r="73" spans="1:29">
      <c r="A73" s="12" t="s">
        <v>242</v>
      </c>
      <c r="B73" s="12" t="s">
        <v>1</v>
      </c>
      <c r="C73" s="12" t="s">
        <v>240</v>
      </c>
      <c r="D73" s="12">
        <v>103</v>
      </c>
      <c r="E73" s="12">
        <v>55</v>
      </c>
      <c r="F73" s="12">
        <v>104</v>
      </c>
      <c r="G73" s="12">
        <v>6235</v>
      </c>
      <c r="H73" s="121">
        <v>103.91666666666667</v>
      </c>
      <c r="I73" s="179" t="s">
        <v>565</v>
      </c>
      <c r="J73" s="179">
        <v>1</v>
      </c>
      <c r="M73" s="179">
        <v>46032.395833333336</v>
      </c>
      <c r="N73" s="179" t="s">
        <v>531</v>
      </c>
      <c r="S73" s="179">
        <v>0</v>
      </c>
      <c r="W73" s="179" t="s">
        <v>531</v>
      </c>
      <c r="X73" s="12">
        <v>46032.395833333336</v>
      </c>
      <c r="Y73" s="12" t="s">
        <v>541</v>
      </c>
      <c r="AB73" s="12" t="s">
        <v>525</v>
      </c>
      <c r="AC73" s="12" t="s">
        <v>526</v>
      </c>
    </row>
    <row r="74" spans="1:29">
      <c r="A74" s="12" t="s">
        <v>182</v>
      </c>
      <c r="B74" s="12" t="s">
        <v>1</v>
      </c>
      <c r="C74" s="12" t="s">
        <v>162</v>
      </c>
      <c r="D74" s="12">
        <v>258</v>
      </c>
      <c r="E74" s="12">
        <v>62</v>
      </c>
      <c r="F74" s="12">
        <v>259</v>
      </c>
      <c r="G74" s="12">
        <v>15542</v>
      </c>
      <c r="H74" s="121">
        <v>259.03333333333336</v>
      </c>
      <c r="I74" s="179" t="s">
        <v>567</v>
      </c>
      <c r="J74" s="179">
        <v>1</v>
      </c>
      <c r="M74" s="179">
        <v>46032.395833333336</v>
      </c>
      <c r="N74" s="179" t="s">
        <v>568</v>
      </c>
      <c r="S74" s="179">
        <v>0</v>
      </c>
      <c r="W74" s="179" t="s">
        <v>568</v>
      </c>
      <c r="X74" s="12">
        <v>46032.396527777775</v>
      </c>
      <c r="Y74" s="12" t="s">
        <v>569</v>
      </c>
      <c r="AB74" s="12" t="s">
        <v>525</v>
      </c>
      <c r="AC74" s="12" t="s">
        <v>526</v>
      </c>
    </row>
    <row r="75" spans="1:29">
      <c r="A75" s="12" t="s">
        <v>465</v>
      </c>
      <c r="B75" s="12" t="s">
        <v>1</v>
      </c>
      <c r="C75" s="12" t="s">
        <v>197</v>
      </c>
      <c r="D75" s="12">
        <v>9</v>
      </c>
      <c r="E75" s="12">
        <v>39</v>
      </c>
      <c r="F75" s="12">
        <v>10</v>
      </c>
      <c r="G75" s="12">
        <v>579</v>
      </c>
      <c r="H75" s="121">
        <v>9.65</v>
      </c>
      <c r="I75" s="179" t="s">
        <v>555</v>
      </c>
      <c r="J75" s="179">
        <v>2</v>
      </c>
      <c r="M75" s="179">
        <v>46032.396527777775</v>
      </c>
      <c r="N75" s="179" t="s">
        <v>556</v>
      </c>
      <c r="S75" s="179">
        <v>0</v>
      </c>
      <c r="W75" s="179" t="s">
        <v>556</v>
      </c>
      <c r="X75" s="12">
        <v>46032.400694444441</v>
      </c>
      <c r="Y75" s="12" t="s">
        <v>559</v>
      </c>
      <c r="AB75" s="12" t="s">
        <v>525</v>
      </c>
      <c r="AC75" s="12" t="s">
        <v>526</v>
      </c>
    </row>
    <row r="76" spans="1:29">
      <c r="A76" s="12" t="s">
        <v>343</v>
      </c>
      <c r="B76" s="12" t="s">
        <v>1</v>
      </c>
      <c r="C76" s="12" t="s">
        <v>344</v>
      </c>
      <c r="D76" s="12">
        <v>2</v>
      </c>
      <c r="E76" s="12">
        <v>45</v>
      </c>
      <c r="F76" s="12">
        <v>3</v>
      </c>
      <c r="G76" s="12">
        <v>165</v>
      </c>
      <c r="H76" s="121">
        <v>2.75</v>
      </c>
      <c r="I76" s="179" t="s">
        <v>561</v>
      </c>
      <c r="J76" s="179">
        <v>1</v>
      </c>
      <c r="M76" s="179">
        <v>46032.396527777775</v>
      </c>
      <c r="N76" s="179" t="s">
        <v>549</v>
      </c>
      <c r="S76" s="179">
        <v>0</v>
      </c>
      <c r="W76" s="179" t="s">
        <v>549</v>
      </c>
      <c r="X76" s="12">
        <v>46032.396527777775</v>
      </c>
      <c r="Y76" s="12" t="s">
        <v>541</v>
      </c>
      <c r="AB76" s="12" t="s">
        <v>525</v>
      </c>
      <c r="AC76" s="12" t="s">
        <v>526</v>
      </c>
    </row>
    <row r="77" spans="1:29">
      <c r="A77" s="12" t="s">
        <v>266</v>
      </c>
      <c r="B77" s="12" t="s">
        <v>1</v>
      </c>
      <c r="C77" s="12" t="s">
        <v>373</v>
      </c>
      <c r="D77" s="12">
        <v>6</v>
      </c>
      <c r="E77" s="12">
        <v>59</v>
      </c>
      <c r="F77" s="12">
        <v>7</v>
      </c>
      <c r="G77" s="12">
        <v>419</v>
      </c>
      <c r="H77" s="121">
        <v>6.9833333333333334</v>
      </c>
      <c r="I77" s="179" t="s">
        <v>552</v>
      </c>
      <c r="J77" s="179">
        <v>4</v>
      </c>
      <c r="M77" s="179">
        <v>46032.396527777775</v>
      </c>
      <c r="N77" s="179" t="s">
        <v>528</v>
      </c>
      <c r="S77" s="179">
        <v>0</v>
      </c>
      <c r="W77" s="179" t="s">
        <v>528</v>
      </c>
      <c r="X77" s="12">
        <v>46032.396527777775</v>
      </c>
      <c r="Y77" s="12" t="s">
        <v>529</v>
      </c>
      <c r="AB77" s="12" t="s">
        <v>525</v>
      </c>
      <c r="AC77" s="12" t="s">
        <v>526</v>
      </c>
    </row>
    <row r="78" spans="1:29">
      <c r="A78" s="12" t="s">
        <v>376</v>
      </c>
      <c r="B78" s="12" t="s">
        <v>1</v>
      </c>
      <c r="C78" s="12" t="s">
        <v>373</v>
      </c>
      <c r="D78" s="12">
        <v>7</v>
      </c>
      <c r="E78" s="12">
        <v>20</v>
      </c>
      <c r="F78" s="12">
        <v>8</v>
      </c>
      <c r="G78" s="12">
        <v>440</v>
      </c>
      <c r="H78" s="121">
        <v>7.333333333333333</v>
      </c>
      <c r="I78" s="179" t="s">
        <v>558</v>
      </c>
      <c r="J78" s="179">
        <v>4</v>
      </c>
      <c r="M78" s="179">
        <v>46032.396527777775</v>
      </c>
      <c r="N78" s="179" t="s">
        <v>539</v>
      </c>
      <c r="S78" s="179">
        <v>0</v>
      </c>
      <c r="W78" s="179" t="s">
        <v>539</v>
      </c>
      <c r="X78" s="12">
        <v>46032.396527777775</v>
      </c>
      <c r="Y78" s="12" t="s">
        <v>540</v>
      </c>
      <c r="AB78" s="12" t="s">
        <v>525</v>
      </c>
      <c r="AC78" s="12" t="s">
        <v>526</v>
      </c>
    </row>
    <row r="79" spans="1:29">
      <c r="A79" s="12" t="s">
        <v>467</v>
      </c>
      <c r="B79" s="12" t="s">
        <v>1</v>
      </c>
      <c r="C79" s="12" t="s">
        <v>197</v>
      </c>
      <c r="D79" s="12">
        <v>13</v>
      </c>
      <c r="E79" s="12">
        <v>49</v>
      </c>
      <c r="F79" s="12">
        <v>14</v>
      </c>
      <c r="G79" s="12">
        <v>829</v>
      </c>
      <c r="H79" s="121">
        <v>13.816666666666666</v>
      </c>
      <c r="I79" s="179" t="s">
        <v>555</v>
      </c>
      <c r="J79" s="179">
        <v>3</v>
      </c>
      <c r="M79" s="179">
        <v>46032.396527777775</v>
      </c>
      <c r="N79" s="179" t="s">
        <v>556</v>
      </c>
      <c r="S79" s="179">
        <v>0</v>
      </c>
      <c r="W79" s="179" t="s">
        <v>556</v>
      </c>
      <c r="X79" s="12">
        <v>46032.400694444441</v>
      </c>
      <c r="Y79" s="12" t="s">
        <v>559</v>
      </c>
      <c r="AB79" s="12" t="s">
        <v>525</v>
      </c>
      <c r="AC79" s="12" t="s">
        <v>526</v>
      </c>
    </row>
    <row r="80" spans="1:29">
      <c r="A80" s="12" t="s">
        <v>255</v>
      </c>
      <c r="B80" s="12" t="s">
        <v>1</v>
      </c>
      <c r="C80" s="12" t="s">
        <v>240</v>
      </c>
      <c r="D80" s="12">
        <v>66</v>
      </c>
      <c r="E80" s="12">
        <v>39</v>
      </c>
      <c r="F80" s="12">
        <v>67</v>
      </c>
      <c r="G80" s="12">
        <v>3999</v>
      </c>
      <c r="H80" s="121">
        <v>66.650000000000006</v>
      </c>
      <c r="I80" s="179" t="s">
        <v>564</v>
      </c>
      <c r="J80" s="179">
        <v>1</v>
      </c>
      <c r="M80" s="179">
        <v>46032.397222222222</v>
      </c>
      <c r="N80" s="179" t="s">
        <v>523</v>
      </c>
      <c r="S80" s="179">
        <v>0</v>
      </c>
      <c r="W80" s="179" t="s">
        <v>523</v>
      </c>
      <c r="X80" s="12">
        <v>46032.397222222222</v>
      </c>
      <c r="Y80" s="12" t="s">
        <v>524</v>
      </c>
      <c r="AB80" s="12" t="s">
        <v>525</v>
      </c>
      <c r="AC80" s="12" t="s">
        <v>526</v>
      </c>
    </row>
    <row r="81" spans="1:29">
      <c r="A81" s="12" t="s">
        <v>257</v>
      </c>
      <c r="B81" s="12" t="s">
        <v>1</v>
      </c>
      <c r="C81" s="12" t="s">
        <v>373</v>
      </c>
      <c r="D81" s="12">
        <v>16</v>
      </c>
      <c r="E81" s="12">
        <v>65</v>
      </c>
      <c r="F81" s="12">
        <v>17</v>
      </c>
      <c r="G81" s="12">
        <v>1025</v>
      </c>
      <c r="H81" s="121">
        <v>17.083333333333332</v>
      </c>
      <c r="I81" s="179" t="s">
        <v>558</v>
      </c>
      <c r="J81" s="179">
        <v>5</v>
      </c>
      <c r="M81" s="179">
        <v>46032.397222222222</v>
      </c>
      <c r="N81" s="179" t="s">
        <v>539</v>
      </c>
      <c r="S81" s="179">
        <v>0</v>
      </c>
      <c r="W81" s="179" t="s">
        <v>539</v>
      </c>
      <c r="X81" s="12">
        <v>46032.397222222222</v>
      </c>
      <c r="Y81" s="12" t="s">
        <v>540</v>
      </c>
      <c r="AB81" s="12" t="s">
        <v>525</v>
      </c>
      <c r="AC81" s="12" t="s">
        <v>526</v>
      </c>
    </row>
    <row r="82" spans="1:29">
      <c r="A82" s="12" t="s">
        <v>378</v>
      </c>
      <c r="B82" s="12" t="s">
        <v>1</v>
      </c>
      <c r="C82" s="12" t="s">
        <v>373</v>
      </c>
      <c r="D82" s="12">
        <v>6</v>
      </c>
      <c r="E82" s="12">
        <v>41</v>
      </c>
      <c r="F82" s="12">
        <v>7</v>
      </c>
      <c r="G82" s="12">
        <v>401</v>
      </c>
      <c r="H82" s="121">
        <v>6.6833333333333336</v>
      </c>
      <c r="I82" s="179" t="s">
        <v>552</v>
      </c>
      <c r="J82" s="179">
        <v>5</v>
      </c>
      <c r="M82" s="179">
        <v>46032.397222222222</v>
      </c>
      <c r="N82" s="179" t="s">
        <v>528</v>
      </c>
      <c r="S82" s="179">
        <v>0</v>
      </c>
      <c r="W82" s="179" t="s">
        <v>528</v>
      </c>
      <c r="X82" s="12">
        <v>46032.397222222222</v>
      </c>
      <c r="Y82" s="12" t="s">
        <v>529</v>
      </c>
      <c r="AB82" s="12" t="s">
        <v>525</v>
      </c>
      <c r="AC82" s="12" t="s">
        <v>526</v>
      </c>
    </row>
    <row r="83" spans="1:29">
      <c r="A83" s="12" t="s">
        <v>466</v>
      </c>
      <c r="B83" s="12" t="s">
        <v>1</v>
      </c>
      <c r="C83" s="12" t="s">
        <v>197</v>
      </c>
      <c r="D83" s="12">
        <v>88</v>
      </c>
      <c r="E83" s="12">
        <v>39</v>
      </c>
      <c r="F83" s="12">
        <v>89</v>
      </c>
      <c r="G83" s="12">
        <v>5319</v>
      </c>
      <c r="H83" s="121">
        <v>88.65</v>
      </c>
      <c r="I83" s="179" t="s">
        <v>555</v>
      </c>
      <c r="J83" s="179">
        <v>4</v>
      </c>
      <c r="M83" s="179">
        <v>46032.397222222222</v>
      </c>
      <c r="N83" s="179" t="s">
        <v>556</v>
      </c>
      <c r="S83" s="179">
        <v>0</v>
      </c>
      <c r="W83" s="179" t="s">
        <v>556</v>
      </c>
      <c r="X83" s="12">
        <v>46032.401388888888</v>
      </c>
      <c r="Y83" s="12" t="s">
        <v>559</v>
      </c>
      <c r="AB83" s="12" t="s">
        <v>525</v>
      </c>
      <c r="AC83" s="12" t="s">
        <v>526</v>
      </c>
    </row>
    <row r="84" spans="1:29">
      <c r="A84" s="12" t="s">
        <v>181</v>
      </c>
      <c r="B84" s="12" t="s">
        <v>1</v>
      </c>
      <c r="C84" s="12" t="s">
        <v>162</v>
      </c>
      <c r="D84" s="12">
        <v>248</v>
      </c>
      <c r="E84" s="12">
        <v>0</v>
      </c>
      <c r="F84" s="12">
        <v>248</v>
      </c>
      <c r="G84" s="12">
        <v>14880</v>
      </c>
      <c r="H84" s="121">
        <v>248</v>
      </c>
      <c r="I84" s="179" t="s">
        <v>567</v>
      </c>
      <c r="J84" s="179">
        <v>1</v>
      </c>
      <c r="M84" s="179">
        <v>46032.397222222222</v>
      </c>
      <c r="N84" s="179" t="s">
        <v>545</v>
      </c>
      <c r="S84" s="179">
        <v>0</v>
      </c>
      <c r="W84" s="179" t="s">
        <v>545</v>
      </c>
      <c r="X84" s="12">
        <v>46032.397916666669</v>
      </c>
      <c r="Y84" s="12" t="s">
        <v>529</v>
      </c>
      <c r="AB84" s="12" t="s">
        <v>525</v>
      </c>
      <c r="AC84" s="12" t="s">
        <v>526</v>
      </c>
    </row>
    <row r="85" spans="1:29">
      <c r="A85" s="12" t="s">
        <v>144</v>
      </c>
      <c r="B85" s="12" t="s">
        <v>1</v>
      </c>
      <c r="C85" s="12" t="s">
        <v>133</v>
      </c>
      <c r="D85" s="12">
        <v>82</v>
      </c>
      <c r="E85" s="12">
        <v>12</v>
      </c>
      <c r="F85" s="12">
        <v>83</v>
      </c>
      <c r="G85" s="12">
        <v>4932</v>
      </c>
      <c r="H85" s="121">
        <v>82.2</v>
      </c>
      <c r="I85" s="179" t="s">
        <v>570</v>
      </c>
      <c r="J85" s="179">
        <v>1</v>
      </c>
      <c r="M85" s="179">
        <v>46032.397916666669</v>
      </c>
      <c r="N85" s="179" t="s">
        <v>534</v>
      </c>
      <c r="S85" s="179">
        <v>0</v>
      </c>
      <c r="W85" s="179" t="s">
        <v>534</v>
      </c>
      <c r="X85" s="12">
        <v>46032.397916666669</v>
      </c>
      <c r="Y85" s="12" t="s">
        <v>546</v>
      </c>
      <c r="AB85" s="12" t="s">
        <v>525</v>
      </c>
      <c r="AC85" s="12" t="s">
        <v>526</v>
      </c>
    </row>
    <row r="86" spans="1:29">
      <c r="A86" s="12" t="s">
        <v>435</v>
      </c>
      <c r="B86" s="12" t="s">
        <v>1</v>
      </c>
      <c r="C86" s="12" t="s">
        <v>154</v>
      </c>
      <c r="D86" s="12">
        <v>49</v>
      </c>
      <c r="E86" s="12">
        <v>12</v>
      </c>
      <c r="F86" s="12">
        <v>50</v>
      </c>
      <c r="G86" s="12">
        <v>2952</v>
      </c>
      <c r="H86" s="121">
        <v>49.2</v>
      </c>
      <c r="I86" s="179" t="s">
        <v>554</v>
      </c>
      <c r="J86" s="179">
        <v>1</v>
      </c>
      <c r="M86" s="179">
        <v>46032.397916666669</v>
      </c>
      <c r="N86" s="179" t="s">
        <v>551</v>
      </c>
      <c r="S86" s="179">
        <v>0</v>
      </c>
      <c r="W86" s="179" t="s">
        <v>551</v>
      </c>
      <c r="X86" s="12">
        <v>46032.397916666669</v>
      </c>
      <c r="AB86" s="12" t="s">
        <v>525</v>
      </c>
      <c r="AC86" s="12" t="s">
        <v>526</v>
      </c>
    </row>
    <row r="87" spans="1:29">
      <c r="A87" s="12" t="s">
        <v>469</v>
      </c>
      <c r="B87" s="12" t="s">
        <v>1</v>
      </c>
      <c r="C87" s="12" t="s">
        <v>197</v>
      </c>
      <c r="D87" s="12">
        <v>14</v>
      </c>
      <c r="E87" s="12">
        <v>56</v>
      </c>
      <c r="F87" s="12">
        <v>15</v>
      </c>
      <c r="G87" s="12">
        <v>896</v>
      </c>
      <c r="H87" s="121">
        <v>14.933333333333334</v>
      </c>
      <c r="I87" s="179" t="s">
        <v>555</v>
      </c>
      <c r="J87" s="179">
        <v>5</v>
      </c>
      <c r="M87" s="179">
        <v>46032.397916666669</v>
      </c>
      <c r="N87" s="179" t="s">
        <v>556</v>
      </c>
      <c r="S87" s="179">
        <v>0</v>
      </c>
      <c r="W87" s="179" t="s">
        <v>556</v>
      </c>
      <c r="X87" s="12">
        <v>46032.401388888888</v>
      </c>
      <c r="Y87" s="12" t="s">
        <v>559</v>
      </c>
      <c r="AB87" s="12" t="s">
        <v>525</v>
      </c>
      <c r="AC87" s="12" t="s">
        <v>526</v>
      </c>
    </row>
    <row r="88" spans="1:29">
      <c r="A88" s="12" t="s">
        <v>379</v>
      </c>
      <c r="B88" s="12" t="s">
        <v>1</v>
      </c>
      <c r="C88" s="12" t="s">
        <v>240</v>
      </c>
      <c r="D88" s="12">
        <v>182</v>
      </c>
      <c r="E88" s="12">
        <v>20</v>
      </c>
      <c r="F88" s="12">
        <v>183</v>
      </c>
      <c r="G88" s="12">
        <v>10940</v>
      </c>
      <c r="H88" s="121">
        <v>182.33333333333334</v>
      </c>
      <c r="I88" s="179" t="s">
        <v>564</v>
      </c>
      <c r="J88" s="179">
        <v>1</v>
      </c>
      <c r="M88" s="179">
        <v>46032.397916666669</v>
      </c>
      <c r="N88" s="179" t="s">
        <v>523</v>
      </c>
      <c r="S88" s="179">
        <v>0</v>
      </c>
      <c r="W88" s="179" t="s">
        <v>523</v>
      </c>
      <c r="X88" s="12">
        <v>46032.398611111108</v>
      </c>
      <c r="Y88" s="12" t="s">
        <v>524</v>
      </c>
      <c r="AB88" s="12" t="s">
        <v>525</v>
      </c>
      <c r="AC88" s="12" t="s">
        <v>526</v>
      </c>
    </row>
    <row r="89" spans="1:29">
      <c r="A89" s="12" t="s">
        <v>59</v>
      </c>
      <c r="B89" s="12" t="s">
        <v>1</v>
      </c>
      <c r="C89" s="12" t="s">
        <v>58</v>
      </c>
      <c r="D89" s="12">
        <v>78</v>
      </c>
      <c r="E89" s="12">
        <v>16</v>
      </c>
      <c r="F89" s="12">
        <v>79</v>
      </c>
      <c r="G89" s="12">
        <v>4696</v>
      </c>
      <c r="H89" s="121">
        <v>78.266666666666666</v>
      </c>
      <c r="I89" s="179" t="s">
        <v>571</v>
      </c>
      <c r="J89" s="179">
        <v>1</v>
      </c>
      <c r="M89" s="179">
        <v>46032.397916666669</v>
      </c>
      <c r="N89" s="179" t="s">
        <v>549</v>
      </c>
      <c r="S89" s="179">
        <v>0</v>
      </c>
      <c r="W89" s="179" t="s">
        <v>549</v>
      </c>
      <c r="X89" s="12">
        <v>46032.432638888888</v>
      </c>
      <c r="Y89" s="12" t="s">
        <v>541</v>
      </c>
      <c r="AB89" s="12" t="s">
        <v>525</v>
      </c>
      <c r="AC89" s="12" t="s">
        <v>526</v>
      </c>
    </row>
    <row r="90" spans="1:29">
      <c r="A90" s="12" t="s">
        <v>277</v>
      </c>
      <c r="B90" s="12" t="s">
        <v>1</v>
      </c>
      <c r="C90" s="12" t="s">
        <v>240</v>
      </c>
      <c r="D90" s="12">
        <v>226</v>
      </c>
      <c r="E90" s="12">
        <v>30</v>
      </c>
      <c r="F90" s="12">
        <v>227</v>
      </c>
      <c r="G90" s="12">
        <v>13590</v>
      </c>
      <c r="H90" s="121">
        <v>226.5</v>
      </c>
      <c r="I90" s="179" t="s">
        <v>552</v>
      </c>
      <c r="J90" s="179">
        <v>1</v>
      </c>
      <c r="M90" s="179">
        <v>46032.398611111108</v>
      </c>
      <c r="N90" s="179" t="s">
        <v>528</v>
      </c>
      <c r="S90" s="179">
        <v>0</v>
      </c>
      <c r="W90" s="179" t="s">
        <v>528</v>
      </c>
      <c r="X90" s="12">
        <v>46032.398611111108</v>
      </c>
      <c r="Y90" s="12" t="s">
        <v>529</v>
      </c>
      <c r="AB90" s="12" t="s">
        <v>525</v>
      </c>
      <c r="AC90" s="12" t="s">
        <v>526</v>
      </c>
    </row>
    <row r="91" spans="1:29">
      <c r="A91" s="12" t="s">
        <v>470</v>
      </c>
      <c r="B91" s="12" t="s">
        <v>1</v>
      </c>
      <c r="C91" s="12" t="s">
        <v>197</v>
      </c>
      <c r="D91" s="12">
        <v>22</v>
      </c>
      <c r="E91" s="12">
        <v>15</v>
      </c>
      <c r="F91" s="12">
        <v>23</v>
      </c>
      <c r="G91" s="12">
        <v>15</v>
      </c>
      <c r="H91" s="121">
        <v>0.25</v>
      </c>
      <c r="I91" s="179" t="s">
        <v>555</v>
      </c>
      <c r="J91" s="179">
        <v>6</v>
      </c>
      <c r="M91" s="179">
        <v>46032.398611111108</v>
      </c>
      <c r="N91" s="179" t="s">
        <v>556</v>
      </c>
      <c r="S91" s="179">
        <v>0</v>
      </c>
      <c r="W91" s="179" t="s">
        <v>556</v>
      </c>
      <c r="X91" s="12">
        <v>46032.398611111108</v>
      </c>
      <c r="Y91" s="12" t="s">
        <v>559</v>
      </c>
      <c r="AB91" s="12" t="s">
        <v>525</v>
      </c>
      <c r="AC91" s="12" t="s">
        <v>526</v>
      </c>
    </row>
    <row r="92" spans="1:29">
      <c r="A92" s="12" t="s">
        <v>283</v>
      </c>
      <c r="B92" s="12" t="s">
        <v>1</v>
      </c>
      <c r="C92" s="12" t="s">
        <v>240</v>
      </c>
      <c r="D92" s="12">
        <v>183</v>
      </c>
      <c r="E92" s="12">
        <v>57</v>
      </c>
      <c r="F92" s="12">
        <v>184</v>
      </c>
      <c r="G92" s="12">
        <v>11037</v>
      </c>
      <c r="H92" s="121">
        <v>183.95</v>
      </c>
      <c r="I92" s="179" t="s">
        <v>563</v>
      </c>
      <c r="J92" s="179">
        <v>1</v>
      </c>
      <c r="M92" s="179">
        <v>46032.398611111108</v>
      </c>
      <c r="N92" s="179" t="s">
        <v>551</v>
      </c>
      <c r="S92" s="179">
        <v>0</v>
      </c>
      <c r="W92" s="179" t="s">
        <v>551</v>
      </c>
      <c r="X92" s="12">
        <v>46032.398611111108</v>
      </c>
      <c r="AB92" s="12" t="s">
        <v>525</v>
      </c>
      <c r="AC92" s="12" t="s">
        <v>526</v>
      </c>
    </row>
    <row r="93" spans="1:29">
      <c r="A93" s="12" t="s">
        <v>145</v>
      </c>
      <c r="B93" s="12" t="s">
        <v>1</v>
      </c>
      <c r="C93" s="12" t="s">
        <v>140</v>
      </c>
      <c r="D93" s="12">
        <v>98</v>
      </c>
      <c r="E93" s="12">
        <v>12</v>
      </c>
      <c r="F93" s="12">
        <v>99</v>
      </c>
      <c r="G93" s="12">
        <v>5892</v>
      </c>
      <c r="H93" s="121">
        <v>98.2</v>
      </c>
      <c r="I93" s="179" t="s">
        <v>570</v>
      </c>
      <c r="J93" s="179">
        <v>1</v>
      </c>
      <c r="M93" s="179">
        <v>46032.398611111108</v>
      </c>
      <c r="N93" s="179" t="s">
        <v>534</v>
      </c>
      <c r="S93" s="179">
        <v>0</v>
      </c>
      <c r="W93" s="179" t="s">
        <v>534</v>
      </c>
      <c r="X93" s="12">
        <v>46032.399305555555</v>
      </c>
      <c r="Y93" s="12" t="s">
        <v>546</v>
      </c>
      <c r="AB93" s="12" t="s">
        <v>525</v>
      </c>
      <c r="AC93" s="12" t="s">
        <v>526</v>
      </c>
    </row>
    <row r="94" spans="1:29">
      <c r="A94" s="12" t="s">
        <v>572</v>
      </c>
      <c r="B94" s="12" t="s">
        <v>1</v>
      </c>
      <c r="C94" s="12" t="s">
        <v>162</v>
      </c>
      <c r="D94" s="12">
        <v>0</v>
      </c>
      <c r="E94" s="12">
        <v>0</v>
      </c>
      <c r="F94" s="12">
        <v>0</v>
      </c>
      <c r="G94" s="12">
        <v>0</v>
      </c>
      <c r="H94" s="121">
        <v>0</v>
      </c>
      <c r="I94" s="179" t="s">
        <v>567</v>
      </c>
      <c r="J94" s="179">
        <v>1</v>
      </c>
      <c r="M94" s="179">
        <v>46032.399305555555</v>
      </c>
      <c r="N94" s="179" t="s">
        <v>562</v>
      </c>
      <c r="S94" s="179">
        <v>0</v>
      </c>
      <c r="W94" s="179" t="s">
        <v>562</v>
      </c>
      <c r="X94" s="12">
        <v>46032.399305555555</v>
      </c>
      <c r="Y94" s="12" t="s">
        <v>524</v>
      </c>
      <c r="AB94" s="12" t="s">
        <v>525</v>
      </c>
      <c r="AC94" s="12" t="s">
        <v>526</v>
      </c>
    </row>
    <row r="95" spans="1:29">
      <c r="A95" s="12" t="s">
        <v>472</v>
      </c>
      <c r="B95" s="12" t="s">
        <v>1</v>
      </c>
      <c r="C95" s="12" t="s">
        <v>197</v>
      </c>
      <c r="D95" s="12">
        <v>40</v>
      </c>
      <c r="E95" s="12">
        <v>48</v>
      </c>
      <c r="F95" s="12">
        <v>41</v>
      </c>
      <c r="G95" s="12">
        <v>2448</v>
      </c>
      <c r="H95" s="121">
        <v>40.799999999999997</v>
      </c>
      <c r="I95" s="179" t="s">
        <v>555</v>
      </c>
      <c r="J95" s="179">
        <v>7</v>
      </c>
      <c r="M95" s="179">
        <v>46032.399305555555</v>
      </c>
      <c r="N95" s="179" t="s">
        <v>556</v>
      </c>
      <c r="S95" s="179">
        <v>0</v>
      </c>
      <c r="W95" s="179" t="s">
        <v>556</v>
      </c>
      <c r="X95" s="12">
        <v>46032.401388888888</v>
      </c>
      <c r="Y95" s="12" t="s">
        <v>559</v>
      </c>
      <c r="AB95" s="12" t="s">
        <v>525</v>
      </c>
      <c r="AC95" s="12" t="s">
        <v>526</v>
      </c>
    </row>
    <row r="96" spans="1:29">
      <c r="A96" s="12" t="s">
        <v>256</v>
      </c>
      <c r="B96" s="12" t="s">
        <v>1</v>
      </c>
      <c r="C96" s="12" t="s">
        <v>240</v>
      </c>
      <c r="D96" s="12">
        <v>107</v>
      </c>
      <c r="E96" s="12">
        <v>19</v>
      </c>
      <c r="F96" s="12">
        <v>108</v>
      </c>
      <c r="G96" s="12">
        <v>6439</v>
      </c>
      <c r="H96" s="121">
        <v>107.31666666666666</v>
      </c>
      <c r="I96" s="179" t="s">
        <v>563</v>
      </c>
      <c r="J96" s="179">
        <v>1</v>
      </c>
      <c r="M96" s="179">
        <v>46032.399305555555</v>
      </c>
      <c r="N96" s="179" t="s">
        <v>551</v>
      </c>
      <c r="S96" s="179">
        <v>0</v>
      </c>
      <c r="W96" s="179" t="s">
        <v>551</v>
      </c>
      <c r="X96" s="12">
        <v>46032.399305555555</v>
      </c>
      <c r="AB96" s="12" t="s">
        <v>525</v>
      </c>
      <c r="AC96" s="12" t="s">
        <v>526</v>
      </c>
    </row>
    <row r="97" spans="1:29">
      <c r="A97" s="12" t="s">
        <v>385</v>
      </c>
      <c r="B97" s="12" t="s">
        <v>1</v>
      </c>
      <c r="C97" s="12" t="s">
        <v>240</v>
      </c>
      <c r="D97" s="12">
        <v>86</v>
      </c>
      <c r="E97" s="12">
        <v>21</v>
      </c>
      <c r="F97" s="12">
        <v>87</v>
      </c>
      <c r="G97" s="12">
        <v>5181</v>
      </c>
      <c r="H97" s="121">
        <v>86.35</v>
      </c>
      <c r="I97" s="179" t="s">
        <v>552</v>
      </c>
      <c r="J97" s="179">
        <v>1</v>
      </c>
      <c r="M97" s="179">
        <v>46032.399305555555</v>
      </c>
      <c r="N97" s="179" t="s">
        <v>528</v>
      </c>
      <c r="S97" s="179">
        <v>0</v>
      </c>
      <c r="W97" s="179" t="s">
        <v>528</v>
      </c>
      <c r="X97" s="12">
        <v>46032.4</v>
      </c>
      <c r="Y97" s="12" t="s">
        <v>529</v>
      </c>
      <c r="AB97" s="12" t="s">
        <v>525</v>
      </c>
      <c r="AC97" s="12" t="s">
        <v>526</v>
      </c>
    </row>
    <row r="98" spans="1:29">
      <c r="A98" s="12" t="s">
        <v>292</v>
      </c>
      <c r="B98" s="12" t="s">
        <v>1</v>
      </c>
      <c r="C98" s="12" t="s">
        <v>373</v>
      </c>
      <c r="D98" s="12">
        <v>48</v>
      </c>
      <c r="E98" s="12">
        <v>27</v>
      </c>
      <c r="F98" s="12">
        <v>49</v>
      </c>
      <c r="G98" s="12">
        <v>2907</v>
      </c>
      <c r="H98" s="121">
        <v>48.45</v>
      </c>
      <c r="I98" s="179" t="s">
        <v>563</v>
      </c>
      <c r="J98" s="179">
        <v>1</v>
      </c>
      <c r="M98" s="179">
        <v>46032.4</v>
      </c>
      <c r="N98" s="179" t="s">
        <v>551</v>
      </c>
      <c r="S98" s="179">
        <v>0</v>
      </c>
      <c r="W98" s="179" t="s">
        <v>551</v>
      </c>
      <c r="X98" s="12">
        <v>46032.4</v>
      </c>
      <c r="AB98" s="12" t="s">
        <v>525</v>
      </c>
      <c r="AC98" s="12" t="s">
        <v>526</v>
      </c>
    </row>
    <row r="99" spans="1:29">
      <c r="A99" s="12" t="s">
        <v>270</v>
      </c>
      <c r="B99" s="12" t="s">
        <v>1</v>
      </c>
      <c r="C99" s="12" t="s">
        <v>240</v>
      </c>
      <c r="D99" s="12">
        <v>62</v>
      </c>
      <c r="E99" s="12">
        <v>25</v>
      </c>
      <c r="F99" s="12">
        <v>63</v>
      </c>
      <c r="G99" s="12">
        <v>3745</v>
      </c>
      <c r="H99" s="121">
        <v>62.416666666666664</v>
      </c>
      <c r="I99" s="179" t="s">
        <v>552</v>
      </c>
      <c r="J99" s="179">
        <v>2</v>
      </c>
      <c r="M99" s="179">
        <v>46032.400694444441</v>
      </c>
      <c r="N99" s="179" t="s">
        <v>528</v>
      </c>
      <c r="S99" s="179">
        <v>0</v>
      </c>
      <c r="W99" s="179" t="s">
        <v>528</v>
      </c>
      <c r="X99" s="12">
        <v>46032.401388888888</v>
      </c>
      <c r="Y99" s="12" t="s">
        <v>529</v>
      </c>
      <c r="AB99" s="12" t="s">
        <v>525</v>
      </c>
      <c r="AC99" s="12" t="s">
        <v>526</v>
      </c>
    </row>
    <row r="100" spans="1:29">
      <c r="A100" s="12" t="s">
        <v>185</v>
      </c>
      <c r="B100" s="12" t="s">
        <v>1</v>
      </c>
      <c r="C100" s="12" t="s">
        <v>162</v>
      </c>
      <c r="D100" s="12">
        <v>47</v>
      </c>
      <c r="E100" s="12">
        <v>30</v>
      </c>
      <c r="F100" s="12">
        <v>48</v>
      </c>
      <c r="G100" s="12">
        <v>2850</v>
      </c>
      <c r="H100" s="121">
        <v>47.5</v>
      </c>
      <c r="I100" s="179" t="s">
        <v>567</v>
      </c>
      <c r="J100" s="179">
        <v>1</v>
      </c>
      <c r="M100" s="179">
        <v>46032.400694444441</v>
      </c>
      <c r="N100" s="179" t="s">
        <v>568</v>
      </c>
      <c r="S100" s="179">
        <v>0</v>
      </c>
      <c r="W100" s="179" t="s">
        <v>568</v>
      </c>
      <c r="X100" s="12">
        <v>46032.400694444441</v>
      </c>
      <c r="Y100" s="12" t="s">
        <v>573</v>
      </c>
      <c r="AB100" s="12" t="s">
        <v>525</v>
      </c>
      <c r="AC100" s="12" t="s">
        <v>526</v>
      </c>
    </row>
    <row r="101" spans="1:29">
      <c r="A101" s="12" t="s">
        <v>272</v>
      </c>
      <c r="B101" s="12" t="s">
        <v>1</v>
      </c>
      <c r="C101" s="12" t="s">
        <v>240</v>
      </c>
      <c r="D101" s="12">
        <v>60</v>
      </c>
      <c r="E101" s="12">
        <v>36</v>
      </c>
      <c r="F101" s="12">
        <v>61</v>
      </c>
      <c r="G101" s="12">
        <v>3636</v>
      </c>
      <c r="H101" s="121">
        <v>60.6</v>
      </c>
      <c r="I101" s="179" t="s">
        <v>574</v>
      </c>
      <c r="J101" s="179">
        <v>1</v>
      </c>
      <c r="M101" s="179">
        <v>46032.400694444441</v>
      </c>
      <c r="N101" s="179" t="s">
        <v>523</v>
      </c>
      <c r="S101" s="179">
        <v>0</v>
      </c>
      <c r="W101" s="179" t="s">
        <v>523</v>
      </c>
      <c r="X101" s="12">
        <v>46032.400694444441</v>
      </c>
      <c r="Y101" s="12" t="s">
        <v>524</v>
      </c>
      <c r="AB101" s="12" t="s">
        <v>525</v>
      </c>
      <c r="AC101" s="12" t="s">
        <v>526</v>
      </c>
    </row>
    <row r="102" spans="1:29">
      <c r="A102" s="12" t="s">
        <v>290</v>
      </c>
      <c r="B102" s="12" t="s">
        <v>1</v>
      </c>
      <c r="C102" s="12" t="s">
        <v>240</v>
      </c>
      <c r="D102" s="12">
        <v>126</v>
      </c>
      <c r="E102" s="12">
        <v>0</v>
      </c>
      <c r="F102" s="12">
        <v>126</v>
      </c>
      <c r="G102" s="12">
        <v>7560</v>
      </c>
      <c r="H102" s="121">
        <v>126</v>
      </c>
      <c r="I102" s="179" t="s">
        <v>575</v>
      </c>
      <c r="J102" s="179">
        <v>1</v>
      </c>
      <c r="M102" s="179">
        <v>46032.400694444441</v>
      </c>
      <c r="N102" s="179" t="s">
        <v>534</v>
      </c>
      <c r="S102" s="179">
        <v>0</v>
      </c>
      <c r="W102" s="179" t="s">
        <v>534</v>
      </c>
      <c r="X102" s="12">
        <v>46032.401388888888</v>
      </c>
      <c r="Y102" s="12" t="s">
        <v>546</v>
      </c>
      <c r="AB102" s="12" t="s">
        <v>525</v>
      </c>
      <c r="AC102" s="12" t="s">
        <v>526</v>
      </c>
    </row>
    <row r="103" spans="1:29">
      <c r="A103" s="12" t="s">
        <v>258</v>
      </c>
      <c r="B103" s="12" t="s">
        <v>1</v>
      </c>
      <c r="C103" s="12" t="s">
        <v>240</v>
      </c>
      <c r="D103" s="12">
        <v>42</v>
      </c>
      <c r="E103" s="12">
        <v>57</v>
      </c>
      <c r="F103" s="12">
        <v>43</v>
      </c>
      <c r="G103" s="12">
        <v>2577</v>
      </c>
      <c r="H103" s="121">
        <v>42.95</v>
      </c>
      <c r="I103" s="179" t="s">
        <v>567</v>
      </c>
      <c r="J103" s="179">
        <v>1</v>
      </c>
      <c r="M103" s="179">
        <v>46032.401388888888</v>
      </c>
      <c r="N103" s="179" t="s">
        <v>568</v>
      </c>
      <c r="S103" s="179">
        <v>0</v>
      </c>
      <c r="W103" s="179" t="s">
        <v>568</v>
      </c>
      <c r="X103" s="12">
        <v>46032.401388888888</v>
      </c>
      <c r="Y103" s="12" t="s">
        <v>573</v>
      </c>
      <c r="AB103" s="12" t="s">
        <v>525</v>
      </c>
      <c r="AC103" s="12" t="s">
        <v>526</v>
      </c>
    </row>
    <row r="104" spans="1:29">
      <c r="A104" s="12" t="s">
        <v>284</v>
      </c>
      <c r="B104" s="12" t="s">
        <v>1</v>
      </c>
      <c r="C104" s="12" t="s">
        <v>373</v>
      </c>
      <c r="D104" s="12">
        <v>21</v>
      </c>
      <c r="E104" s="12">
        <v>52</v>
      </c>
      <c r="F104" s="12">
        <v>22</v>
      </c>
      <c r="G104" s="12">
        <v>1312</v>
      </c>
      <c r="H104" s="121">
        <v>21.866666666666667</v>
      </c>
      <c r="I104" s="179" t="s">
        <v>563</v>
      </c>
      <c r="J104" s="179">
        <v>2</v>
      </c>
      <c r="M104" s="179">
        <v>46032.401388888888</v>
      </c>
      <c r="N104" s="179" t="s">
        <v>551</v>
      </c>
      <c r="S104" s="179">
        <v>0</v>
      </c>
      <c r="W104" s="179" t="s">
        <v>551</v>
      </c>
      <c r="X104" s="12">
        <v>46032.401388888888</v>
      </c>
      <c r="AB104" s="12" t="s">
        <v>525</v>
      </c>
      <c r="AC104" s="12" t="s">
        <v>526</v>
      </c>
    </row>
    <row r="105" spans="1:29">
      <c r="A105" s="12" t="s">
        <v>299</v>
      </c>
      <c r="B105" s="12" t="s">
        <v>1</v>
      </c>
      <c r="C105" s="12" t="s">
        <v>240</v>
      </c>
      <c r="D105" s="12">
        <v>8</v>
      </c>
      <c r="E105" s="12">
        <v>39</v>
      </c>
      <c r="F105" s="12">
        <v>9</v>
      </c>
      <c r="G105" s="12">
        <v>519</v>
      </c>
      <c r="H105" s="121">
        <v>8.65</v>
      </c>
      <c r="I105" s="179" t="s">
        <v>574</v>
      </c>
      <c r="J105" s="179">
        <v>2</v>
      </c>
      <c r="M105" s="179">
        <v>46032.401388888888</v>
      </c>
      <c r="N105" s="179" t="s">
        <v>523</v>
      </c>
      <c r="S105" s="179">
        <v>0</v>
      </c>
      <c r="W105" s="179" t="s">
        <v>523</v>
      </c>
      <c r="X105" s="12">
        <v>46032.401388888888</v>
      </c>
      <c r="Y105" s="12" t="s">
        <v>524</v>
      </c>
      <c r="AB105" s="12" t="s">
        <v>525</v>
      </c>
      <c r="AC105" s="12" t="s">
        <v>526</v>
      </c>
    </row>
    <row r="106" spans="1:29">
      <c r="A106" s="12" t="s">
        <v>253</v>
      </c>
      <c r="B106" s="12" t="s">
        <v>1</v>
      </c>
      <c r="C106" s="12" t="s">
        <v>240</v>
      </c>
      <c r="D106" s="12">
        <v>90</v>
      </c>
      <c r="E106" s="12">
        <v>0</v>
      </c>
      <c r="F106" s="12">
        <v>90</v>
      </c>
      <c r="G106" s="12">
        <v>5400</v>
      </c>
      <c r="H106" s="121">
        <v>90</v>
      </c>
      <c r="I106" s="179" t="s">
        <v>576</v>
      </c>
      <c r="J106" s="179">
        <v>1</v>
      </c>
      <c r="M106" s="179">
        <v>46032.402083333334</v>
      </c>
      <c r="N106" s="179" t="s">
        <v>528</v>
      </c>
      <c r="S106" s="179">
        <v>0</v>
      </c>
      <c r="W106" s="179" t="s">
        <v>528</v>
      </c>
      <c r="X106" s="12">
        <v>46032.402083333334</v>
      </c>
      <c r="Y106" s="12" t="s">
        <v>529</v>
      </c>
      <c r="AB106" s="12" t="s">
        <v>525</v>
      </c>
      <c r="AC106" s="12" t="s">
        <v>526</v>
      </c>
    </row>
    <row r="107" spans="1:29">
      <c r="A107" s="12" t="s">
        <v>283</v>
      </c>
      <c r="B107" s="12" t="s">
        <v>1</v>
      </c>
      <c r="C107" s="12" t="s">
        <v>373</v>
      </c>
      <c r="D107" s="12">
        <v>10</v>
      </c>
      <c r="E107" s="12">
        <v>27</v>
      </c>
      <c r="F107" s="12">
        <v>11</v>
      </c>
      <c r="G107" s="12">
        <v>627</v>
      </c>
      <c r="H107" s="121">
        <v>10.45</v>
      </c>
      <c r="I107" s="179" t="s">
        <v>563</v>
      </c>
      <c r="J107" s="179">
        <v>3</v>
      </c>
      <c r="M107" s="179">
        <v>46032.402083333334</v>
      </c>
      <c r="N107" s="179" t="s">
        <v>551</v>
      </c>
      <c r="S107" s="179">
        <v>0</v>
      </c>
      <c r="W107" s="179" t="s">
        <v>551</v>
      </c>
      <c r="X107" s="12">
        <v>46032.402083333334</v>
      </c>
      <c r="AB107" s="12" t="s">
        <v>525</v>
      </c>
      <c r="AC107" s="12" t="s">
        <v>526</v>
      </c>
    </row>
    <row r="108" spans="1:29">
      <c r="A108" s="12" t="s">
        <v>305</v>
      </c>
      <c r="B108" s="12" t="s">
        <v>1</v>
      </c>
      <c r="C108" s="12" t="s">
        <v>240</v>
      </c>
      <c r="D108" s="12">
        <v>9</v>
      </c>
      <c r="E108" s="12">
        <v>54</v>
      </c>
      <c r="F108" s="12">
        <v>10</v>
      </c>
      <c r="G108" s="12">
        <v>594</v>
      </c>
      <c r="H108" s="121">
        <v>9.9</v>
      </c>
      <c r="I108" s="179" t="s">
        <v>574</v>
      </c>
      <c r="J108" s="179">
        <v>3</v>
      </c>
      <c r="M108" s="179">
        <v>46032.402083333334</v>
      </c>
      <c r="N108" s="179" t="s">
        <v>523</v>
      </c>
      <c r="S108" s="179">
        <v>0</v>
      </c>
      <c r="W108" s="179" t="s">
        <v>523</v>
      </c>
      <c r="X108" s="12">
        <v>46032.402083333334</v>
      </c>
      <c r="Y108" s="12" t="s">
        <v>524</v>
      </c>
      <c r="AB108" s="12" t="s">
        <v>525</v>
      </c>
      <c r="AC108" s="12" t="s">
        <v>526</v>
      </c>
    </row>
    <row r="109" spans="1:29">
      <c r="A109" s="12" t="s">
        <v>268</v>
      </c>
      <c r="B109" s="12" t="s">
        <v>1</v>
      </c>
      <c r="C109" s="12" t="s">
        <v>240</v>
      </c>
      <c r="D109" s="12">
        <v>96</v>
      </c>
      <c r="E109" s="12">
        <v>35</v>
      </c>
      <c r="F109" s="12">
        <v>97</v>
      </c>
      <c r="G109" s="12">
        <v>5795</v>
      </c>
      <c r="H109" s="121">
        <v>96.583333333333329</v>
      </c>
      <c r="I109" s="179" t="s">
        <v>577</v>
      </c>
      <c r="J109" s="179">
        <v>1</v>
      </c>
      <c r="M109" s="179">
        <v>46032.402083333334</v>
      </c>
      <c r="N109" s="179" t="s">
        <v>534</v>
      </c>
      <c r="S109" s="179">
        <v>0</v>
      </c>
      <c r="W109" s="179" t="s">
        <v>534</v>
      </c>
      <c r="X109" s="12">
        <v>46032.402777777781</v>
      </c>
      <c r="Y109" s="12" t="s">
        <v>546</v>
      </c>
      <c r="AB109" s="12" t="s">
        <v>525</v>
      </c>
      <c r="AC109" s="12" t="s">
        <v>526</v>
      </c>
    </row>
    <row r="110" spans="1:29">
      <c r="A110" s="12" t="s">
        <v>402</v>
      </c>
      <c r="B110" s="12" t="s">
        <v>1</v>
      </c>
      <c r="C110" s="12" t="s">
        <v>394</v>
      </c>
      <c r="D110" s="12">
        <v>4</v>
      </c>
      <c r="E110" s="12">
        <v>58</v>
      </c>
      <c r="F110" s="12">
        <v>5</v>
      </c>
      <c r="G110" s="12">
        <v>298</v>
      </c>
      <c r="H110" s="121">
        <v>4.9666666666666668</v>
      </c>
      <c r="I110" s="179" t="s">
        <v>578</v>
      </c>
      <c r="J110" s="179">
        <v>1</v>
      </c>
      <c r="M110" s="179">
        <v>46032.402083333334</v>
      </c>
      <c r="N110" s="179" t="s">
        <v>556</v>
      </c>
      <c r="S110" s="179">
        <v>0</v>
      </c>
      <c r="W110" s="179" t="s">
        <v>556</v>
      </c>
      <c r="X110" s="12">
        <v>46032.404166666667</v>
      </c>
      <c r="Y110" s="12" t="s">
        <v>559</v>
      </c>
      <c r="AB110" s="12" t="s">
        <v>525</v>
      </c>
      <c r="AC110" s="12" t="s">
        <v>526</v>
      </c>
    </row>
    <row r="111" spans="1:29">
      <c r="A111" s="12" t="s">
        <v>295</v>
      </c>
      <c r="B111" s="12" t="s">
        <v>1</v>
      </c>
      <c r="C111" s="12" t="s">
        <v>240</v>
      </c>
      <c r="D111" s="12">
        <v>574</v>
      </c>
      <c r="E111" s="12">
        <v>53</v>
      </c>
      <c r="F111" s="12">
        <v>575</v>
      </c>
      <c r="G111" s="12">
        <v>34493</v>
      </c>
      <c r="H111" s="121">
        <v>574.88333333333333</v>
      </c>
      <c r="I111" s="179" t="s">
        <v>579</v>
      </c>
      <c r="J111" s="179">
        <v>1</v>
      </c>
      <c r="M111" s="179">
        <v>46032.402777777781</v>
      </c>
      <c r="N111" s="179" t="s">
        <v>531</v>
      </c>
      <c r="S111" s="179">
        <v>0</v>
      </c>
      <c r="W111" s="179" t="s">
        <v>531</v>
      </c>
      <c r="X111" s="12">
        <v>46032.402777777781</v>
      </c>
      <c r="Y111" s="12" t="s">
        <v>537</v>
      </c>
      <c r="AB111" s="12" t="s">
        <v>525</v>
      </c>
      <c r="AC111" s="12" t="s">
        <v>526</v>
      </c>
    </row>
    <row r="112" spans="1:29">
      <c r="A112" s="12" t="s">
        <v>267</v>
      </c>
      <c r="B112" s="12" t="s">
        <v>1</v>
      </c>
      <c r="C112" s="12" t="s">
        <v>240</v>
      </c>
      <c r="D112" s="12">
        <v>73</v>
      </c>
      <c r="E112" s="12">
        <v>33</v>
      </c>
      <c r="F112" s="12">
        <v>74</v>
      </c>
      <c r="G112" s="12">
        <v>4413</v>
      </c>
      <c r="H112" s="121">
        <v>73.55</v>
      </c>
      <c r="I112" s="179" t="s">
        <v>574</v>
      </c>
      <c r="J112" s="179">
        <v>1</v>
      </c>
      <c r="M112" s="179">
        <v>46032.402777777781</v>
      </c>
      <c r="N112" s="179" t="s">
        <v>523</v>
      </c>
      <c r="S112" s="179">
        <v>0</v>
      </c>
      <c r="W112" s="179" t="s">
        <v>523</v>
      </c>
      <c r="X112" s="12">
        <v>46032.402777777781</v>
      </c>
      <c r="Y112" s="12" t="s">
        <v>524</v>
      </c>
      <c r="AB112" s="12" t="s">
        <v>525</v>
      </c>
      <c r="AC112" s="12" t="s">
        <v>526</v>
      </c>
    </row>
    <row r="113" spans="1:29">
      <c r="A113" s="12" t="s">
        <v>446</v>
      </c>
      <c r="B113" s="12" t="s">
        <v>1</v>
      </c>
      <c r="C113" s="12" t="s">
        <v>197</v>
      </c>
      <c r="D113" s="12">
        <v>5</v>
      </c>
      <c r="E113" s="12">
        <v>41</v>
      </c>
      <c r="F113" s="12">
        <v>6</v>
      </c>
      <c r="G113" s="12">
        <v>341</v>
      </c>
      <c r="H113" s="121">
        <v>5.6833333333333336</v>
      </c>
      <c r="I113" s="179" t="s">
        <v>578</v>
      </c>
      <c r="J113" s="179">
        <v>1</v>
      </c>
      <c r="M113" s="179">
        <v>46032.402777777781</v>
      </c>
      <c r="N113" s="179" t="s">
        <v>556</v>
      </c>
      <c r="S113" s="179">
        <v>0</v>
      </c>
      <c r="W113" s="179" t="s">
        <v>556</v>
      </c>
      <c r="X113" s="12">
        <v>46032.40347222222</v>
      </c>
      <c r="Y113" s="12" t="s">
        <v>559</v>
      </c>
      <c r="AB113" s="12" t="s">
        <v>525</v>
      </c>
      <c r="AC113" s="12" t="s">
        <v>526</v>
      </c>
    </row>
    <row r="114" spans="1:29">
      <c r="A114" s="12" t="s">
        <v>155</v>
      </c>
      <c r="B114" s="12" t="s">
        <v>1</v>
      </c>
      <c r="C114" s="12" t="s">
        <v>154</v>
      </c>
      <c r="D114" s="12">
        <v>163</v>
      </c>
      <c r="E114" s="12">
        <v>42</v>
      </c>
      <c r="F114" s="12">
        <v>164</v>
      </c>
      <c r="G114" s="12">
        <v>9822</v>
      </c>
      <c r="H114" s="121">
        <v>163.69999999999999</v>
      </c>
      <c r="I114" s="179" t="s">
        <v>576</v>
      </c>
      <c r="J114" s="179">
        <v>1</v>
      </c>
      <c r="M114" s="179">
        <v>46032.40347222222</v>
      </c>
      <c r="N114" s="179" t="s">
        <v>528</v>
      </c>
      <c r="S114" s="179">
        <v>0</v>
      </c>
      <c r="W114" s="179" t="s">
        <v>528</v>
      </c>
      <c r="X114" s="12">
        <v>46032.40347222222</v>
      </c>
      <c r="Y114" s="12" t="s">
        <v>529</v>
      </c>
      <c r="AB114" s="12" t="s">
        <v>525</v>
      </c>
      <c r="AC114" s="12" t="s">
        <v>526</v>
      </c>
    </row>
    <row r="115" spans="1:29">
      <c r="A115" s="12" t="s">
        <v>296</v>
      </c>
      <c r="B115" s="12" t="s">
        <v>1</v>
      </c>
      <c r="C115" s="12" t="s">
        <v>240</v>
      </c>
      <c r="D115" s="12">
        <v>135</v>
      </c>
      <c r="E115" s="12">
        <v>47</v>
      </c>
      <c r="F115" s="12">
        <v>136</v>
      </c>
      <c r="G115" s="12">
        <v>8147</v>
      </c>
      <c r="H115" s="121">
        <v>135.78333333333333</v>
      </c>
      <c r="I115" s="179" t="s">
        <v>580</v>
      </c>
      <c r="J115" s="179">
        <v>1</v>
      </c>
      <c r="M115" s="179">
        <v>46032.40347222222</v>
      </c>
      <c r="N115" s="179" t="s">
        <v>531</v>
      </c>
      <c r="S115" s="179">
        <v>0</v>
      </c>
      <c r="W115" s="179" t="s">
        <v>531</v>
      </c>
      <c r="X115" s="12">
        <v>46032.404166666667</v>
      </c>
      <c r="Y115" s="12" t="s">
        <v>541</v>
      </c>
      <c r="AB115" s="12" t="s">
        <v>525</v>
      </c>
      <c r="AC115" s="12" t="s">
        <v>526</v>
      </c>
    </row>
    <row r="116" spans="1:29">
      <c r="A116" s="12" t="s">
        <v>252</v>
      </c>
      <c r="B116" s="12" t="s">
        <v>1</v>
      </c>
      <c r="C116" s="12" t="s">
        <v>240</v>
      </c>
      <c r="D116" s="12">
        <v>147</v>
      </c>
      <c r="E116" s="12">
        <v>27</v>
      </c>
      <c r="F116" s="12">
        <v>148</v>
      </c>
      <c r="G116" s="12">
        <v>8847</v>
      </c>
      <c r="H116" s="121">
        <v>147.44999999999999</v>
      </c>
      <c r="I116" s="179" t="s">
        <v>577</v>
      </c>
      <c r="J116" s="179">
        <v>1</v>
      </c>
      <c r="M116" s="179">
        <v>46032.40347222222</v>
      </c>
      <c r="N116" s="179" t="s">
        <v>534</v>
      </c>
      <c r="S116" s="179">
        <v>0</v>
      </c>
      <c r="W116" s="179" t="s">
        <v>534</v>
      </c>
      <c r="X116" s="12">
        <v>46032.404166666667</v>
      </c>
      <c r="Y116" s="12" t="s">
        <v>546</v>
      </c>
      <c r="AB116" s="12" t="s">
        <v>525</v>
      </c>
      <c r="AC116" s="12" t="s">
        <v>526</v>
      </c>
    </row>
    <row r="117" spans="1:29">
      <c r="A117" s="12" t="s">
        <v>581</v>
      </c>
      <c r="B117" s="12" t="s">
        <v>1</v>
      </c>
      <c r="C117" s="12" t="s">
        <v>197</v>
      </c>
      <c r="D117" s="12">
        <v>0</v>
      </c>
      <c r="E117" s="12">
        <v>0</v>
      </c>
      <c r="F117" s="12">
        <v>0</v>
      </c>
      <c r="G117" s="12">
        <v>0</v>
      </c>
      <c r="H117" s="121">
        <v>0</v>
      </c>
      <c r="I117" s="179" t="s">
        <v>578</v>
      </c>
      <c r="J117" s="179">
        <v>1</v>
      </c>
      <c r="M117" s="179">
        <v>46032.404166666667</v>
      </c>
      <c r="N117" s="179" t="s">
        <v>556</v>
      </c>
      <c r="S117" s="179">
        <v>0</v>
      </c>
      <c r="W117" s="179" t="s">
        <v>556</v>
      </c>
      <c r="X117" s="12">
        <v>46032.404861111114</v>
      </c>
      <c r="Y117" s="12" t="s">
        <v>559</v>
      </c>
      <c r="AB117" s="12" t="s">
        <v>525</v>
      </c>
      <c r="AC117" s="12" t="s">
        <v>526</v>
      </c>
    </row>
    <row r="118" spans="1:29">
      <c r="A118" s="12" t="s">
        <v>150</v>
      </c>
      <c r="B118" s="12" t="s">
        <v>1</v>
      </c>
      <c r="C118" s="12" t="s">
        <v>140</v>
      </c>
      <c r="D118" s="12">
        <v>109</v>
      </c>
      <c r="E118" s="12">
        <v>49</v>
      </c>
      <c r="F118" s="12">
        <v>110</v>
      </c>
      <c r="G118" s="12">
        <v>6589</v>
      </c>
      <c r="H118" s="121">
        <v>109.81666666666666</v>
      </c>
      <c r="I118" s="179" t="s">
        <v>580</v>
      </c>
      <c r="J118" s="179">
        <v>1</v>
      </c>
      <c r="M118" s="179">
        <v>46032.404861111114</v>
      </c>
      <c r="N118" s="179" t="s">
        <v>531</v>
      </c>
      <c r="S118" s="179">
        <v>0</v>
      </c>
      <c r="W118" s="179" t="s">
        <v>531</v>
      </c>
      <c r="X118" s="12">
        <v>46032.404861111114</v>
      </c>
      <c r="Y118" s="12" t="s">
        <v>541</v>
      </c>
      <c r="AB118" s="12" t="s">
        <v>525</v>
      </c>
      <c r="AC118" s="12" t="s">
        <v>526</v>
      </c>
    </row>
    <row r="119" spans="1:29">
      <c r="A119" s="12" t="s">
        <v>261</v>
      </c>
      <c r="B119" s="12" t="s">
        <v>1</v>
      </c>
      <c r="C119" s="12" t="s">
        <v>240</v>
      </c>
      <c r="D119" s="12">
        <v>100</v>
      </c>
      <c r="E119" s="12">
        <v>67</v>
      </c>
      <c r="F119" s="12">
        <v>101</v>
      </c>
      <c r="G119" s="12">
        <v>6067</v>
      </c>
      <c r="H119" s="121">
        <v>101.11666666666666</v>
      </c>
      <c r="I119" s="179" t="s">
        <v>574</v>
      </c>
      <c r="J119" s="179">
        <v>1</v>
      </c>
      <c r="M119" s="179">
        <v>46032.404861111114</v>
      </c>
      <c r="N119" s="179" t="s">
        <v>523</v>
      </c>
      <c r="S119" s="179">
        <v>0</v>
      </c>
      <c r="W119" s="179" t="s">
        <v>523</v>
      </c>
      <c r="X119" s="12">
        <v>46032.404861111114</v>
      </c>
      <c r="Y119" s="12" t="s">
        <v>524</v>
      </c>
      <c r="AB119" s="12" t="s">
        <v>525</v>
      </c>
      <c r="AC119" s="12" t="s">
        <v>526</v>
      </c>
    </row>
    <row r="120" spans="1:29">
      <c r="A120" s="12" t="s">
        <v>285</v>
      </c>
      <c r="B120" s="12" t="s">
        <v>1</v>
      </c>
      <c r="C120" s="12" t="s">
        <v>240</v>
      </c>
      <c r="D120" s="12">
        <v>162</v>
      </c>
      <c r="E120" s="12">
        <v>48</v>
      </c>
      <c r="F120" s="12">
        <v>163</v>
      </c>
      <c r="G120" s="12">
        <v>9768</v>
      </c>
      <c r="H120" s="121">
        <v>162.80000000000001</v>
      </c>
      <c r="I120" s="179" t="s">
        <v>576</v>
      </c>
      <c r="J120" s="179">
        <v>1</v>
      </c>
      <c r="M120" s="179">
        <v>46032.404861111114</v>
      </c>
      <c r="N120" s="179" t="s">
        <v>528</v>
      </c>
      <c r="S120" s="179">
        <v>0</v>
      </c>
      <c r="W120" s="179" t="s">
        <v>528</v>
      </c>
      <c r="X120" s="12">
        <v>46032.405555555553</v>
      </c>
      <c r="Y120" s="12" t="s">
        <v>529</v>
      </c>
      <c r="AB120" s="12" t="s">
        <v>525</v>
      </c>
      <c r="AC120" s="12" t="s">
        <v>526</v>
      </c>
    </row>
    <row r="121" spans="1:29">
      <c r="A121" s="12" t="s">
        <v>310</v>
      </c>
      <c r="B121" s="12" t="s">
        <v>1</v>
      </c>
      <c r="C121" s="12" t="s">
        <v>311</v>
      </c>
      <c r="D121" s="12">
        <v>4</v>
      </c>
      <c r="E121" s="12">
        <v>54</v>
      </c>
      <c r="F121" s="12">
        <v>5</v>
      </c>
      <c r="G121" s="12">
        <v>294</v>
      </c>
      <c r="H121" s="121">
        <v>4.9000000000000004</v>
      </c>
      <c r="I121" s="179" t="s">
        <v>578</v>
      </c>
      <c r="J121" s="179">
        <v>1</v>
      </c>
      <c r="M121" s="179">
        <v>46032.404861111114</v>
      </c>
      <c r="N121" s="179" t="s">
        <v>556</v>
      </c>
      <c r="S121" s="179">
        <v>0</v>
      </c>
      <c r="W121" s="179" t="s">
        <v>556</v>
      </c>
      <c r="X121" s="12">
        <v>46032.405555555553</v>
      </c>
      <c r="Y121" s="12" t="s">
        <v>559</v>
      </c>
      <c r="AB121" s="12" t="s">
        <v>525</v>
      </c>
      <c r="AC121" s="12" t="s">
        <v>526</v>
      </c>
    </row>
    <row r="122" spans="1:29">
      <c r="A122" s="12" t="s">
        <v>386</v>
      </c>
      <c r="B122" s="12" t="s">
        <v>1</v>
      </c>
      <c r="C122" s="12" t="s">
        <v>240</v>
      </c>
      <c r="D122" s="12">
        <v>148</v>
      </c>
      <c r="E122" s="12">
        <v>41</v>
      </c>
      <c r="F122" s="12">
        <v>149</v>
      </c>
      <c r="G122" s="12">
        <v>8921</v>
      </c>
      <c r="H122" s="121">
        <v>148.68333333333334</v>
      </c>
      <c r="I122" s="179" t="s">
        <v>577</v>
      </c>
      <c r="J122" s="179">
        <v>1</v>
      </c>
      <c r="M122" s="179">
        <v>46032.405555555553</v>
      </c>
      <c r="N122" s="179" t="s">
        <v>534</v>
      </c>
      <c r="S122" s="179">
        <v>0</v>
      </c>
      <c r="W122" s="179" t="s">
        <v>534</v>
      </c>
      <c r="X122" s="12">
        <v>46032.405555555553</v>
      </c>
      <c r="Y122" s="12" t="s">
        <v>546</v>
      </c>
      <c r="AB122" s="12" t="s">
        <v>525</v>
      </c>
      <c r="AC122" s="12" t="s">
        <v>526</v>
      </c>
    </row>
    <row r="123" spans="1:29">
      <c r="A123" s="12" t="s">
        <v>148</v>
      </c>
      <c r="B123" s="12" t="s">
        <v>1</v>
      </c>
      <c r="C123" s="12" t="s">
        <v>140</v>
      </c>
      <c r="D123" s="12">
        <v>35</v>
      </c>
      <c r="E123" s="12">
        <v>36</v>
      </c>
      <c r="F123" s="12">
        <v>36</v>
      </c>
      <c r="G123" s="12">
        <v>2136</v>
      </c>
      <c r="H123" s="121">
        <v>35.6</v>
      </c>
      <c r="I123" s="179" t="s">
        <v>580</v>
      </c>
      <c r="J123" s="179">
        <v>1</v>
      </c>
      <c r="M123" s="179">
        <v>46032.405555555553</v>
      </c>
      <c r="N123" s="179" t="s">
        <v>531</v>
      </c>
      <c r="S123" s="179">
        <v>0</v>
      </c>
      <c r="W123" s="179" t="s">
        <v>531</v>
      </c>
      <c r="X123" s="12">
        <v>46032.405555555553</v>
      </c>
      <c r="Y123" s="12" t="s">
        <v>541</v>
      </c>
      <c r="AB123" s="12" t="s">
        <v>525</v>
      </c>
      <c r="AC123" s="12" t="s">
        <v>526</v>
      </c>
    </row>
    <row r="124" spans="1:29">
      <c r="A124" s="12" t="s">
        <v>391</v>
      </c>
      <c r="B124" s="12" t="s">
        <v>1</v>
      </c>
      <c r="C124" s="12" t="s">
        <v>373</v>
      </c>
      <c r="D124" s="12">
        <v>3</v>
      </c>
      <c r="E124" s="12">
        <v>44</v>
      </c>
      <c r="F124" s="12">
        <v>4</v>
      </c>
      <c r="G124" s="12">
        <v>224</v>
      </c>
      <c r="H124" s="121">
        <v>3.7333333333333334</v>
      </c>
      <c r="I124" s="179" t="s">
        <v>558</v>
      </c>
      <c r="J124" s="179">
        <v>1</v>
      </c>
      <c r="M124" s="179">
        <v>46032.405555555553</v>
      </c>
      <c r="N124" s="179" t="s">
        <v>539</v>
      </c>
      <c r="S124" s="179">
        <v>0</v>
      </c>
      <c r="W124" s="179" t="s">
        <v>539</v>
      </c>
      <c r="X124" s="12">
        <v>46032.415277777778</v>
      </c>
      <c r="Y124" s="12" t="s">
        <v>540</v>
      </c>
      <c r="AB124" s="12" t="s">
        <v>525</v>
      </c>
      <c r="AC124" s="12" t="s">
        <v>526</v>
      </c>
    </row>
    <row r="125" spans="1:29">
      <c r="A125" s="12" t="s">
        <v>257</v>
      </c>
      <c r="B125" s="12" t="s">
        <v>1</v>
      </c>
      <c r="C125" s="12" t="s">
        <v>240</v>
      </c>
      <c r="D125" s="12">
        <v>315</v>
      </c>
      <c r="E125" s="12">
        <v>10</v>
      </c>
      <c r="F125" s="12">
        <v>316</v>
      </c>
      <c r="G125" s="12">
        <v>18910</v>
      </c>
      <c r="H125" s="121">
        <v>315.16666666666669</v>
      </c>
      <c r="I125" s="179" t="s">
        <v>582</v>
      </c>
      <c r="J125" s="179">
        <v>1</v>
      </c>
      <c r="M125" s="179">
        <v>46032.405555555553</v>
      </c>
      <c r="N125" s="179" t="s">
        <v>568</v>
      </c>
      <c r="S125" s="179">
        <v>0</v>
      </c>
      <c r="W125" s="179" t="s">
        <v>568</v>
      </c>
      <c r="X125" s="12">
        <v>46032.405555555553</v>
      </c>
      <c r="Y125" s="12" t="s">
        <v>573</v>
      </c>
      <c r="AB125" s="12" t="s">
        <v>525</v>
      </c>
      <c r="AC125" s="12" t="s">
        <v>526</v>
      </c>
    </row>
    <row r="126" spans="1:29">
      <c r="A126" s="12" t="s">
        <v>281</v>
      </c>
      <c r="B126" s="12" t="s">
        <v>1</v>
      </c>
      <c r="C126" s="12" t="s">
        <v>240</v>
      </c>
      <c r="D126" s="12">
        <v>133</v>
      </c>
      <c r="E126" s="12">
        <v>37</v>
      </c>
      <c r="F126" s="12">
        <v>134</v>
      </c>
      <c r="G126" s="12">
        <v>8017</v>
      </c>
      <c r="H126" s="121">
        <v>133.61666666666667</v>
      </c>
      <c r="I126" s="179" t="s">
        <v>575</v>
      </c>
      <c r="J126" s="179">
        <v>1</v>
      </c>
      <c r="M126" s="179">
        <v>46032.405555555553</v>
      </c>
      <c r="N126" s="179" t="s">
        <v>523</v>
      </c>
      <c r="S126" s="179">
        <v>0</v>
      </c>
      <c r="W126" s="179" t="s">
        <v>523</v>
      </c>
      <c r="X126" s="12">
        <v>46032.40625</v>
      </c>
      <c r="Y126" s="12" t="s">
        <v>524</v>
      </c>
      <c r="AB126" s="12" t="s">
        <v>525</v>
      </c>
      <c r="AC126" s="12" t="s">
        <v>526</v>
      </c>
    </row>
    <row r="127" spans="1:29">
      <c r="A127" s="12" t="s">
        <v>403</v>
      </c>
      <c r="B127" s="12" t="s">
        <v>1</v>
      </c>
      <c r="C127" s="12" t="s">
        <v>394</v>
      </c>
      <c r="D127" s="12">
        <v>2</v>
      </c>
      <c r="E127" s="12">
        <v>63</v>
      </c>
      <c r="F127" s="12">
        <v>3</v>
      </c>
      <c r="G127" s="12">
        <v>183</v>
      </c>
      <c r="H127" s="121">
        <v>3.05</v>
      </c>
      <c r="I127" s="179" t="s">
        <v>578</v>
      </c>
      <c r="J127" s="179">
        <v>1</v>
      </c>
      <c r="M127" s="179">
        <v>46032.405555555553</v>
      </c>
      <c r="N127" s="179" t="s">
        <v>556</v>
      </c>
      <c r="S127" s="179">
        <v>0</v>
      </c>
      <c r="W127" s="179" t="s">
        <v>556</v>
      </c>
      <c r="X127" s="12">
        <v>46032.40625</v>
      </c>
      <c r="Y127" s="12" t="s">
        <v>559</v>
      </c>
      <c r="AB127" s="12" t="s">
        <v>525</v>
      </c>
      <c r="AC127" s="12" t="s">
        <v>526</v>
      </c>
    </row>
    <row r="128" spans="1:29">
      <c r="A128" s="12" t="s">
        <v>273</v>
      </c>
      <c r="B128" s="12" t="s">
        <v>1</v>
      </c>
      <c r="C128" s="12" t="s">
        <v>240</v>
      </c>
      <c r="D128" s="12">
        <v>35</v>
      </c>
      <c r="E128" s="12">
        <v>37</v>
      </c>
      <c r="F128" s="12">
        <v>36</v>
      </c>
      <c r="G128" s="12">
        <v>2137</v>
      </c>
      <c r="H128" s="121">
        <v>35.616666666666667</v>
      </c>
      <c r="I128" s="179" t="s">
        <v>563</v>
      </c>
      <c r="J128" s="179">
        <v>1</v>
      </c>
      <c r="M128" s="179">
        <v>46032.40625</v>
      </c>
      <c r="N128" s="179" t="s">
        <v>551</v>
      </c>
      <c r="S128" s="179">
        <v>0</v>
      </c>
      <c r="W128" s="179" t="s">
        <v>551</v>
      </c>
      <c r="X128" s="12">
        <v>46032.40625</v>
      </c>
      <c r="AB128" s="12" t="s">
        <v>525</v>
      </c>
      <c r="AC128" s="12" t="s">
        <v>526</v>
      </c>
    </row>
    <row r="129" spans="1:29">
      <c r="A129" s="12" t="s">
        <v>265</v>
      </c>
      <c r="B129" s="12" t="s">
        <v>1</v>
      </c>
      <c r="C129" s="12" t="s">
        <v>240</v>
      </c>
      <c r="D129" s="12">
        <v>143</v>
      </c>
      <c r="E129" s="12">
        <v>55</v>
      </c>
      <c r="F129" s="12">
        <v>144</v>
      </c>
      <c r="G129" s="12">
        <v>8635</v>
      </c>
      <c r="H129" s="121">
        <v>143.91666666666666</v>
      </c>
      <c r="I129" s="179" t="s">
        <v>583</v>
      </c>
      <c r="J129" s="179">
        <v>1</v>
      </c>
      <c r="M129" s="179">
        <v>46032.40625</v>
      </c>
      <c r="N129" s="179" t="s">
        <v>531</v>
      </c>
      <c r="S129" s="179">
        <v>0</v>
      </c>
      <c r="W129" s="179" t="s">
        <v>531</v>
      </c>
      <c r="X129" s="12">
        <v>46032.40625</v>
      </c>
      <c r="Y129" s="12" t="s">
        <v>537</v>
      </c>
      <c r="AB129" s="12" t="s">
        <v>525</v>
      </c>
      <c r="AC129" s="12" t="s">
        <v>526</v>
      </c>
    </row>
    <row r="130" spans="1:29">
      <c r="A130" s="12" t="s">
        <v>315</v>
      </c>
      <c r="B130" s="12" t="s">
        <v>1</v>
      </c>
      <c r="C130" s="12" t="s">
        <v>314</v>
      </c>
      <c r="D130" s="12">
        <v>13</v>
      </c>
      <c r="E130" s="12">
        <v>26</v>
      </c>
      <c r="F130" s="12">
        <v>14</v>
      </c>
      <c r="G130" s="12">
        <v>676</v>
      </c>
      <c r="H130" s="121">
        <v>13.52</v>
      </c>
      <c r="I130" s="179" t="s">
        <v>577</v>
      </c>
      <c r="J130" s="179">
        <v>1</v>
      </c>
      <c r="M130" s="179">
        <v>46032.40625</v>
      </c>
      <c r="N130" s="179" t="s">
        <v>534</v>
      </c>
      <c r="S130" s="179">
        <v>0</v>
      </c>
      <c r="W130" s="179" t="s">
        <v>534</v>
      </c>
      <c r="X130" s="12">
        <v>46032.40625</v>
      </c>
      <c r="Y130" s="12" t="s">
        <v>546</v>
      </c>
      <c r="AB130" s="12" t="s">
        <v>525</v>
      </c>
      <c r="AC130" s="12" t="s">
        <v>526</v>
      </c>
    </row>
    <row r="131" spans="1:29">
      <c r="A131" s="12" t="s">
        <v>238</v>
      </c>
      <c r="B131" s="12" t="s">
        <v>1</v>
      </c>
      <c r="C131" s="12" t="s">
        <v>197</v>
      </c>
      <c r="D131" s="12">
        <v>2</v>
      </c>
      <c r="E131" s="12">
        <v>3</v>
      </c>
      <c r="F131" s="12">
        <v>3</v>
      </c>
      <c r="G131" s="12">
        <v>123</v>
      </c>
      <c r="H131" s="121">
        <v>2.0499999999999998</v>
      </c>
      <c r="I131" s="179" t="s">
        <v>584</v>
      </c>
      <c r="J131" s="179">
        <v>1</v>
      </c>
      <c r="M131" s="179">
        <v>46032.406944444447</v>
      </c>
      <c r="N131" s="179" t="s">
        <v>556</v>
      </c>
      <c r="S131" s="179">
        <v>0</v>
      </c>
      <c r="W131" s="179" t="s">
        <v>556</v>
      </c>
      <c r="X131" s="12">
        <v>46032.406944444447</v>
      </c>
      <c r="Y131" s="12" t="s">
        <v>559</v>
      </c>
      <c r="AB131" s="12" t="s">
        <v>525</v>
      </c>
      <c r="AC131" s="12" t="s">
        <v>526</v>
      </c>
    </row>
    <row r="132" spans="1:29">
      <c r="A132" s="12" t="s">
        <v>261</v>
      </c>
      <c r="B132" s="12" t="s">
        <v>1</v>
      </c>
      <c r="C132" s="12" t="s">
        <v>373</v>
      </c>
      <c r="D132" s="12">
        <v>5</v>
      </c>
      <c r="E132" s="12">
        <v>25</v>
      </c>
      <c r="F132" s="12">
        <v>6</v>
      </c>
      <c r="G132" s="12">
        <v>325</v>
      </c>
      <c r="H132" s="121">
        <v>5.416666666666667</v>
      </c>
      <c r="I132" s="179" t="s">
        <v>558</v>
      </c>
      <c r="J132" s="179">
        <v>1</v>
      </c>
      <c r="M132" s="179">
        <v>46032.406944444447</v>
      </c>
      <c r="N132" s="179" t="s">
        <v>539</v>
      </c>
      <c r="S132" s="179">
        <v>0</v>
      </c>
      <c r="W132" s="179" t="s">
        <v>539</v>
      </c>
      <c r="X132" s="12">
        <v>46032.415972222225</v>
      </c>
      <c r="Y132" s="12" t="s">
        <v>540</v>
      </c>
      <c r="AB132" s="12" t="s">
        <v>525</v>
      </c>
      <c r="AC132" s="12" t="s">
        <v>526</v>
      </c>
    </row>
    <row r="133" spans="1:29">
      <c r="A133" s="12" t="s">
        <v>306</v>
      </c>
      <c r="B133" s="12" t="s">
        <v>1</v>
      </c>
      <c r="C133" s="12" t="s">
        <v>240</v>
      </c>
      <c r="D133" s="12">
        <v>8</v>
      </c>
      <c r="E133" s="12">
        <v>34</v>
      </c>
      <c r="F133" s="12">
        <v>9</v>
      </c>
      <c r="G133" s="12">
        <v>514</v>
      </c>
      <c r="H133" s="121">
        <v>8.5666666666666664</v>
      </c>
      <c r="I133" s="179" t="s">
        <v>563</v>
      </c>
      <c r="J133" s="179">
        <v>2</v>
      </c>
      <c r="M133" s="179">
        <v>46032.406944444447</v>
      </c>
      <c r="N133" s="179" t="s">
        <v>551</v>
      </c>
      <c r="S133" s="179">
        <v>0</v>
      </c>
      <c r="W133" s="179" t="s">
        <v>551</v>
      </c>
      <c r="X133" s="12">
        <v>46032.406944444447</v>
      </c>
      <c r="AB133" s="12" t="s">
        <v>525</v>
      </c>
      <c r="AC133" s="12" t="s">
        <v>526</v>
      </c>
    </row>
    <row r="134" spans="1:29">
      <c r="A134" s="12" t="s">
        <v>266</v>
      </c>
      <c r="B134" s="12" t="s">
        <v>1</v>
      </c>
      <c r="C134" s="12" t="s">
        <v>240</v>
      </c>
      <c r="D134" s="12">
        <v>107</v>
      </c>
      <c r="E134" s="12">
        <v>38</v>
      </c>
      <c r="F134" s="12">
        <v>108</v>
      </c>
      <c r="G134" s="12">
        <v>6458</v>
      </c>
      <c r="H134" s="121">
        <v>107.63333333333334</v>
      </c>
      <c r="I134" s="179" t="s">
        <v>583</v>
      </c>
      <c r="J134" s="179">
        <v>1</v>
      </c>
      <c r="M134" s="179">
        <v>46032.406944444447</v>
      </c>
      <c r="N134" s="179" t="s">
        <v>531</v>
      </c>
      <c r="S134" s="179">
        <v>0</v>
      </c>
      <c r="W134" s="179" t="s">
        <v>531</v>
      </c>
      <c r="X134" s="12">
        <v>46032.406944444447</v>
      </c>
      <c r="Y134" s="12" t="s">
        <v>537</v>
      </c>
      <c r="AB134" s="12" t="s">
        <v>525</v>
      </c>
      <c r="AC134" s="12" t="s">
        <v>526</v>
      </c>
    </row>
    <row r="135" spans="1:29">
      <c r="A135" s="12" t="s">
        <v>316</v>
      </c>
      <c r="B135" s="12" t="s">
        <v>1</v>
      </c>
      <c r="C135" s="12" t="s">
        <v>314</v>
      </c>
      <c r="D135" s="12">
        <v>27</v>
      </c>
      <c r="E135" s="12">
        <v>48</v>
      </c>
      <c r="F135" s="12">
        <v>28</v>
      </c>
      <c r="G135" s="12">
        <v>1398</v>
      </c>
      <c r="H135" s="121">
        <v>27.96</v>
      </c>
      <c r="I135" s="179" t="s">
        <v>577</v>
      </c>
      <c r="J135" s="179">
        <v>2</v>
      </c>
      <c r="M135" s="179">
        <v>46032.407638888886</v>
      </c>
      <c r="N135" s="179" t="s">
        <v>534</v>
      </c>
      <c r="S135" s="179">
        <v>0</v>
      </c>
      <c r="W135" s="179" t="s">
        <v>534</v>
      </c>
      <c r="X135" s="12">
        <v>46032.407638888886</v>
      </c>
      <c r="Y135" s="12" t="s">
        <v>546</v>
      </c>
      <c r="AB135" s="12" t="s">
        <v>525</v>
      </c>
      <c r="AC135" s="12" t="s">
        <v>526</v>
      </c>
    </row>
    <row r="136" spans="1:29">
      <c r="A136" s="12" t="s">
        <v>449</v>
      </c>
      <c r="B136" s="12" t="s">
        <v>1</v>
      </c>
      <c r="C136" s="12" t="s">
        <v>197</v>
      </c>
      <c r="D136" s="12">
        <v>3</v>
      </c>
      <c r="E136" s="12">
        <v>25</v>
      </c>
      <c r="F136" s="12">
        <v>4</v>
      </c>
      <c r="G136" s="12">
        <v>205</v>
      </c>
      <c r="H136" s="121">
        <v>3.4166666666666665</v>
      </c>
      <c r="I136" s="179" t="s">
        <v>584</v>
      </c>
      <c r="J136" s="179">
        <v>1</v>
      </c>
      <c r="M136" s="179">
        <v>46032.407638888886</v>
      </c>
      <c r="N136" s="179" t="s">
        <v>556</v>
      </c>
      <c r="S136" s="179">
        <v>0</v>
      </c>
      <c r="W136" s="179" t="s">
        <v>556</v>
      </c>
      <c r="X136" s="12">
        <v>46032.40902777778</v>
      </c>
      <c r="Y136" s="12" t="s">
        <v>557</v>
      </c>
      <c r="AB136" s="12" t="s">
        <v>525</v>
      </c>
      <c r="AC136" s="12" t="s">
        <v>526</v>
      </c>
    </row>
    <row r="137" spans="1:29">
      <c r="A137" s="12" t="s">
        <v>264</v>
      </c>
      <c r="B137" s="12" t="s">
        <v>1</v>
      </c>
      <c r="C137" s="12" t="s">
        <v>240</v>
      </c>
      <c r="D137" s="12">
        <v>107</v>
      </c>
      <c r="E137" s="12">
        <v>18</v>
      </c>
      <c r="F137" s="12">
        <v>108</v>
      </c>
      <c r="G137" s="12">
        <v>6438</v>
      </c>
      <c r="H137" s="121">
        <v>107.3</v>
      </c>
      <c r="I137" s="179" t="s">
        <v>585</v>
      </c>
      <c r="J137" s="179">
        <v>1</v>
      </c>
      <c r="M137" s="179">
        <v>46032.407638888886</v>
      </c>
      <c r="N137" s="179" t="s">
        <v>531</v>
      </c>
      <c r="S137" s="179">
        <v>0</v>
      </c>
      <c r="W137" s="179" t="s">
        <v>531</v>
      </c>
      <c r="X137" s="12">
        <v>46032.407638888886</v>
      </c>
      <c r="Y137" s="12" t="s">
        <v>537</v>
      </c>
      <c r="AB137" s="12" t="s">
        <v>525</v>
      </c>
      <c r="AC137" s="12" t="s">
        <v>526</v>
      </c>
    </row>
    <row r="138" spans="1:29">
      <c r="A138" s="12" t="s">
        <v>132</v>
      </c>
      <c r="B138" s="12" t="s">
        <v>1</v>
      </c>
      <c r="C138" s="12" t="s">
        <v>133</v>
      </c>
      <c r="D138" s="12">
        <v>222</v>
      </c>
      <c r="E138" s="12">
        <v>44</v>
      </c>
      <c r="F138" s="12">
        <v>223</v>
      </c>
      <c r="G138" s="12">
        <v>13364</v>
      </c>
      <c r="H138" s="121">
        <v>222.73333333333332</v>
      </c>
      <c r="I138" s="179" t="s">
        <v>575</v>
      </c>
      <c r="J138" s="179">
        <v>1</v>
      </c>
      <c r="M138" s="179">
        <v>46032.407638888886</v>
      </c>
      <c r="N138" s="179" t="s">
        <v>523</v>
      </c>
      <c r="S138" s="179">
        <v>0</v>
      </c>
      <c r="W138" s="179" t="s">
        <v>523</v>
      </c>
      <c r="X138" s="12">
        <v>46032.408333333333</v>
      </c>
      <c r="Y138" s="12" t="s">
        <v>524</v>
      </c>
      <c r="AB138" s="12" t="s">
        <v>525</v>
      </c>
      <c r="AC138" s="12" t="s">
        <v>526</v>
      </c>
    </row>
    <row r="139" spans="1:29">
      <c r="A139" s="12" t="s">
        <v>247</v>
      </c>
      <c r="B139" s="12" t="s">
        <v>1</v>
      </c>
      <c r="C139" s="12" t="s">
        <v>240</v>
      </c>
      <c r="D139" s="12">
        <v>54</v>
      </c>
      <c r="E139" s="12">
        <v>15</v>
      </c>
      <c r="F139" s="12">
        <v>55</v>
      </c>
      <c r="G139" s="12">
        <v>3255</v>
      </c>
      <c r="H139" s="121">
        <v>54.25</v>
      </c>
      <c r="I139" s="179" t="s">
        <v>563</v>
      </c>
      <c r="J139" s="179">
        <v>1</v>
      </c>
      <c r="M139" s="179">
        <v>46032.407638888886</v>
      </c>
      <c r="N139" s="179" t="s">
        <v>551</v>
      </c>
      <c r="S139" s="179">
        <v>0</v>
      </c>
      <c r="W139" s="179" t="s">
        <v>551</v>
      </c>
      <c r="X139" s="12">
        <v>46032.407638888886</v>
      </c>
      <c r="AB139" s="12" t="s">
        <v>525</v>
      </c>
      <c r="AC139" s="12" t="s">
        <v>526</v>
      </c>
    </row>
    <row r="140" spans="1:29">
      <c r="A140" s="12" t="s">
        <v>291</v>
      </c>
      <c r="B140" s="12" t="s">
        <v>1</v>
      </c>
      <c r="C140" s="12" t="s">
        <v>240</v>
      </c>
      <c r="D140" s="12">
        <v>5</v>
      </c>
      <c r="E140" s="12">
        <v>53</v>
      </c>
      <c r="F140" s="12">
        <v>6</v>
      </c>
      <c r="G140" s="12">
        <v>353</v>
      </c>
      <c r="H140" s="121">
        <v>5.8833333333333337</v>
      </c>
      <c r="I140" s="179" t="s">
        <v>558</v>
      </c>
      <c r="J140" s="179">
        <v>1</v>
      </c>
      <c r="M140" s="179">
        <v>46032.407638888886</v>
      </c>
      <c r="N140" s="179" t="s">
        <v>539</v>
      </c>
      <c r="S140" s="179">
        <v>0</v>
      </c>
      <c r="W140" s="179" t="s">
        <v>539</v>
      </c>
      <c r="X140" s="12">
        <v>46032.515972222223</v>
      </c>
      <c r="Y140" s="12" t="s">
        <v>540</v>
      </c>
      <c r="AB140" s="12" t="s">
        <v>525</v>
      </c>
      <c r="AC140" s="12" t="s">
        <v>526</v>
      </c>
    </row>
    <row r="141" spans="1:29">
      <c r="A141" s="12" t="s">
        <v>450</v>
      </c>
      <c r="B141" s="12" t="s">
        <v>1</v>
      </c>
      <c r="C141" s="12" t="s">
        <v>197</v>
      </c>
      <c r="D141" s="12">
        <v>5</v>
      </c>
      <c r="E141" s="12">
        <v>54</v>
      </c>
      <c r="F141" s="12">
        <v>6</v>
      </c>
      <c r="G141" s="12">
        <v>354</v>
      </c>
      <c r="H141" s="121">
        <v>5.9</v>
      </c>
      <c r="I141" s="179" t="s">
        <v>584</v>
      </c>
      <c r="J141" s="179">
        <v>1</v>
      </c>
      <c r="M141" s="179">
        <v>46032.408333333333</v>
      </c>
      <c r="N141" s="179" t="s">
        <v>556</v>
      </c>
      <c r="S141" s="179">
        <v>0</v>
      </c>
      <c r="W141" s="179" t="s">
        <v>556</v>
      </c>
      <c r="X141" s="12">
        <v>46032.408333333333</v>
      </c>
      <c r="Y141" s="12" t="s">
        <v>559</v>
      </c>
      <c r="AB141" s="12" t="s">
        <v>525</v>
      </c>
      <c r="AC141" s="12" t="s">
        <v>526</v>
      </c>
    </row>
    <row r="142" spans="1:29">
      <c r="A142" s="12" t="s">
        <v>317</v>
      </c>
      <c r="B142" s="12" t="s">
        <v>1</v>
      </c>
      <c r="C142" s="12" t="s">
        <v>314</v>
      </c>
      <c r="D142" s="12">
        <v>13</v>
      </c>
      <c r="E142" s="12">
        <v>22</v>
      </c>
      <c r="F142" s="12">
        <v>14</v>
      </c>
      <c r="G142" s="12">
        <v>672</v>
      </c>
      <c r="H142" s="121">
        <v>13.44</v>
      </c>
      <c r="I142" s="179" t="s">
        <v>577</v>
      </c>
      <c r="J142" s="179">
        <v>3</v>
      </c>
      <c r="M142" s="179">
        <v>46032.408333333333</v>
      </c>
      <c r="N142" s="179" t="s">
        <v>534</v>
      </c>
      <c r="S142" s="179">
        <v>0</v>
      </c>
      <c r="W142" s="179" t="s">
        <v>534</v>
      </c>
      <c r="X142" s="12">
        <v>46032.408333333333</v>
      </c>
      <c r="Y142" s="12" t="s">
        <v>546</v>
      </c>
      <c r="AB142" s="12" t="s">
        <v>525</v>
      </c>
      <c r="AC142" s="12" t="s">
        <v>526</v>
      </c>
    </row>
    <row r="143" spans="1:29">
      <c r="A143" s="12" t="s">
        <v>280</v>
      </c>
      <c r="B143" s="12" t="s">
        <v>1</v>
      </c>
      <c r="C143" s="12" t="s">
        <v>240</v>
      </c>
      <c r="D143" s="12">
        <v>23</v>
      </c>
      <c r="E143" s="12">
        <v>40</v>
      </c>
      <c r="F143" s="12">
        <v>24</v>
      </c>
      <c r="G143" s="12">
        <v>1420</v>
      </c>
      <c r="H143" s="121">
        <v>23.666666666666668</v>
      </c>
      <c r="I143" s="179" t="s">
        <v>563</v>
      </c>
      <c r="J143" s="179">
        <v>2</v>
      </c>
      <c r="M143" s="179">
        <v>46032.408333333333</v>
      </c>
      <c r="N143" s="179" t="s">
        <v>551</v>
      </c>
      <c r="S143" s="179">
        <v>0</v>
      </c>
      <c r="W143" s="179" t="s">
        <v>551</v>
      </c>
      <c r="X143" s="12">
        <v>46032.408333333333</v>
      </c>
      <c r="AB143" s="12" t="s">
        <v>525</v>
      </c>
      <c r="AC143" s="12" t="s">
        <v>526</v>
      </c>
    </row>
    <row r="144" spans="1:29">
      <c r="A144" s="12" t="s">
        <v>300</v>
      </c>
      <c r="B144" s="12" t="s">
        <v>1</v>
      </c>
      <c r="C144" s="12" t="s">
        <v>240</v>
      </c>
      <c r="D144" s="12">
        <v>251</v>
      </c>
      <c r="E144" s="12">
        <v>38</v>
      </c>
      <c r="F144" s="12">
        <v>252</v>
      </c>
      <c r="G144" s="12">
        <v>15098</v>
      </c>
      <c r="H144" s="121">
        <v>251.63333333333333</v>
      </c>
      <c r="I144" s="179" t="s">
        <v>582</v>
      </c>
      <c r="J144" s="179">
        <v>1</v>
      </c>
      <c r="M144" s="179">
        <v>46032.40902777778</v>
      </c>
      <c r="N144" s="179" t="s">
        <v>562</v>
      </c>
      <c r="S144" s="179">
        <v>0</v>
      </c>
      <c r="W144" s="179" t="s">
        <v>562</v>
      </c>
      <c r="X144" s="12">
        <v>46032.40902777778</v>
      </c>
      <c r="Y144" s="12" t="s">
        <v>524</v>
      </c>
      <c r="AB144" s="12" t="s">
        <v>525</v>
      </c>
      <c r="AC144" s="12" t="s">
        <v>526</v>
      </c>
    </row>
    <row r="145" spans="1:29">
      <c r="A145" s="12" t="s">
        <v>258</v>
      </c>
      <c r="B145" s="12" t="s">
        <v>1</v>
      </c>
      <c r="C145" s="12" t="s">
        <v>373</v>
      </c>
      <c r="D145" s="12">
        <v>7</v>
      </c>
      <c r="E145" s="12">
        <v>32</v>
      </c>
      <c r="F145" s="12">
        <v>8</v>
      </c>
      <c r="G145" s="12">
        <v>452</v>
      </c>
      <c r="H145" s="121">
        <v>7.5333333333333332</v>
      </c>
      <c r="I145" s="179" t="s">
        <v>575</v>
      </c>
      <c r="J145" s="179">
        <v>1</v>
      </c>
      <c r="M145" s="179">
        <v>46032.40902777778</v>
      </c>
      <c r="N145" s="179" t="s">
        <v>523</v>
      </c>
      <c r="S145" s="179">
        <v>0</v>
      </c>
      <c r="AC145" s="12" t="s">
        <v>526</v>
      </c>
    </row>
    <row r="146" spans="1:29">
      <c r="A146" s="12" t="s">
        <v>345</v>
      </c>
      <c r="B146" s="12" t="s">
        <v>1</v>
      </c>
      <c r="C146" s="12" t="s">
        <v>344</v>
      </c>
      <c r="D146" s="12">
        <v>5</v>
      </c>
      <c r="E146" s="12">
        <v>52</v>
      </c>
      <c r="F146" s="12">
        <v>6</v>
      </c>
      <c r="G146" s="12">
        <v>352</v>
      </c>
      <c r="H146" s="121">
        <v>5.8666666666666663</v>
      </c>
      <c r="I146" s="179" t="s">
        <v>578</v>
      </c>
      <c r="J146" s="179">
        <v>1</v>
      </c>
      <c r="M146" s="179">
        <v>46032.40902777778</v>
      </c>
      <c r="N146" s="179" t="s">
        <v>556</v>
      </c>
      <c r="S146" s="179">
        <v>0</v>
      </c>
      <c r="W146" s="179" t="s">
        <v>556</v>
      </c>
      <c r="X146" s="12">
        <v>46032.409722222219</v>
      </c>
      <c r="Y146" s="12" t="s">
        <v>559</v>
      </c>
      <c r="AB146" s="12" t="s">
        <v>525</v>
      </c>
      <c r="AC146" s="12" t="s">
        <v>526</v>
      </c>
    </row>
    <row r="147" spans="1:29">
      <c r="A147" s="12" t="s">
        <v>254</v>
      </c>
      <c r="B147" s="12" t="s">
        <v>1</v>
      </c>
      <c r="C147" s="12" t="s">
        <v>373</v>
      </c>
      <c r="D147" s="12">
        <v>36</v>
      </c>
      <c r="E147" s="12">
        <v>64</v>
      </c>
      <c r="F147" s="12">
        <v>37</v>
      </c>
      <c r="G147" s="12">
        <v>2224</v>
      </c>
      <c r="H147" s="121">
        <v>37.06666666666667</v>
      </c>
      <c r="I147" s="179" t="s">
        <v>577</v>
      </c>
      <c r="J147" s="179">
        <v>4</v>
      </c>
      <c r="M147" s="179">
        <v>46032.409722222219</v>
      </c>
      <c r="N147" s="179" t="s">
        <v>534</v>
      </c>
      <c r="S147" s="179">
        <v>0</v>
      </c>
      <c r="W147" s="179" t="s">
        <v>534</v>
      </c>
      <c r="X147" s="12">
        <v>46032.409722222219</v>
      </c>
      <c r="Y147" s="12" t="s">
        <v>546</v>
      </c>
      <c r="AB147" s="12" t="s">
        <v>525</v>
      </c>
      <c r="AC147" s="12" t="s">
        <v>526</v>
      </c>
    </row>
    <row r="148" spans="1:29">
      <c r="A148" s="12" t="s">
        <v>390</v>
      </c>
      <c r="B148" s="12" t="s">
        <v>1</v>
      </c>
      <c r="C148" s="12" t="s">
        <v>240</v>
      </c>
      <c r="D148" s="12">
        <v>252</v>
      </c>
      <c r="E148" s="12">
        <v>55</v>
      </c>
      <c r="F148" s="12">
        <v>253</v>
      </c>
      <c r="G148" s="12">
        <v>15175</v>
      </c>
      <c r="H148" s="121">
        <v>252.91666666666666</v>
      </c>
      <c r="I148" s="179" t="s">
        <v>582</v>
      </c>
      <c r="J148" s="179">
        <v>1</v>
      </c>
      <c r="M148" s="179">
        <v>46032.409722222219</v>
      </c>
      <c r="N148" s="179" t="s">
        <v>568</v>
      </c>
      <c r="S148" s="179">
        <v>0</v>
      </c>
      <c r="W148" s="179" t="s">
        <v>568</v>
      </c>
      <c r="X148" s="12">
        <v>46032.409722222219</v>
      </c>
      <c r="Y148" s="12" t="s">
        <v>586</v>
      </c>
      <c r="AB148" s="12" t="s">
        <v>525</v>
      </c>
      <c r="AC148" s="12" t="s">
        <v>526</v>
      </c>
    </row>
    <row r="149" spans="1:29">
      <c r="A149" s="12" t="s">
        <v>271</v>
      </c>
      <c r="B149" s="12" t="s">
        <v>1</v>
      </c>
      <c r="C149" s="12" t="s">
        <v>373</v>
      </c>
      <c r="D149" s="12">
        <v>16</v>
      </c>
      <c r="E149" s="12">
        <v>25</v>
      </c>
      <c r="F149" s="12">
        <v>17</v>
      </c>
      <c r="G149" s="12">
        <v>985</v>
      </c>
      <c r="H149" s="121">
        <v>16.416666666666668</v>
      </c>
      <c r="I149" s="179" t="s">
        <v>563</v>
      </c>
      <c r="J149" s="179">
        <v>1</v>
      </c>
      <c r="M149" s="179">
        <v>46032.409722222219</v>
      </c>
      <c r="N149" s="179" t="s">
        <v>551</v>
      </c>
      <c r="S149" s="179">
        <v>0</v>
      </c>
      <c r="W149" s="179" t="s">
        <v>551</v>
      </c>
      <c r="X149" s="12">
        <v>46032.409722222219</v>
      </c>
      <c r="AB149" s="12" t="s">
        <v>525</v>
      </c>
      <c r="AC149" s="12" t="s">
        <v>526</v>
      </c>
    </row>
    <row r="150" spans="1:29">
      <c r="A150" s="12" t="s">
        <v>52</v>
      </c>
      <c r="B150" s="12" t="s">
        <v>1</v>
      </c>
      <c r="C150" s="12" t="s">
        <v>197</v>
      </c>
      <c r="D150" s="12">
        <v>18</v>
      </c>
      <c r="E150" s="12">
        <v>16</v>
      </c>
      <c r="F150" s="12">
        <v>19</v>
      </c>
      <c r="G150" s="12">
        <v>1096</v>
      </c>
      <c r="H150" s="121">
        <v>18.266666666666666</v>
      </c>
      <c r="I150" s="179" t="s">
        <v>587</v>
      </c>
      <c r="J150" s="179">
        <v>1</v>
      </c>
      <c r="M150" s="179">
        <v>46032.409722222219</v>
      </c>
      <c r="N150" s="179" t="s">
        <v>549</v>
      </c>
      <c r="S150" s="179">
        <v>0</v>
      </c>
      <c r="W150" s="179" t="s">
        <v>549</v>
      </c>
      <c r="X150" s="12">
        <v>46032.409722222219</v>
      </c>
      <c r="Y150" s="12" t="s">
        <v>541</v>
      </c>
      <c r="AB150" s="12" t="s">
        <v>525</v>
      </c>
      <c r="AC150" s="12" t="s">
        <v>526</v>
      </c>
    </row>
    <row r="151" spans="1:29">
      <c r="A151" s="12" t="s">
        <v>452</v>
      </c>
      <c r="B151" s="12" t="s">
        <v>1</v>
      </c>
      <c r="C151" s="12" t="s">
        <v>197</v>
      </c>
      <c r="D151" s="12">
        <v>4</v>
      </c>
      <c r="E151" s="12">
        <v>46</v>
      </c>
      <c r="F151" s="12">
        <v>5</v>
      </c>
      <c r="G151" s="12">
        <v>286</v>
      </c>
      <c r="H151" s="121">
        <v>4.7666666666666666</v>
      </c>
      <c r="I151" s="179" t="s">
        <v>578</v>
      </c>
      <c r="J151" s="179">
        <v>1</v>
      </c>
      <c r="M151" s="179">
        <v>46032.409722222219</v>
      </c>
      <c r="N151" s="179" t="s">
        <v>556</v>
      </c>
      <c r="S151" s="179">
        <v>0</v>
      </c>
      <c r="W151" s="179" t="s">
        <v>556</v>
      </c>
      <c r="X151" s="12">
        <v>46032.409722222219</v>
      </c>
      <c r="Y151" s="12" t="s">
        <v>559</v>
      </c>
      <c r="AB151" s="12" t="s">
        <v>525</v>
      </c>
      <c r="AC151" s="12" t="s">
        <v>526</v>
      </c>
    </row>
    <row r="152" spans="1:29">
      <c r="A152" s="12" t="s">
        <v>448</v>
      </c>
      <c r="B152" s="12" t="s">
        <v>1</v>
      </c>
      <c r="C152" s="12" t="s">
        <v>197</v>
      </c>
      <c r="D152" s="12">
        <v>4</v>
      </c>
      <c r="E152" s="12">
        <v>25</v>
      </c>
      <c r="F152" s="12">
        <v>5</v>
      </c>
      <c r="G152" s="12">
        <v>265</v>
      </c>
      <c r="H152" s="121">
        <v>4.416666666666667</v>
      </c>
      <c r="I152" s="179" t="s">
        <v>578</v>
      </c>
      <c r="J152" s="179">
        <v>1</v>
      </c>
      <c r="M152" s="179">
        <v>46032.410416666666</v>
      </c>
      <c r="N152" s="179" t="s">
        <v>556</v>
      </c>
      <c r="S152" s="179">
        <v>0</v>
      </c>
      <c r="W152" s="179" t="s">
        <v>556</v>
      </c>
      <c r="X152" s="12">
        <v>46032.410416666666</v>
      </c>
      <c r="Y152" s="12" t="s">
        <v>559</v>
      </c>
      <c r="AB152" s="12" t="s">
        <v>525</v>
      </c>
      <c r="AC152" s="12" t="s">
        <v>526</v>
      </c>
    </row>
    <row r="153" spans="1:29">
      <c r="A153" s="12" t="s">
        <v>248</v>
      </c>
      <c r="B153" s="12" t="s">
        <v>1</v>
      </c>
      <c r="C153" s="12" t="s">
        <v>373</v>
      </c>
      <c r="D153" s="12">
        <v>6</v>
      </c>
      <c r="E153" s="12">
        <v>30</v>
      </c>
      <c r="F153" s="12">
        <v>7</v>
      </c>
      <c r="G153" s="12">
        <v>390</v>
      </c>
      <c r="H153" s="121">
        <v>6.5</v>
      </c>
      <c r="I153" s="179" t="s">
        <v>563</v>
      </c>
      <c r="J153" s="179">
        <v>2</v>
      </c>
      <c r="M153" s="179">
        <v>46032.411111111112</v>
      </c>
      <c r="N153" s="179" t="s">
        <v>551</v>
      </c>
      <c r="S153" s="179">
        <v>0</v>
      </c>
      <c r="W153" s="179" t="s">
        <v>551</v>
      </c>
      <c r="X153" s="12">
        <v>46032.411111111112</v>
      </c>
      <c r="AB153" s="12" t="s">
        <v>525</v>
      </c>
      <c r="AC153" s="12" t="s">
        <v>526</v>
      </c>
    </row>
    <row r="154" spans="1:29">
      <c r="A154" s="12" t="s">
        <v>381</v>
      </c>
      <c r="B154" s="12" t="s">
        <v>1</v>
      </c>
      <c r="C154" s="12" t="s">
        <v>373</v>
      </c>
      <c r="D154" s="12">
        <v>19</v>
      </c>
      <c r="E154" s="12">
        <v>31</v>
      </c>
      <c r="F154" s="12">
        <v>20</v>
      </c>
      <c r="G154" s="12">
        <v>1171</v>
      </c>
      <c r="H154" s="121">
        <v>19.516666666666666</v>
      </c>
      <c r="I154" s="179" t="s">
        <v>577</v>
      </c>
      <c r="J154" s="179">
        <v>1</v>
      </c>
      <c r="M154" s="179">
        <v>46032.411111111112</v>
      </c>
      <c r="N154" s="179" t="s">
        <v>534</v>
      </c>
      <c r="S154" s="179">
        <v>0</v>
      </c>
      <c r="W154" s="179" t="s">
        <v>534</v>
      </c>
      <c r="X154" s="12">
        <v>46032.411111111112</v>
      </c>
      <c r="Y154" s="12" t="s">
        <v>546</v>
      </c>
      <c r="AB154" s="12" t="s">
        <v>525</v>
      </c>
      <c r="AC154" s="12" t="s">
        <v>526</v>
      </c>
    </row>
    <row r="155" spans="1:29">
      <c r="A155" s="12" t="s">
        <v>39</v>
      </c>
      <c r="B155" s="12" t="s">
        <v>1</v>
      </c>
      <c r="C155" s="12" t="s">
        <v>197</v>
      </c>
      <c r="D155" s="12">
        <v>27</v>
      </c>
      <c r="E155" s="12">
        <v>22</v>
      </c>
      <c r="F155" s="12">
        <v>28</v>
      </c>
      <c r="G155" s="12">
        <v>1642</v>
      </c>
      <c r="H155" s="121">
        <v>27.366666666666667</v>
      </c>
      <c r="I155" s="179" t="s">
        <v>587</v>
      </c>
      <c r="J155" s="179">
        <v>2</v>
      </c>
      <c r="M155" s="179">
        <v>46032.411111111112</v>
      </c>
      <c r="N155" s="179" t="s">
        <v>549</v>
      </c>
      <c r="S155" s="179">
        <v>0</v>
      </c>
      <c r="W155" s="179" t="s">
        <v>549</v>
      </c>
      <c r="X155" s="12">
        <v>46032.411111111112</v>
      </c>
      <c r="Y155" s="12" t="s">
        <v>541</v>
      </c>
      <c r="AB155" s="12" t="s">
        <v>525</v>
      </c>
      <c r="AC155" s="12" t="s">
        <v>526</v>
      </c>
    </row>
    <row r="156" spans="1:29">
      <c r="A156" s="12" t="s">
        <v>451</v>
      </c>
      <c r="B156" s="12" t="s">
        <v>1</v>
      </c>
      <c r="C156" s="12" t="s">
        <v>197</v>
      </c>
      <c r="D156" s="12">
        <v>4</v>
      </c>
      <c r="E156" s="12">
        <v>20</v>
      </c>
      <c r="F156" s="12">
        <v>5</v>
      </c>
      <c r="G156" s="12">
        <v>260</v>
      </c>
      <c r="H156" s="121">
        <v>4.333333333333333</v>
      </c>
      <c r="I156" s="179" t="s">
        <v>578</v>
      </c>
      <c r="J156" s="179">
        <v>1</v>
      </c>
      <c r="M156" s="179">
        <v>46032.411111111112</v>
      </c>
      <c r="N156" s="179" t="s">
        <v>556</v>
      </c>
      <c r="S156" s="179">
        <v>0</v>
      </c>
      <c r="W156" s="179" t="s">
        <v>556</v>
      </c>
      <c r="X156" s="12">
        <v>46032.411111111112</v>
      </c>
      <c r="Y156" s="12" t="s">
        <v>559</v>
      </c>
      <c r="AB156" s="12" t="s">
        <v>525</v>
      </c>
      <c r="AC156" s="12" t="s">
        <v>526</v>
      </c>
    </row>
    <row r="157" spans="1:29">
      <c r="A157" s="12" t="s">
        <v>253</v>
      </c>
      <c r="B157" s="12" t="s">
        <v>1</v>
      </c>
      <c r="C157" s="12" t="s">
        <v>373</v>
      </c>
      <c r="D157" s="12">
        <v>12</v>
      </c>
      <c r="E157" s="12">
        <v>40</v>
      </c>
      <c r="F157" s="12">
        <v>13</v>
      </c>
      <c r="G157" s="12">
        <v>760</v>
      </c>
      <c r="H157" s="121">
        <v>12.666666666666666</v>
      </c>
      <c r="I157" s="179" t="s">
        <v>563</v>
      </c>
      <c r="J157" s="179">
        <v>3</v>
      </c>
      <c r="M157" s="179">
        <v>46032.411805555559</v>
      </c>
      <c r="N157" s="179" t="s">
        <v>551</v>
      </c>
      <c r="S157" s="179">
        <v>0</v>
      </c>
      <c r="W157" s="179" t="s">
        <v>551</v>
      </c>
      <c r="X157" s="12">
        <v>46032.411805555559</v>
      </c>
      <c r="AB157" s="12" t="s">
        <v>525</v>
      </c>
      <c r="AC157" s="12" t="s">
        <v>526</v>
      </c>
    </row>
    <row r="158" spans="1:29">
      <c r="A158" s="12" t="s">
        <v>254</v>
      </c>
      <c r="B158" s="12" t="s">
        <v>1</v>
      </c>
      <c r="C158" s="12" t="s">
        <v>240</v>
      </c>
      <c r="D158" s="12">
        <v>625</v>
      </c>
      <c r="E158" s="12">
        <v>42</v>
      </c>
      <c r="F158" s="12">
        <v>626</v>
      </c>
      <c r="G158" s="12">
        <v>37542</v>
      </c>
      <c r="H158" s="121">
        <v>625.70000000000005</v>
      </c>
      <c r="I158" s="179" t="s">
        <v>588</v>
      </c>
      <c r="J158" s="179">
        <v>1</v>
      </c>
      <c r="M158" s="179">
        <v>46032.411805555559</v>
      </c>
      <c r="N158" s="179" t="s">
        <v>545</v>
      </c>
      <c r="S158" s="179">
        <v>0</v>
      </c>
      <c r="W158" s="179" t="s">
        <v>545</v>
      </c>
      <c r="X158" s="12">
        <v>46032.411805555559</v>
      </c>
      <c r="Y158" s="12" t="s">
        <v>529</v>
      </c>
      <c r="AB158" s="12" t="s">
        <v>525</v>
      </c>
      <c r="AC158" s="12" t="s">
        <v>526</v>
      </c>
    </row>
    <row r="159" spans="1:29">
      <c r="A159" s="12" t="s">
        <v>380</v>
      </c>
      <c r="B159" s="12" t="s">
        <v>1</v>
      </c>
      <c r="C159" s="12" t="s">
        <v>373</v>
      </c>
      <c r="D159" s="12">
        <v>16</v>
      </c>
      <c r="E159" s="12">
        <v>51</v>
      </c>
      <c r="F159" s="12">
        <v>17</v>
      </c>
      <c r="G159" s="12">
        <v>1011</v>
      </c>
      <c r="H159" s="121">
        <v>16.850000000000001</v>
      </c>
      <c r="I159" s="179" t="s">
        <v>577</v>
      </c>
      <c r="J159" s="179">
        <v>2</v>
      </c>
      <c r="M159" s="179">
        <v>46032.411805555559</v>
      </c>
      <c r="N159" s="179" t="s">
        <v>534</v>
      </c>
      <c r="S159" s="179">
        <v>0</v>
      </c>
      <c r="W159" s="179" t="s">
        <v>534</v>
      </c>
      <c r="X159" s="12">
        <v>46032.411805555559</v>
      </c>
      <c r="Y159" s="12" t="s">
        <v>546</v>
      </c>
      <c r="AB159" s="12" t="s">
        <v>525</v>
      </c>
      <c r="AC159" s="12" t="s">
        <v>526</v>
      </c>
    </row>
    <row r="160" spans="1:29">
      <c r="A160" s="12" t="s">
        <v>296</v>
      </c>
      <c r="B160" s="12" t="s">
        <v>1</v>
      </c>
      <c r="C160" s="12" t="s">
        <v>373</v>
      </c>
      <c r="D160" s="12">
        <v>7</v>
      </c>
      <c r="E160" s="12">
        <v>19</v>
      </c>
      <c r="F160" s="12">
        <v>8</v>
      </c>
      <c r="G160" s="12">
        <v>439</v>
      </c>
      <c r="H160" s="121">
        <v>7.3166666666666664</v>
      </c>
      <c r="I160" s="179" t="s">
        <v>563</v>
      </c>
      <c r="J160" s="179">
        <v>4</v>
      </c>
      <c r="M160" s="179">
        <v>46032.412499999999</v>
      </c>
      <c r="N160" s="179" t="s">
        <v>551</v>
      </c>
      <c r="S160" s="179">
        <v>0</v>
      </c>
      <c r="W160" s="179" t="s">
        <v>551</v>
      </c>
      <c r="X160" s="12">
        <v>46032.412499999999</v>
      </c>
      <c r="AB160" s="12" t="s">
        <v>525</v>
      </c>
      <c r="AC160" s="12" t="s">
        <v>526</v>
      </c>
    </row>
    <row r="161" spans="1:29">
      <c r="A161" s="12" t="s">
        <v>302</v>
      </c>
      <c r="B161" s="12" t="s">
        <v>1</v>
      </c>
      <c r="C161" s="12" t="s">
        <v>240</v>
      </c>
      <c r="D161" s="12">
        <v>46</v>
      </c>
      <c r="E161" s="12">
        <v>49</v>
      </c>
      <c r="F161" s="12">
        <v>47</v>
      </c>
      <c r="G161" s="12">
        <v>2809</v>
      </c>
      <c r="H161" s="121">
        <v>46.81666666666667</v>
      </c>
      <c r="I161" s="179" t="s">
        <v>589</v>
      </c>
      <c r="J161" s="179">
        <v>1</v>
      </c>
      <c r="M161" s="179">
        <v>46032.412499999999</v>
      </c>
      <c r="N161" s="179" t="s">
        <v>556</v>
      </c>
      <c r="S161" s="179">
        <v>0</v>
      </c>
      <c r="W161" s="179" t="s">
        <v>556</v>
      </c>
      <c r="X161" s="12">
        <v>46032.412499999999</v>
      </c>
      <c r="Y161" s="12" t="s">
        <v>559</v>
      </c>
      <c r="AB161" s="12" t="s">
        <v>525</v>
      </c>
      <c r="AC161" s="12" t="s">
        <v>526</v>
      </c>
    </row>
    <row r="162" spans="1:29">
      <c r="A162" s="12" t="s">
        <v>297</v>
      </c>
      <c r="B162" s="12" t="s">
        <v>1</v>
      </c>
      <c r="C162" s="12" t="s">
        <v>373</v>
      </c>
      <c r="D162" s="12">
        <v>15</v>
      </c>
      <c r="E162" s="12">
        <v>52</v>
      </c>
      <c r="F162" s="12">
        <v>16</v>
      </c>
      <c r="G162" s="12">
        <v>952</v>
      </c>
      <c r="H162" s="121">
        <v>15.866666666666667</v>
      </c>
      <c r="I162" s="179" t="s">
        <v>577</v>
      </c>
      <c r="J162" s="179">
        <v>3</v>
      </c>
      <c r="M162" s="179">
        <v>46032.413194444445</v>
      </c>
      <c r="N162" s="179" t="s">
        <v>534</v>
      </c>
      <c r="S162" s="179">
        <v>0</v>
      </c>
      <c r="W162" s="179" t="s">
        <v>534</v>
      </c>
      <c r="X162" s="12">
        <v>46032.413194444445</v>
      </c>
      <c r="Y162" s="12" t="s">
        <v>546</v>
      </c>
      <c r="AB162" s="12" t="s">
        <v>525</v>
      </c>
      <c r="AC162" s="12" t="s">
        <v>526</v>
      </c>
    </row>
    <row r="163" spans="1:29">
      <c r="A163" s="12" t="s">
        <v>251</v>
      </c>
      <c r="B163" s="12" t="s">
        <v>1</v>
      </c>
      <c r="C163" s="12" t="s">
        <v>240</v>
      </c>
      <c r="D163" s="12">
        <v>37</v>
      </c>
      <c r="E163" s="12">
        <v>42</v>
      </c>
      <c r="F163" s="12">
        <v>38</v>
      </c>
      <c r="G163" s="12">
        <v>2262</v>
      </c>
      <c r="H163" s="121">
        <v>37.700000000000003</v>
      </c>
      <c r="I163" s="179" t="s">
        <v>590</v>
      </c>
      <c r="J163" s="179">
        <v>1</v>
      </c>
      <c r="M163" s="179">
        <v>46032.413194444445</v>
      </c>
      <c r="N163" s="179" t="s">
        <v>528</v>
      </c>
      <c r="S163" s="179">
        <v>0</v>
      </c>
      <c r="W163" s="179" t="s">
        <v>528</v>
      </c>
      <c r="X163" s="12">
        <v>46032.413194444445</v>
      </c>
      <c r="Y163" s="12" t="s">
        <v>529</v>
      </c>
      <c r="AB163" s="12" t="s">
        <v>525</v>
      </c>
      <c r="AC163" s="12" t="s">
        <v>526</v>
      </c>
    </row>
    <row r="164" spans="1:29">
      <c r="A164" s="12" t="s">
        <v>287</v>
      </c>
      <c r="B164" s="12" t="s">
        <v>1</v>
      </c>
      <c r="C164" s="12" t="s">
        <v>240</v>
      </c>
      <c r="D164" s="12">
        <v>183</v>
      </c>
      <c r="E164" s="12">
        <v>17</v>
      </c>
      <c r="F164" s="12">
        <v>184</v>
      </c>
      <c r="G164" s="12">
        <v>10997</v>
      </c>
      <c r="H164" s="121">
        <v>183.28333333333333</v>
      </c>
      <c r="I164" s="179" t="s">
        <v>591</v>
      </c>
      <c r="J164" s="179">
        <v>1</v>
      </c>
      <c r="M164" s="179">
        <v>46032.413194444445</v>
      </c>
      <c r="N164" s="179" t="s">
        <v>562</v>
      </c>
      <c r="S164" s="179">
        <v>0</v>
      </c>
      <c r="W164" s="179" t="s">
        <v>562</v>
      </c>
      <c r="X164" s="12">
        <v>46032.413194444445</v>
      </c>
      <c r="Y164" s="12" t="s">
        <v>524</v>
      </c>
      <c r="AB164" s="12" t="s">
        <v>525</v>
      </c>
      <c r="AC164" s="12" t="s">
        <v>526</v>
      </c>
    </row>
    <row r="165" spans="1:29">
      <c r="A165" s="12" t="s">
        <v>404</v>
      </c>
      <c r="B165" s="12" t="s">
        <v>1</v>
      </c>
      <c r="C165" s="12" t="s">
        <v>394</v>
      </c>
      <c r="D165" s="12">
        <v>8</v>
      </c>
      <c r="E165" s="12">
        <v>37</v>
      </c>
      <c r="F165" s="12">
        <v>9</v>
      </c>
      <c r="G165" s="12">
        <v>517</v>
      </c>
      <c r="H165" s="121">
        <v>8.6166666666666671</v>
      </c>
      <c r="I165" s="179" t="s">
        <v>592</v>
      </c>
      <c r="J165" s="179">
        <v>1</v>
      </c>
      <c r="M165" s="179">
        <v>46032.413194444445</v>
      </c>
      <c r="N165" s="179" t="s">
        <v>568</v>
      </c>
      <c r="S165" s="179">
        <v>0</v>
      </c>
      <c r="W165" s="179" t="s">
        <v>568</v>
      </c>
      <c r="X165" s="12">
        <v>46032.413194444445</v>
      </c>
      <c r="Y165" s="12" t="s">
        <v>573</v>
      </c>
      <c r="AB165" s="12" t="s">
        <v>525</v>
      </c>
      <c r="AC165" s="12" t="s">
        <v>526</v>
      </c>
    </row>
    <row r="166" spans="1:29">
      <c r="A166" s="12" t="s">
        <v>293</v>
      </c>
      <c r="B166" s="12" t="s">
        <v>1</v>
      </c>
      <c r="C166" s="12" t="s">
        <v>373</v>
      </c>
      <c r="D166" s="12">
        <v>20</v>
      </c>
      <c r="E166" s="12">
        <v>17</v>
      </c>
      <c r="F166" s="12">
        <v>21</v>
      </c>
      <c r="G166" s="12">
        <v>1217</v>
      </c>
      <c r="H166" s="121">
        <v>20.283333333333335</v>
      </c>
      <c r="I166" s="179" t="s">
        <v>563</v>
      </c>
      <c r="J166" s="179">
        <v>5</v>
      </c>
      <c r="M166" s="179">
        <v>46032.413194444445</v>
      </c>
      <c r="N166" s="179" t="s">
        <v>551</v>
      </c>
      <c r="S166" s="179">
        <v>0</v>
      </c>
      <c r="W166" s="179" t="s">
        <v>551</v>
      </c>
      <c r="X166" s="12">
        <v>46032.413194444445</v>
      </c>
      <c r="AB166" s="12" t="s">
        <v>525</v>
      </c>
      <c r="AC166" s="12" t="s">
        <v>526</v>
      </c>
    </row>
    <row r="167" spans="1:29">
      <c r="A167" s="12" t="s">
        <v>460</v>
      </c>
      <c r="B167" s="12" t="s">
        <v>1</v>
      </c>
      <c r="C167" s="12" t="s">
        <v>197</v>
      </c>
      <c r="D167" s="12">
        <v>5</v>
      </c>
      <c r="E167" s="12">
        <v>66</v>
      </c>
      <c r="F167" s="12">
        <v>6</v>
      </c>
      <c r="G167" s="12">
        <v>366</v>
      </c>
      <c r="H167" s="121">
        <v>6.1</v>
      </c>
      <c r="I167" s="179" t="s">
        <v>587</v>
      </c>
      <c r="J167" s="179">
        <v>1</v>
      </c>
      <c r="M167" s="179">
        <v>46032.413194444445</v>
      </c>
      <c r="N167" s="179" t="s">
        <v>549</v>
      </c>
      <c r="S167" s="179">
        <v>0</v>
      </c>
      <c r="W167" s="179" t="s">
        <v>549</v>
      </c>
      <c r="X167" s="12">
        <v>46032.413888888892</v>
      </c>
      <c r="Y167" s="12" t="s">
        <v>541</v>
      </c>
      <c r="AB167" s="12" t="s">
        <v>525</v>
      </c>
      <c r="AC167" s="12" t="s">
        <v>526</v>
      </c>
    </row>
    <row r="168" spans="1:29">
      <c r="A168" s="12" t="s">
        <v>294</v>
      </c>
      <c r="B168" s="12" t="s">
        <v>1</v>
      </c>
      <c r="C168" s="12" t="s">
        <v>373</v>
      </c>
      <c r="D168" s="12">
        <v>10</v>
      </c>
      <c r="E168" s="12">
        <v>37</v>
      </c>
      <c r="F168" s="12">
        <v>11</v>
      </c>
      <c r="G168" s="12">
        <v>637</v>
      </c>
      <c r="H168" s="121">
        <v>10.616666666666667</v>
      </c>
      <c r="I168" s="179" t="s">
        <v>577</v>
      </c>
      <c r="J168" s="179">
        <v>4</v>
      </c>
      <c r="M168" s="179">
        <v>46032.413888888892</v>
      </c>
      <c r="N168" s="179" t="s">
        <v>534</v>
      </c>
      <c r="S168" s="179">
        <v>0</v>
      </c>
      <c r="W168" s="179" t="s">
        <v>534</v>
      </c>
      <c r="X168" s="12">
        <v>46032.413888888892</v>
      </c>
      <c r="Y168" s="12" t="s">
        <v>546</v>
      </c>
      <c r="AB168" s="12" t="s">
        <v>525</v>
      </c>
      <c r="AC168" s="12" t="s">
        <v>526</v>
      </c>
    </row>
    <row r="169" spans="1:29">
      <c r="A169" s="12" t="s">
        <v>256</v>
      </c>
      <c r="B169" s="12" t="s">
        <v>1</v>
      </c>
      <c r="C169" s="12" t="s">
        <v>373</v>
      </c>
      <c r="D169" s="12">
        <v>2</v>
      </c>
      <c r="E169" s="12">
        <v>40</v>
      </c>
      <c r="F169" s="12">
        <v>3</v>
      </c>
      <c r="G169" s="12">
        <v>160</v>
      </c>
      <c r="H169" s="121">
        <v>2.6666666666666665</v>
      </c>
      <c r="I169" s="179" t="s">
        <v>558</v>
      </c>
      <c r="J169" s="179">
        <v>1</v>
      </c>
      <c r="M169" s="179">
        <v>46032.413888888892</v>
      </c>
      <c r="N169" s="179" t="s">
        <v>539</v>
      </c>
      <c r="S169" s="179">
        <v>0</v>
      </c>
      <c r="W169" s="179" t="s">
        <v>539</v>
      </c>
      <c r="X169" s="12">
        <v>46032.417361111111</v>
      </c>
      <c r="Y169" s="12" t="s">
        <v>540</v>
      </c>
      <c r="AB169" s="12" t="s">
        <v>525</v>
      </c>
      <c r="AC169" s="12" t="s">
        <v>526</v>
      </c>
    </row>
    <row r="170" spans="1:29">
      <c r="A170" s="12" t="s">
        <v>459</v>
      </c>
      <c r="B170" s="12" t="s">
        <v>1</v>
      </c>
      <c r="C170" s="12" t="s">
        <v>197</v>
      </c>
      <c r="D170" s="12">
        <v>5</v>
      </c>
      <c r="E170" s="12">
        <v>16</v>
      </c>
      <c r="F170" s="12">
        <v>6</v>
      </c>
      <c r="G170" s="12">
        <v>316</v>
      </c>
      <c r="H170" s="121">
        <v>5.2666666666666666</v>
      </c>
      <c r="I170" s="179" t="s">
        <v>587</v>
      </c>
      <c r="J170" s="179">
        <v>2</v>
      </c>
      <c r="M170" s="179">
        <v>46032.414583333331</v>
      </c>
      <c r="N170" s="179" t="s">
        <v>549</v>
      </c>
      <c r="S170" s="179">
        <v>0</v>
      </c>
      <c r="W170" s="179" t="s">
        <v>549</v>
      </c>
      <c r="X170" s="12">
        <v>46032.414583333331</v>
      </c>
      <c r="Y170" s="12" t="s">
        <v>541</v>
      </c>
      <c r="AB170" s="12" t="s">
        <v>525</v>
      </c>
      <c r="AC170" s="12" t="s">
        <v>526</v>
      </c>
    </row>
    <row r="171" spans="1:29">
      <c r="A171" s="12" t="s">
        <v>286</v>
      </c>
      <c r="B171" s="12" t="s">
        <v>1</v>
      </c>
      <c r="C171" s="12" t="s">
        <v>240</v>
      </c>
      <c r="D171" s="12">
        <v>373</v>
      </c>
      <c r="E171" s="12">
        <v>25</v>
      </c>
      <c r="F171" s="12">
        <v>374</v>
      </c>
      <c r="G171" s="12">
        <v>22405</v>
      </c>
      <c r="H171" s="121">
        <v>373.41666666666669</v>
      </c>
      <c r="I171" s="179" t="s">
        <v>591</v>
      </c>
      <c r="J171" s="179">
        <v>1</v>
      </c>
      <c r="M171" s="179">
        <v>46032.414583333331</v>
      </c>
      <c r="N171" s="179" t="s">
        <v>562</v>
      </c>
      <c r="S171" s="179">
        <v>0</v>
      </c>
      <c r="W171" s="179" t="s">
        <v>562</v>
      </c>
      <c r="X171" s="12">
        <v>46032.414583333331</v>
      </c>
      <c r="Y171" s="12" t="s">
        <v>524</v>
      </c>
      <c r="AB171" s="12" t="s">
        <v>525</v>
      </c>
      <c r="AC171" s="12" t="s">
        <v>526</v>
      </c>
    </row>
    <row r="172" spans="1:29">
      <c r="A172" s="12" t="s">
        <v>374</v>
      </c>
      <c r="B172" s="12" t="s">
        <v>1</v>
      </c>
      <c r="C172" s="12" t="s">
        <v>373</v>
      </c>
      <c r="D172" s="12">
        <v>21</v>
      </c>
      <c r="E172" s="12">
        <v>20</v>
      </c>
      <c r="F172" s="12">
        <v>22</v>
      </c>
      <c r="G172" s="12">
        <v>1280</v>
      </c>
      <c r="H172" s="121">
        <v>21.333333333333332</v>
      </c>
      <c r="I172" s="179" t="s">
        <v>577</v>
      </c>
      <c r="J172" s="179">
        <v>5</v>
      </c>
      <c r="M172" s="179">
        <v>46032.414583333331</v>
      </c>
      <c r="N172" s="179" t="s">
        <v>534</v>
      </c>
      <c r="S172" s="179">
        <v>0</v>
      </c>
      <c r="W172" s="179" t="s">
        <v>534</v>
      </c>
      <c r="X172" s="12">
        <v>46032.415277777778</v>
      </c>
      <c r="Y172" s="12" t="s">
        <v>546</v>
      </c>
      <c r="AB172" s="12" t="s">
        <v>525</v>
      </c>
      <c r="AC172" s="12" t="s">
        <v>526</v>
      </c>
    </row>
    <row r="173" spans="1:29">
      <c r="A173" s="12" t="s">
        <v>474</v>
      </c>
      <c r="B173" s="12" t="s">
        <v>1</v>
      </c>
      <c r="C173" s="12" t="s">
        <v>240</v>
      </c>
      <c r="D173" s="12">
        <v>27</v>
      </c>
      <c r="E173" s="12">
        <v>39</v>
      </c>
      <c r="F173" s="12">
        <v>28</v>
      </c>
      <c r="G173" s="12">
        <v>1659</v>
      </c>
      <c r="H173" s="121">
        <v>27.65</v>
      </c>
      <c r="I173" s="179" t="s">
        <v>593</v>
      </c>
      <c r="J173" s="179">
        <v>1</v>
      </c>
      <c r="M173" s="179">
        <v>46032.415277777778</v>
      </c>
      <c r="N173" s="179" t="s">
        <v>528</v>
      </c>
      <c r="S173" s="179">
        <v>0</v>
      </c>
      <c r="W173" s="179" t="s">
        <v>528</v>
      </c>
      <c r="X173" s="12">
        <v>46032.64166666667</v>
      </c>
      <c r="Y173" s="12" t="s">
        <v>529</v>
      </c>
      <c r="AB173" s="12" t="s">
        <v>525</v>
      </c>
      <c r="AC173" s="12" t="s">
        <v>526</v>
      </c>
    </row>
    <row r="174" spans="1:29">
      <c r="A174" s="12" t="s">
        <v>276</v>
      </c>
      <c r="B174" s="12" t="s">
        <v>1</v>
      </c>
      <c r="C174" s="12" t="s">
        <v>373</v>
      </c>
      <c r="D174" s="12">
        <v>7</v>
      </c>
      <c r="E174" s="12">
        <v>37</v>
      </c>
      <c r="F174" s="12">
        <v>8</v>
      </c>
      <c r="G174" s="12">
        <v>457</v>
      </c>
      <c r="H174" s="121">
        <v>7.6166666666666663</v>
      </c>
      <c r="I174" s="179" t="s">
        <v>563</v>
      </c>
      <c r="J174" s="179">
        <v>1</v>
      </c>
      <c r="M174" s="179">
        <v>46032.415277777778</v>
      </c>
      <c r="N174" s="179" t="s">
        <v>551</v>
      </c>
      <c r="S174" s="179">
        <v>0</v>
      </c>
      <c r="W174" s="179" t="s">
        <v>551</v>
      </c>
      <c r="X174" s="12">
        <v>46032.415277777778</v>
      </c>
      <c r="AB174" s="12" t="s">
        <v>525</v>
      </c>
      <c r="AC174" s="12" t="s">
        <v>526</v>
      </c>
    </row>
    <row r="175" spans="1:29">
      <c r="A175" s="12" t="s">
        <v>190</v>
      </c>
      <c r="B175" s="12" t="s">
        <v>1</v>
      </c>
      <c r="C175" s="12" t="s">
        <v>162</v>
      </c>
      <c r="D175" s="12">
        <v>146</v>
      </c>
      <c r="E175" s="12">
        <v>44</v>
      </c>
      <c r="F175" s="12">
        <v>147</v>
      </c>
      <c r="G175" s="12">
        <v>8804</v>
      </c>
      <c r="H175" s="121">
        <v>146.73333333333332</v>
      </c>
      <c r="I175" s="179" t="s">
        <v>582</v>
      </c>
      <c r="J175" s="179">
        <v>1</v>
      </c>
      <c r="M175" s="179">
        <v>46032.415277777778</v>
      </c>
      <c r="N175" s="179" t="s">
        <v>562</v>
      </c>
      <c r="S175" s="179">
        <v>0</v>
      </c>
      <c r="W175" s="179" t="s">
        <v>562</v>
      </c>
      <c r="X175" s="12">
        <v>46032.415972222225</v>
      </c>
      <c r="Y175" s="12" t="s">
        <v>524</v>
      </c>
      <c r="AB175" s="12" t="s">
        <v>525</v>
      </c>
      <c r="AC175" s="12" t="s">
        <v>526</v>
      </c>
    </row>
    <row r="176" spans="1:29">
      <c r="A176" s="12" t="s">
        <v>463</v>
      </c>
      <c r="B176" s="12" t="s">
        <v>1</v>
      </c>
      <c r="C176" s="12" t="s">
        <v>197</v>
      </c>
      <c r="D176" s="12">
        <v>8</v>
      </c>
      <c r="E176" s="12">
        <v>36</v>
      </c>
      <c r="F176" s="12">
        <v>9</v>
      </c>
      <c r="G176" s="12">
        <v>516</v>
      </c>
      <c r="H176" s="121">
        <v>8.6</v>
      </c>
      <c r="I176" s="179" t="s">
        <v>594</v>
      </c>
      <c r="J176" s="179">
        <v>3</v>
      </c>
      <c r="M176" s="179">
        <v>46032.415972222225</v>
      </c>
      <c r="N176" s="179" t="s">
        <v>568</v>
      </c>
      <c r="S176" s="179">
        <v>0</v>
      </c>
      <c r="W176" s="179" t="s">
        <v>568</v>
      </c>
      <c r="X176" s="12">
        <v>46032.415972222225</v>
      </c>
      <c r="Y176" s="12" t="s">
        <v>524</v>
      </c>
      <c r="AB176" s="12" t="s">
        <v>525</v>
      </c>
      <c r="AC176" s="12" t="s">
        <v>526</v>
      </c>
    </row>
    <row r="177" spans="1:29">
      <c r="A177" s="12" t="s">
        <v>392</v>
      </c>
      <c r="B177" s="12" t="s">
        <v>1</v>
      </c>
      <c r="C177" s="12" t="s">
        <v>373</v>
      </c>
      <c r="D177" s="12">
        <v>4</v>
      </c>
      <c r="E177" s="12">
        <v>29</v>
      </c>
      <c r="F177" s="12">
        <v>5</v>
      </c>
      <c r="G177" s="12">
        <v>269</v>
      </c>
      <c r="H177" s="121">
        <v>4.4833333333333334</v>
      </c>
      <c r="I177" s="179" t="s">
        <v>577</v>
      </c>
      <c r="J177" s="179">
        <v>1</v>
      </c>
      <c r="M177" s="179">
        <v>46032.415972222225</v>
      </c>
      <c r="N177" s="179" t="s">
        <v>534</v>
      </c>
      <c r="S177" s="179">
        <v>0</v>
      </c>
      <c r="W177" s="179" t="s">
        <v>534</v>
      </c>
      <c r="X177" s="12">
        <v>46032.415972222225</v>
      </c>
      <c r="Y177" s="12" t="s">
        <v>546</v>
      </c>
      <c r="AB177" s="12" t="s">
        <v>525</v>
      </c>
      <c r="AC177" s="12" t="s">
        <v>526</v>
      </c>
    </row>
    <row r="178" spans="1:29">
      <c r="A178" s="12" t="s">
        <v>297</v>
      </c>
      <c r="B178" s="12" t="s">
        <v>1</v>
      </c>
      <c r="C178" s="12" t="s">
        <v>240</v>
      </c>
      <c r="D178" s="12">
        <v>51</v>
      </c>
      <c r="E178" s="12">
        <v>15</v>
      </c>
      <c r="F178" s="12">
        <v>52</v>
      </c>
      <c r="G178" s="12">
        <v>3075</v>
      </c>
      <c r="H178" s="121">
        <v>51.25</v>
      </c>
      <c r="I178" s="179" t="s">
        <v>593</v>
      </c>
      <c r="J178" s="179">
        <v>1</v>
      </c>
      <c r="M178" s="179">
        <v>46032.415972222225</v>
      </c>
      <c r="N178" s="179" t="s">
        <v>528</v>
      </c>
      <c r="S178" s="179">
        <v>0</v>
      </c>
      <c r="W178" s="179" t="s">
        <v>528</v>
      </c>
      <c r="X178" s="12">
        <v>46032.416666666664</v>
      </c>
      <c r="Y178" s="12" t="s">
        <v>529</v>
      </c>
      <c r="AB178" s="12" t="s">
        <v>525</v>
      </c>
      <c r="AC178" s="12" t="s">
        <v>526</v>
      </c>
    </row>
    <row r="179" spans="1:29">
      <c r="A179" s="12" t="s">
        <v>475</v>
      </c>
      <c r="B179" s="12" t="s">
        <v>1</v>
      </c>
      <c r="C179" s="12" t="s">
        <v>240</v>
      </c>
      <c r="D179" s="12">
        <v>57</v>
      </c>
      <c r="E179" s="12">
        <v>15</v>
      </c>
      <c r="F179" s="12">
        <v>58</v>
      </c>
      <c r="G179" s="12">
        <v>3435</v>
      </c>
      <c r="H179" s="121">
        <v>57.25</v>
      </c>
      <c r="I179" s="179" t="s">
        <v>563</v>
      </c>
      <c r="J179" s="179">
        <v>1</v>
      </c>
      <c r="M179" s="179">
        <v>46032.416666666664</v>
      </c>
      <c r="N179" s="179" t="s">
        <v>551</v>
      </c>
      <c r="S179" s="179">
        <v>0</v>
      </c>
      <c r="W179" s="179" t="s">
        <v>551</v>
      </c>
      <c r="X179" s="12">
        <v>46032.416666666664</v>
      </c>
      <c r="AB179" s="12" t="s">
        <v>525</v>
      </c>
      <c r="AC179" s="12" t="s">
        <v>526</v>
      </c>
    </row>
    <row r="180" spans="1:29">
      <c r="A180" s="12" t="s">
        <v>144</v>
      </c>
      <c r="B180" s="12" t="s">
        <v>1</v>
      </c>
      <c r="C180" s="12" t="s">
        <v>140</v>
      </c>
      <c r="D180" s="12">
        <v>47</v>
      </c>
      <c r="E180" s="12">
        <v>54</v>
      </c>
      <c r="F180" s="12">
        <v>48</v>
      </c>
      <c r="G180" s="12">
        <v>2874</v>
      </c>
      <c r="H180" s="121">
        <v>47.9</v>
      </c>
      <c r="I180" s="179" t="s">
        <v>593</v>
      </c>
      <c r="J180" s="179">
        <v>1</v>
      </c>
      <c r="M180" s="179">
        <v>46032.417361111111</v>
      </c>
      <c r="N180" s="179" t="s">
        <v>528</v>
      </c>
      <c r="S180" s="179">
        <v>0</v>
      </c>
      <c r="W180" s="179" t="s">
        <v>528</v>
      </c>
      <c r="X180" s="12">
        <v>46032.417361111111</v>
      </c>
      <c r="Y180" s="12" t="s">
        <v>529</v>
      </c>
      <c r="AB180" s="12" t="s">
        <v>525</v>
      </c>
      <c r="AC180" s="12" t="s">
        <v>526</v>
      </c>
    </row>
    <row r="181" spans="1:29">
      <c r="A181" s="12" t="s">
        <v>322</v>
      </c>
      <c r="B181" s="12" t="s">
        <v>1</v>
      </c>
      <c r="C181" s="12" t="s">
        <v>314</v>
      </c>
      <c r="D181" s="12">
        <v>5</v>
      </c>
      <c r="E181" s="12">
        <v>15</v>
      </c>
      <c r="F181" s="12">
        <v>6</v>
      </c>
      <c r="G181" s="12">
        <v>265</v>
      </c>
      <c r="H181" s="121">
        <v>5.3</v>
      </c>
      <c r="I181" s="179" t="s">
        <v>577</v>
      </c>
      <c r="J181" s="179">
        <v>1</v>
      </c>
      <c r="M181" s="179">
        <v>46032.417361111111</v>
      </c>
      <c r="N181" s="179" t="s">
        <v>534</v>
      </c>
      <c r="S181" s="179">
        <v>0</v>
      </c>
      <c r="W181" s="179" t="s">
        <v>534</v>
      </c>
      <c r="X181" s="12">
        <v>46032.417361111111</v>
      </c>
      <c r="Y181" s="12" t="s">
        <v>546</v>
      </c>
      <c r="AB181" s="12" t="s">
        <v>525</v>
      </c>
      <c r="AC181" s="12" t="s">
        <v>526</v>
      </c>
    </row>
    <row r="182" spans="1:29">
      <c r="A182" s="12" t="s">
        <v>461</v>
      </c>
      <c r="B182" s="12" t="s">
        <v>1</v>
      </c>
      <c r="C182" s="12" t="s">
        <v>197</v>
      </c>
      <c r="D182" s="12">
        <v>7</v>
      </c>
      <c r="E182" s="12">
        <v>33</v>
      </c>
      <c r="F182" s="12">
        <v>8</v>
      </c>
      <c r="G182" s="12">
        <v>453</v>
      </c>
      <c r="H182" s="121">
        <v>7.55</v>
      </c>
      <c r="I182" s="179" t="s">
        <v>594</v>
      </c>
      <c r="J182" s="179">
        <v>1</v>
      </c>
      <c r="M182" s="179">
        <v>46032.417361111111</v>
      </c>
      <c r="N182" s="179" t="s">
        <v>568</v>
      </c>
      <c r="S182" s="179">
        <v>0</v>
      </c>
      <c r="W182" s="179" t="s">
        <v>568</v>
      </c>
      <c r="X182" s="12">
        <v>46032.417361111111</v>
      </c>
      <c r="Y182" s="12" t="s">
        <v>573</v>
      </c>
      <c r="AB182" s="12" t="s">
        <v>525</v>
      </c>
      <c r="AC182" s="12" t="s">
        <v>526</v>
      </c>
    </row>
    <row r="183" spans="1:29">
      <c r="A183" s="12" t="s">
        <v>381</v>
      </c>
      <c r="B183" s="12" t="s">
        <v>1</v>
      </c>
      <c r="C183" s="12" t="s">
        <v>240</v>
      </c>
      <c r="D183" s="12">
        <v>57</v>
      </c>
      <c r="E183" s="12">
        <v>57</v>
      </c>
      <c r="F183" s="12">
        <v>58</v>
      </c>
      <c r="G183" s="12">
        <v>3477</v>
      </c>
      <c r="H183" s="121">
        <v>57.95</v>
      </c>
      <c r="I183" s="179" t="s">
        <v>591</v>
      </c>
      <c r="J183" s="179">
        <v>1</v>
      </c>
      <c r="M183" s="179">
        <v>46032.417361111111</v>
      </c>
      <c r="N183" s="179" t="s">
        <v>562</v>
      </c>
      <c r="S183" s="179">
        <v>0</v>
      </c>
      <c r="W183" s="179" t="s">
        <v>562</v>
      </c>
      <c r="X183" s="12">
        <v>46032.418055555558</v>
      </c>
      <c r="Y183" s="12" t="s">
        <v>524</v>
      </c>
      <c r="AB183" s="12" t="s">
        <v>525</v>
      </c>
      <c r="AC183" s="12" t="s">
        <v>526</v>
      </c>
    </row>
    <row r="184" spans="1:29">
      <c r="A184" s="12" t="s">
        <v>313</v>
      </c>
      <c r="B184" s="12" t="s">
        <v>1</v>
      </c>
      <c r="C184" s="12" t="s">
        <v>314</v>
      </c>
      <c r="D184" s="12">
        <v>3</v>
      </c>
      <c r="E184" s="12">
        <v>16</v>
      </c>
      <c r="F184" s="12">
        <v>4</v>
      </c>
      <c r="G184" s="12">
        <v>166</v>
      </c>
      <c r="H184" s="121">
        <v>3.32</v>
      </c>
      <c r="I184" s="179" t="s">
        <v>558</v>
      </c>
      <c r="J184" s="179">
        <v>2</v>
      </c>
      <c r="M184" s="179">
        <v>46032.418055555558</v>
      </c>
      <c r="N184" s="179" t="s">
        <v>539</v>
      </c>
      <c r="S184" s="179">
        <v>0</v>
      </c>
      <c r="W184" s="179" t="s">
        <v>539</v>
      </c>
      <c r="X184" s="12">
        <v>46032.418055555558</v>
      </c>
      <c r="Y184" s="12" t="s">
        <v>540</v>
      </c>
      <c r="AB184" s="12" t="s">
        <v>525</v>
      </c>
      <c r="AC184" s="12" t="s">
        <v>526</v>
      </c>
    </row>
    <row r="185" spans="1:29">
      <c r="A185" s="12" t="s">
        <v>285</v>
      </c>
      <c r="B185" s="12" t="s">
        <v>1</v>
      </c>
      <c r="C185" s="12" t="s">
        <v>373</v>
      </c>
      <c r="D185" s="12">
        <v>3</v>
      </c>
      <c r="E185" s="12">
        <v>41</v>
      </c>
      <c r="F185" s="12">
        <v>4</v>
      </c>
      <c r="G185" s="12">
        <v>221</v>
      </c>
      <c r="H185" s="121">
        <v>3.6833333333333331</v>
      </c>
      <c r="I185" s="179" t="s">
        <v>577</v>
      </c>
      <c r="J185" s="179">
        <v>1</v>
      </c>
      <c r="M185" s="179">
        <v>46032.418055555558</v>
      </c>
      <c r="N185" s="179" t="s">
        <v>534</v>
      </c>
      <c r="S185" s="179">
        <v>0</v>
      </c>
      <c r="W185" s="179" t="s">
        <v>534</v>
      </c>
      <c r="X185" s="12">
        <v>46032.418055555558</v>
      </c>
      <c r="Y185" s="12" t="s">
        <v>546</v>
      </c>
      <c r="AB185" s="12" t="s">
        <v>525</v>
      </c>
      <c r="AC185" s="12" t="s">
        <v>526</v>
      </c>
    </row>
    <row r="186" spans="1:29">
      <c r="A186" s="12" t="s">
        <v>244</v>
      </c>
      <c r="B186" s="12" t="s">
        <v>1</v>
      </c>
      <c r="C186" s="12" t="s">
        <v>240</v>
      </c>
      <c r="D186" s="12">
        <v>44</v>
      </c>
      <c r="E186" s="12">
        <v>21</v>
      </c>
      <c r="F186" s="12">
        <v>45</v>
      </c>
      <c r="G186" s="12">
        <v>2661</v>
      </c>
      <c r="H186" s="121">
        <v>44.35</v>
      </c>
      <c r="I186" s="179" t="s">
        <v>595</v>
      </c>
      <c r="J186" s="179">
        <v>1</v>
      </c>
      <c r="M186" s="179">
        <v>46032.418749999997</v>
      </c>
      <c r="N186" s="179" t="s">
        <v>551</v>
      </c>
      <c r="S186" s="179">
        <v>0</v>
      </c>
      <c r="W186" s="179" t="s">
        <v>551</v>
      </c>
      <c r="X186" s="12">
        <v>46032.418749999997</v>
      </c>
      <c r="AB186" s="12" t="s">
        <v>525</v>
      </c>
      <c r="AC186" s="12" t="s">
        <v>526</v>
      </c>
    </row>
    <row r="187" spans="1:29">
      <c r="A187" s="12" t="s">
        <v>321</v>
      </c>
      <c r="B187" s="12" t="s">
        <v>1</v>
      </c>
      <c r="C187" s="12" t="s">
        <v>314</v>
      </c>
      <c r="D187" s="12">
        <v>15</v>
      </c>
      <c r="E187" s="12">
        <v>53</v>
      </c>
      <c r="F187" s="12">
        <v>16</v>
      </c>
      <c r="G187" s="12">
        <v>803</v>
      </c>
      <c r="H187" s="121">
        <v>16.059999999999999</v>
      </c>
      <c r="I187" s="179" t="s">
        <v>575</v>
      </c>
      <c r="J187" s="179">
        <v>1</v>
      </c>
      <c r="M187" s="179">
        <v>46032.418749999997</v>
      </c>
      <c r="N187" s="179" t="s">
        <v>523</v>
      </c>
      <c r="S187" s="179">
        <v>0</v>
      </c>
      <c r="W187" s="179" t="s">
        <v>523</v>
      </c>
      <c r="X187" s="12">
        <v>46032.418749999997</v>
      </c>
      <c r="Y187" s="12" t="s">
        <v>524</v>
      </c>
      <c r="AB187" s="12" t="s">
        <v>525</v>
      </c>
      <c r="AC187" s="12" t="s">
        <v>526</v>
      </c>
    </row>
    <row r="188" spans="1:29">
      <c r="A188" s="12" t="s">
        <v>383</v>
      </c>
      <c r="B188" s="12" t="s">
        <v>1</v>
      </c>
      <c r="C188" s="12" t="s">
        <v>373</v>
      </c>
      <c r="D188" s="12">
        <v>2</v>
      </c>
      <c r="E188" s="12">
        <v>13</v>
      </c>
      <c r="F188" s="12">
        <v>3</v>
      </c>
      <c r="G188" s="12">
        <v>133</v>
      </c>
      <c r="H188" s="121">
        <v>2.2166666666666668</v>
      </c>
      <c r="I188" s="179" t="s">
        <v>558</v>
      </c>
      <c r="J188" s="179">
        <v>1</v>
      </c>
      <c r="M188" s="179">
        <v>46032.418749999997</v>
      </c>
      <c r="N188" s="179" t="s">
        <v>539</v>
      </c>
      <c r="S188" s="179">
        <v>0</v>
      </c>
      <c r="W188" s="179" t="s">
        <v>539</v>
      </c>
      <c r="X188" s="12">
        <v>46032.418749999997</v>
      </c>
      <c r="Y188" s="12" t="s">
        <v>540</v>
      </c>
      <c r="AB188" s="12" t="s">
        <v>525</v>
      </c>
      <c r="AC188" s="12" t="s">
        <v>526</v>
      </c>
    </row>
    <row r="189" spans="1:29">
      <c r="A189" s="12" t="s">
        <v>142</v>
      </c>
      <c r="B189" s="12" t="s">
        <v>1</v>
      </c>
      <c r="C189" s="12" t="s">
        <v>140</v>
      </c>
      <c r="D189" s="12">
        <v>105</v>
      </c>
      <c r="E189" s="12">
        <v>33</v>
      </c>
      <c r="F189" s="12">
        <v>106</v>
      </c>
      <c r="G189" s="12">
        <v>6333</v>
      </c>
      <c r="H189" s="121">
        <v>105.55</v>
      </c>
      <c r="I189" s="179" t="s">
        <v>593</v>
      </c>
      <c r="J189" s="179">
        <v>1</v>
      </c>
      <c r="M189" s="179">
        <v>46032.418749999997</v>
      </c>
      <c r="N189" s="179" t="s">
        <v>528</v>
      </c>
      <c r="S189" s="179">
        <v>0</v>
      </c>
      <c r="W189" s="179" t="s">
        <v>528</v>
      </c>
      <c r="X189" s="12">
        <v>46032.418749999997</v>
      </c>
      <c r="Y189" s="12" t="s">
        <v>529</v>
      </c>
      <c r="AB189" s="12" t="s">
        <v>525</v>
      </c>
      <c r="AC189" s="12" t="s">
        <v>526</v>
      </c>
    </row>
    <row r="190" spans="1:29">
      <c r="A190" s="12" t="s">
        <v>462</v>
      </c>
      <c r="B190" s="12" t="s">
        <v>1</v>
      </c>
      <c r="C190" s="12" t="s">
        <v>197</v>
      </c>
      <c r="D190" s="12">
        <v>6</v>
      </c>
      <c r="E190" s="12">
        <v>22</v>
      </c>
      <c r="F190" s="12">
        <v>7</v>
      </c>
      <c r="G190" s="12">
        <v>382</v>
      </c>
      <c r="H190" s="121">
        <v>6.3666666666666663</v>
      </c>
      <c r="I190" s="179" t="s">
        <v>594</v>
      </c>
      <c r="J190" s="179">
        <v>2</v>
      </c>
      <c r="M190" s="179">
        <v>46032.418749999997</v>
      </c>
      <c r="N190" s="179" t="s">
        <v>568</v>
      </c>
      <c r="S190" s="179">
        <v>0</v>
      </c>
      <c r="W190" s="179" t="s">
        <v>568</v>
      </c>
      <c r="X190" s="12">
        <v>46032.419444444444</v>
      </c>
      <c r="Y190" s="12" t="s">
        <v>573</v>
      </c>
      <c r="AB190" s="12" t="s">
        <v>525</v>
      </c>
      <c r="AC190" s="12" t="s">
        <v>526</v>
      </c>
    </row>
    <row r="191" spans="1:29">
      <c r="A191" s="12" t="s">
        <v>384</v>
      </c>
      <c r="B191" s="12" t="s">
        <v>1</v>
      </c>
      <c r="C191" s="12" t="s">
        <v>373</v>
      </c>
      <c r="D191" s="12">
        <v>3</v>
      </c>
      <c r="E191" s="12">
        <v>17</v>
      </c>
      <c r="F191" s="12">
        <v>4</v>
      </c>
      <c r="G191" s="12">
        <v>197</v>
      </c>
      <c r="H191" s="121">
        <v>3.2833333333333332</v>
      </c>
      <c r="I191" s="179" t="s">
        <v>577</v>
      </c>
      <c r="J191" s="179">
        <v>1</v>
      </c>
      <c r="M191" s="179">
        <v>46032.418749999997</v>
      </c>
      <c r="N191" s="179" t="s">
        <v>534</v>
      </c>
      <c r="S191" s="179">
        <v>0</v>
      </c>
      <c r="W191" s="179" t="s">
        <v>534</v>
      </c>
      <c r="X191" s="12">
        <v>46032.419444444444</v>
      </c>
      <c r="Y191" s="12" t="s">
        <v>546</v>
      </c>
      <c r="AB191" s="12" t="s">
        <v>525</v>
      </c>
      <c r="AC191" s="12" t="s">
        <v>526</v>
      </c>
    </row>
    <row r="192" spans="1:29">
      <c r="A192" s="12" t="s">
        <v>245</v>
      </c>
      <c r="B192" s="12" t="s">
        <v>1</v>
      </c>
      <c r="C192" s="12" t="s">
        <v>373</v>
      </c>
      <c r="D192" s="12">
        <v>2</v>
      </c>
      <c r="E192" s="12">
        <v>35</v>
      </c>
      <c r="F192" s="12">
        <v>3</v>
      </c>
      <c r="G192" s="12">
        <v>155</v>
      </c>
      <c r="H192" s="121">
        <v>2.5833333333333335</v>
      </c>
      <c r="I192" s="179" t="s">
        <v>558</v>
      </c>
      <c r="J192" s="179">
        <v>2</v>
      </c>
      <c r="M192" s="179">
        <v>46032.419444444444</v>
      </c>
      <c r="N192" s="179" t="s">
        <v>539</v>
      </c>
      <c r="S192" s="179">
        <v>0</v>
      </c>
      <c r="W192" s="179" t="s">
        <v>539</v>
      </c>
      <c r="X192" s="12">
        <v>46032.419444444444</v>
      </c>
      <c r="Y192" s="12" t="s">
        <v>540</v>
      </c>
      <c r="AB192" s="12" t="s">
        <v>525</v>
      </c>
      <c r="AC192" s="12" t="s">
        <v>526</v>
      </c>
    </row>
    <row r="193" spans="1:29">
      <c r="A193" s="12" t="s">
        <v>395</v>
      </c>
      <c r="B193" s="12" t="s">
        <v>1</v>
      </c>
      <c r="C193" s="12" t="s">
        <v>394</v>
      </c>
      <c r="D193" s="12">
        <v>4</v>
      </c>
      <c r="E193" s="12">
        <v>37</v>
      </c>
      <c r="F193" s="12">
        <v>5</v>
      </c>
      <c r="G193" s="12">
        <v>277</v>
      </c>
      <c r="H193" s="121">
        <v>4.6166666666666663</v>
      </c>
      <c r="I193" s="179" t="s">
        <v>587</v>
      </c>
      <c r="J193" s="179">
        <v>1</v>
      </c>
      <c r="M193" s="179">
        <v>46032.419444444444</v>
      </c>
      <c r="N193" s="179" t="s">
        <v>549</v>
      </c>
      <c r="S193" s="179">
        <v>0</v>
      </c>
      <c r="W193" s="179" t="s">
        <v>549</v>
      </c>
      <c r="X193" s="12">
        <v>46032.419444444444</v>
      </c>
      <c r="Y193" s="12" t="s">
        <v>541</v>
      </c>
      <c r="AB193" s="12" t="s">
        <v>525</v>
      </c>
      <c r="AC193" s="12" t="s">
        <v>526</v>
      </c>
    </row>
    <row r="194" spans="1:29">
      <c r="A194" s="12" t="s">
        <v>160</v>
      </c>
      <c r="B194" s="12" t="s">
        <v>1</v>
      </c>
      <c r="C194" s="12" t="s">
        <v>154</v>
      </c>
      <c r="D194" s="12">
        <v>10</v>
      </c>
      <c r="E194" s="12">
        <v>30</v>
      </c>
      <c r="F194" s="12">
        <v>11</v>
      </c>
      <c r="G194" s="12">
        <v>630</v>
      </c>
      <c r="H194" s="121">
        <v>10.5</v>
      </c>
      <c r="I194" s="179" t="s">
        <v>596</v>
      </c>
      <c r="J194" s="179">
        <v>1</v>
      </c>
      <c r="M194" s="179">
        <v>46032.419444444444</v>
      </c>
      <c r="N194" s="179" t="s">
        <v>556</v>
      </c>
      <c r="S194" s="179">
        <v>0</v>
      </c>
      <c r="W194" s="179" t="s">
        <v>556</v>
      </c>
      <c r="X194" s="12">
        <v>46032.599305555559</v>
      </c>
      <c r="Y194" s="12" t="s">
        <v>559</v>
      </c>
      <c r="AB194" s="12" t="s">
        <v>525</v>
      </c>
      <c r="AC194" s="12" t="s">
        <v>526</v>
      </c>
    </row>
    <row r="195" spans="1:29">
      <c r="A195" s="12" t="s">
        <v>387</v>
      </c>
      <c r="B195" s="12" t="s">
        <v>1</v>
      </c>
      <c r="C195" s="12" t="s">
        <v>373</v>
      </c>
      <c r="D195" s="12">
        <v>18</v>
      </c>
      <c r="E195" s="12">
        <v>54</v>
      </c>
      <c r="F195" s="12">
        <v>19</v>
      </c>
      <c r="G195" s="12">
        <v>1134</v>
      </c>
      <c r="H195" s="121">
        <v>18.899999999999999</v>
      </c>
      <c r="I195" s="179" t="s">
        <v>575</v>
      </c>
      <c r="J195" s="179">
        <v>3</v>
      </c>
      <c r="M195" s="179">
        <v>46032.419444444444</v>
      </c>
      <c r="N195" s="179" t="s">
        <v>523</v>
      </c>
      <c r="S195" s="179">
        <v>0</v>
      </c>
      <c r="W195" s="179" t="s">
        <v>523</v>
      </c>
      <c r="X195" s="12">
        <v>46032.419444444444</v>
      </c>
      <c r="Y195" s="12" t="s">
        <v>524</v>
      </c>
      <c r="AB195" s="12" t="s">
        <v>525</v>
      </c>
      <c r="AC195" s="12" t="s">
        <v>526</v>
      </c>
    </row>
    <row r="196" spans="1:29">
      <c r="A196" s="12" t="s">
        <v>282</v>
      </c>
      <c r="B196" s="12" t="s">
        <v>1</v>
      </c>
      <c r="C196" s="12" t="s">
        <v>373</v>
      </c>
      <c r="D196" s="12">
        <v>5</v>
      </c>
      <c r="E196" s="12">
        <v>46</v>
      </c>
      <c r="F196" s="12">
        <v>6</v>
      </c>
      <c r="G196" s="12">
        <v>346</v>
      </c>
      <c r="H196" s="121">
        <v>5.7666666666666666</v>
      </c>
      <c r="I196" s="179" t="s">
        <v>570</v>
      </c>
      <c r="J196" s="179">
        <v>1</v>
      </c>
      <c r="M196" s="179">
        <v>46032.420138888891</v>
      </c>
      <c r="N196" s="179" t="s">
        <v>534</v>
      </c>
      <c r="S196" s="179">
        <v>0</v>
      </c>
      <c r="W196" s="179" t="s">
        <v>534</v>
      </c>
      <c r="X196" s="12">
        <v>46032.420138888891</v>
      </c>
      <c r="Y196" s="12" t="s">
        <v>546</v>
      </c>
      <c r="AB196" s="12" t="s">
        <v>525</v>
      </c>
      <c r="AC196" s="12" t="s">
        <v>526</v>
      </c>
    </row>
    <row r="197" spans="1:29">
      <c r="A197" s="12" t="s">
        <v>288</v>
      </c>
      <c r="B197" s="12" t="s">
        <v>1</v>
      </c>
      <c r="C197" s="12" t="s">
        <v>373</v>
      </c>
      <c r="D197" s="12">
        <v>28</v>
      </c>
      <c r="E197" s="12">
        <v>31</v>
      </c>
      <c r="F197" s="12">
        <v>29</v>
      </c>
      <c r="G197" s="12">
        <v>1711</v>
      </c>
      <c r="H197" s="121">
        <v>28.516666666666666</v>
      </c>
      <c r="I197" s="179" t="s">
        <v>575</v>
      </c>
      <c r="J197" s="179">
        <v>4</v>
      </c>
      <c r="M197" s="179">
        <v>46032.420138888891</v>
      </c>
      <c r="N197" s="179" t="s">
        <v>523</v>
      </c>
      <c r="S197" s="179">
        <v>0</v>
      </c>
      <c r="W197" s="179" t="s">
        <v>523</v>
      </c>
      <c r="X197" s="12">
        <v>46032.420138888891</v>
      </c>
      <c r="Y197" s="12" t="s">
        <v>524</v>
      </c>
      <c r="AB197" s="12" t="s">
        <v>525</v>
      </c>
      <c r="AC197" s="12" t="s">
        <v>526</v>
      </c>
    </row>
    <row r="198" spans="1:29">
      <c r="A198" s="12" t="s">
        <v>382</v>
      </c>
      <c r="B198" s="12" t="s">
        <v>1</v>
      </c>
      <c r="C198" s="12" t="s">
        <v>240</v>
      </c>
      <c r="D198" s="12">
        <v>106</v>
      </c>
      <c r="E198" s="12">
        <v>55</v>
      </c>
      <c r="F198" s="12">
        <v>107</v>
      </c>
      <c r="G198" s="12">
        <v>6415</v>
      </c>
      <c r="H198" s="121">
        <v>106.91666666666667</v>
      </c>
      <c r="I198" s="179" t="s">
        <v>575</v>
      </c>
      <c r="J198" s="179">
        <v>1</v>
      </c>
      <c r="M198" s="179">
        <v>46032.42083333333</v>
      </c>
      <c r="N198" s="179" t="s">
        <v>523</v>
      </c>
      <c r="S198" s="179">
        <v>0</v>
      </c>
      <c r="W198" s="179" t="s">
        <v>523</v>
      </c>
      <c r="X198" s="12">
        <v>46032.421527777777</v>
      </c>
      <c r="Y198" s="12" t="s">
        <v>524</v>
      </c>
      <c r="AB198" s="12" t="s">
        <v>525</v>
      </c>
      <c r="AC198" s="12" t="s">
        <v>526</v>
      </c>
    </row>
    <row r="199" spans="1:29">
      <c r="A199" s="12" t="s">
        <v>166</v>
      </c>
      <c r="B199" s="12" t="s">
        <v>1</v>
      </c>
      <c r="C199" s="12" t="s">
        <v>162</v>
      </c>
      <c r="D199" s="12">
        <v>2</v>
      </c>
      <c r="E199" s="12">
        <v>58</v>
      </c>
      <c r="F199" s="12">
        <v>3</v>
      </c>
      <c r="G199" s="12">
        <v>178</v>
      </c>
      <c r="H199" s="121">
        <v>2.9666666666666668</v>
      </c>
      <c r="I199" s="179" t="s">
        <v>597</v>
      </c>
      <c r="J199" s="179">
        <v>1</v>
      </c>
      <c r="M199" s="179">
        <v>46032.42083333333</v>
      </c>
      <c r="N199" s="179" t="s">
        <v>556</v>
      </c>
      <c r="S199" s="179">
        <v>0</v>
      </c>
      <c r="W199" s="179" t="s">
        <v>556</v>
      </c>
      <c r="X199" s="12">
        <v>46032.42083333333</v>
      </c>
      <c r="Y199" s="12" t="s">
        <v>559</v>
      </c>
      <c r="AB199" s="12" t="s">
        <v>525</v>
      </c>
      <c r="AC199" s="12" t="s">
        <v>526</v>
      </c>
    </row>
    <row r="200" spans="1:29">
      <c r="A200" s="12" t="s">
        <v>358</v>
      </c>
      <c r="B200" s="12" t="s">
        <v>1</v>
      </c>
      <c r="C200" s="12" t="s">
        <v>197</v>
      </c>
      <c r="D200" s="12">
        <v>12</v>
      </c>
      <c r="E200" s="12">
        <v>58</v>
      </c>
      <c r="F200" s="12">
        <v>13</v>
      </c>
      <c r="G200" s="12">
        <v>778</v>
      </c>
      <c r="H200" s="121">
        <v>12.966666666666667</v>
      </c>
      <c r="I200" s="179" t="s">
        <v>598</v>
      </c>
      <c r="J200" s="179">
        <v>1</v>
      </c>
      <c r="M200" s="179">
        <v>46032.421527777777</v>
      </c>
      <c r="N200" s="179" t="s">
        <v>545</v>
      </c>
      <c r="S200" s="179">
        <v>0</v>
      </c>
      <c r="W200" s="179" t="s">
        <v>545</v>
      </c>
      <c r="X200" s="12">
        <v>46032.421527777777</v>
      </c>
      <c r="Y200" s="12" t="s">
        <v>529</v>
      </c>
      <c r="AB200" s="12" t="s">
        <v>525</v>
      </c>
      <c r="AC200" s="12" t="s">
        <v>526</v>
      </c>
    </row>
    <row r="201" spans="1:29">
      <c r="A201" s="12" t="s">
        <v>292</v>
      </c>
      <c r="B201" s="12" t="s">
        <v>1</v>
      </c>
      <c r="C201" s="12" t="s">
        <v>240</v>
      </c>
      <c r="D201" s="12">
        <v>320</v>
      </c>
      <c r="E201" s="12">
        <v>15</v>
      </c>
      <c r="F201" s="12">
        <v>321</v>
      </c>
      <c r="G201" s="12">
        <v>19215</v>
      </c>
      <c r="H201" s="121">
        <v>320.25</v>
      </c>
      <c r="I201" s="179" t="s">
        <v>595</v>
      </c>
      <c r="J201" s="179">
        <v>1</v>
      </c>
      <c r="M201" s="179">
        <v>46032.421527777777</v>
      </c>
      <c r="N201" s="179" t="s">
        <v>551</v>
      </c>
      <c r="S201" s="179">
        <v>0</v>
      </c>
      <c r="W201" s="179" t="s">
        <v>551</v>
      </c>
      <c r="X201" s="12">
        <v>46032.421527777777</v>
      </c>
      <c r="AB201" s="12" t="s">
        <v>525</v>
      </c>
      <c r="AC201" s="12" t="s">
        <v>526</v>
      </c>
    </row>
    <row r="202" spans="1:29">
      <c r="A202" s="12" t="s">
        <v>456</v>
      </c>
      <c r="B202" s="12" t="s">
        <v>1</v>
      </c>
      <c r="C202" s="12" t="s">
        <v>197</v>
      </c>
      <c r="D202" s="12">
        <v>5</v>
      </c>
      <c r="E202" s="12">
        <v>40</v>
      </c>
      <c r="F202" s="12">
        <v>6</v>
      </c>
      <c r="G202" s="12">
        <v>340</v>
      </c>
      <c r="H202" s="121">
        <v>5.666666666666667</v>
      </c>
      <c r="I202" s="179" t="s">
        <v>587</v>
      </c>
      <c r="J202" s="179">
        <v>1</v>
      </c>
      <c r="M202" s="179">
        <v>46032.421527777777</v>
      </c>
      <c r="N202" s="179" t="s">
        <v>549</v>
      </c>
      <c r="S202" s="179">
        <v>0</v>
      </c>
      <c r="W202" s="179" t="s">
        <v>549</v>
      </c>
      <c r="X202" s="12">
        <v>46032.421527777777</v>
      </c>
      <c r="Y202" s="12" t="s">
        <v>541</v>
      </c>
      <c r="AB202" s="12" t="s">
        <v>525</v>
      </c>
      <c r="AC202" s="12" t="s">
        <v>526</v>
      </c>
    </row>
    <row r="203" spans="1:29">
      <c r="A203" s="12" t="s">
        <v>250</v>
      </c>
      <c r="B203" s="12" t="s">
        <v>1</v>
      </c>
      <c r="C203" s="12" t="s">
        <v>373</v>
      </c>
      <c r="D203" s="12">
        <v>2</v>
      </c>
      <c r="E203" s="12">
        <v>68</v>
      </c>
      <c r="F203" s="12">
        <v>3</v>
      </c>
      <c r="G203" s="12">
        <v>188</v>
      </c>
      <c r="H203" s="121">
        <v>3.1333333333333333</v>
      </c>
      <c r="I203" s="179" t="s">
        <v>570</v>
      </c>
      <c r="J203" s="179">
        <v>2</v>
      </c>
      <c r="M203" s="179">
        <v>46032.421527777777</v>
      </c>
      <c r="N203" s="179" t="s">
        <v>534</v>
      </c>
      <c r="S203" s="179">
        <v>0</v>
      </c>
      <c r="W203" s="179" t="s">
        <v>534</v>
      </c>
      <c r="X203" s="12">
        <v>46032.421527777777</v>
      </c>
      <c r="Y203" s="12" t="s">
        <v>546</v>
      </c>
      <c r="AB203" s="12" t="s">
        <v>525</v>
      </c>
      <c r="AC203" s="12" t="s">
        <v>526</v>
      </c>
    </row>
    <row r="204" spans="1:29">
      <c r="A204" s="12" t="s">
        <v>246</v>
      </c>
      <c r="B204" s="12" t="s">
        <v>1</v>
      </c>
      <c r="C204" s="12" t="s">
        <v>373</v>
      </c>
      <c r="D204" s="12">
        <v>3</v>
      </c>
      <c r="E204" s="12">
        <v>10</v>
      </c>
      <c r="F204" s="12">
        <v>4</v>
      </c>
      <c r="G204" s="12">
        <v>190</v>
      </c>
      <c r="H204" s="121">
        <v>3.1666666666666665</v>
      </c>
      <c r="I204" s="179" t="s">
        <v>558</v>
      </c>
      <c r="J204" s="179">
        <v>1</v>
      </c>
      <c r="M204" s="179">
        <v>46032.421527777777</v>
      </c>
      <c r="N204" s="179" t="s">
        <v>539</v>
      </c>
      <c r="S204" s="179">
        <v>0</v>
      </c>
      <c r="W204" s="179" t="s">
        <v>539</v>
      </c>
      <c r="X204" s="12">
        <v>46032.421527777777</v>
      </c>
      <c r="Y204" s="12" t="s">
        <v>540</v>
      </c>
      <c r="AB204" s="12" t="s">
        <v>525</v>
      </c>
      <c r="AC204" s="12" t="s">
        <v>526</v>
      </c>
    </row>
    <row r="205" spans="1:29">
      <c r="A205" s="12" t="s">
        <v>249</v>
      </c>
      <c r="B205" s="12" t="s">
        <v>1</v>
      </c>
      <c r="C205" s="12" t="s">
        <v>240</v>
      </c>
      <c r="D205" s="12">
        <v>1</v>
      </c>
      <c r="E205" s="12">
        <v>23</v>
      </c>
      <c r="F205" s="12">
        <v>2</v>
      </c>
      <c r="G205" s="12">
        <v>83</v>
      </c>
      <c r="H205" s="121">
        <v>1.3833333333333333</v>
      </c>
      <c r="I205" s="179" t="s">
        <v>597</v>
      </c>
      <c r="J205" s="179">
        <v>1</v>
      </c>
      <c r="M205" s="179">
        <v>46032.421527777777</v>
      </c>
      <c r="N205" s="179" t="s">
        <v>556</v>
      </c>
      <c r="S205" s="179">
        <v>0</v>
      </c>
      <c r="W205" s="179" t="s">
        <v>556</v>
      </c>
      <c r="X205" s="12">
        <v>46032.422222222223</v>
      </c>
      <c r="Y205" s="12" t="s">
        <v>559</v>
      </c>
      <c r="AB205" s="12" t="s">
        <v>525</v>
      </c>
      <c r="AC205" s="12" t="s">
        <v>526</v>
      </c>
    </row>
    <row r="206" spans="1:29">
      <c r="A206" s="12" t="s">
        <v>276</v>
      </c>
      <c r="B206" s="12" t="s">
        <v>1</v>
      </c>
      <c r="C206" s="12" t="s">
        <v>240</v>
      </c>
      <c r="D206" s="12">
        <v>238</v>
      </c>
      <c r="E206" s="12">
        <v>64</v>
      </c>
      <c r="F206" s="12">
        <v>239</v>
      </c>
      <c r="G206" s="12">
        <v>14344</v>
      </c>
      <c r="H206" s="121">
        <v>239.06666666666666</v>
      </c>
      <c r="I206" s="179" t="s">
        <v>563</v>
      </c>
      <c r="J206" s="179">
        <v>1</v>
      </c>
      <c r="M206" s="179">
        <v>46032.422222222223</v>
      </c>
      <c r="N206" s="179" t="s">
        <v>551</v>
      </c>
      <c r="S206" s="179">
        <v>0</v>
      </c>
      <c r="W206" s="179" t="s">
        <v>551</v>
      </c>
      <c r="X206" s="12">
        <v>46032.422222222223</v>
      </c>
      <c r="AB206" s="12" t="s">
        <v>525</v>
      </c>
      <c r="AC206" s="12" t="s">
        <v>526</v>
      </c>
    </row>
    <row r="207" spans="1:29">
      <c r="A207" s="12" t="s">
        <v>323</v>
      </c>
      <c r="B207" s="12" t="s">
        <v>1</v>
      </c>
      <c r="C207" s="12" t="s">
        <v>314</v>
      </c>
      <c r="D207" s="12">
        <v>2</v>
      </c>
      <c r="E207" s="12">
        <v>8</v>
      </c>
      <c r="F207" s="12">
        <v>3</v>
      </c>
      <c r="G207" s="12">
        <v>108</v>
      </c>
      <c r="H207" s="121">
        <v>2.16</v>
      </c>
      <c r="I207" s="179" t="s">
        <v>558</v>
      </c>
      <c r="J207" s="179">
        <v>1</v>
      </c>
      <c r="M207" s="179">
        <v>46032.422222222223</v>
      </c>
      <c r="N207" s="179" t="s">
        <v>539</v>
      </c>
      <c r="S207" s="179">
        <v>0</v>
      </c>
      <c r="W207" s="179" t="s">
        <v>539</v>
      </c>
      <c r="X207" s="12">
        <v>46032.422222222223</v>
      </c>
      <c r="Y207" s="12" t="s">
        <v>540</v>
      </c>
      <c r="AB207" s="12" t="s">
        <v>525</v>
      </c>
      <c r="AC207" s="12" t="s">
        <v>526</v>
      </c>
    </row>
    <row r="208" spans="1:29">
      <c r="A208" s="12" t="s">
        <v>455</v>
      </c>
      <c r="B208" s="12" t="s">
        <v>1</v>
      </c>
      <c r="C208" s="12" t="s">
        <v>197</v>
      </c>
      <c r="D208" s="12">
        <v>4</v>
      </c>
      <c r="E208" s="12">
        <v>66</v>
      </c>
      <c r="F208" s="12">
        <v>5</v>
      </c>
      <c r="G208" s="12">
        <v>306</v>
      </c>
      <c r="H208" s="121">
        <v>5.0999999999999996</v>
      </c>
      <c r="I208" s="179" t="s">
        <v>587</v>
      </c>
      <c r="J208" s="179">
        <v>1</v>
      </c>
      <c r="M208" s="179">
        <v>46032.422222222223</v>
      </c>
      <c r="N208" s="179" t="s">
        <v>549</v>
      </c>
      <c r="S208" s="179">
        <v>0</v>
      </c>
      <c r="W208" s="179" t="s">
        <v>549</v>
      </c>
      <c r="X208" s="12">
        <v>46032.422222222223</v>
      </c>
      <c r="Y208" s="12" t="s">
        <v>541</v>
      </c>
      <c r="AB208" s="12" t="s">
        <v>525</v>
      </c>
      <c r="AC208" s="12" t="s">
        <v>526</v>
      </c>
    </row>
    <row r="209" spans="1:29">
      <c r="A209" s="12" t="s">
        <v>39</v>
      </c>
      <c r="B209" s="12" t="s">
        <v>1</v>
      </c>
      <c r="C209" s="12" t="s">
        <v>347</v>
      </c>
      <c r="D209" s="12">
        <v>5</v>
      </c>
      <c r="E209" s="12">
        <v>19</v>
      </c>
      <c r="F209" s="12">
        <v>6</v>
      </c>
      <c r="G209" s="12">
        <v>319</v>
      </c>
      <c r="H209" s="121">
        <v>5.3166666666666664</v>
      </c>
      <c r="I209" s="179" t="s">
        <v>599</v>
      </c>
      <c r="J209" s="179">
        <v>1</v>
      </c>
      <c r="M209" s="179">
        <v>46032.422222222223</v>
      </c>
      <c r="N209" s="179" t="s">
        <v>568</v>
      </c>
      <c r="S209" s="179">
        <v>0</v>
      </c>
      <c r="W209" s="179" t="s">
        <v>568</v>
      </c>
      <c r="X209" s="12">
        <v>46032.42291666667</v>
      </c>
      <c r="Y209" s="12" t="s">
        <v>573</v>
      </c>
      <c r="AB209" s="12" t="s">
        <v>525</v>
      </c>
      <c r="AC209" s="12" t="s">
        <v>526</v>
      </c>
    </row>
    <row r="210" spans="1:29">
      <c r="A210" s="12" t="s">
        <v>375</v>
      </c>
      <c r="B210" s="12" t="s">
        <v>1</v>
      </c>
      <c r="C210" s="12" t="s">
        <v>373</v>
      </c>
      <c r="D210" s="12">
        <v>3</v>
      </c>
      <c r="E210" s="12">
        <v>19</v>
      </c>
      <c r="F210" s="12">
        <v>4</v>
      </c>
      <c r="G210" s="12">
        <v>199</v>
      </c>
      <c r="H210" s="121">
        <v>3.3166666666666669</v>
      </c>
      <c r="I210" s="179" t="s">
        <v>570</v>
      </c>
      <c r="J210" s="179">
        <v>1</v>
      </c>
      <c r="M210" s="179">
        <v>46032.42291666667</v>
      </c>
      <c r="N210" s="179" t="s">
        <v>534</v>
      </c>
      <c r="S210" s="179">
        <v>0</v>
      </c>
      <c r="W210" s="179" t="s">
        <v>534</v>
      </c>
      <c r="X210" s="12">
        <v>46032.42291666667</v>
      </c>
      <c r="Y210" s="12" t="s">
        <v>546</v>
      </c>
      <c r="AB210" s="12" t="s">
        <v>525</v>
      </c>
      <c r="AC210" s="12" t="s">
        <v>526</v>
      </c>
    </row>
    <row r="211" spans="1:29">
      <c r="A211" s="12" t="s">
        <v>38</v>
      </c>
      <c r="B211" s="12" t="s">
        <v>1</v>
      </c>
      <c r="C211" s="12" t="s">
        <v>347</v>
      </c>
      <c r="D211" s="12">
        <v>4</v>
      </c>
      <c r="E211" s="12">
        <v>42</v>
      </c>
      <c r="F211" s="12">
        <v>5</v>
      </c>
      <c r="G211" s="12">
        <v>282</v>
      </c>
      <c r="H211" s="121">
        <v>4.7</v>
      </c>
      <c r="I211" s="179" t="s">
        <v>599</v>
      </c>
      <c r="J211" s="179">
        <v>1</v>
      </c>
      <c r="M211" s="179">
        <v>46032.42291666667</v>
      </c>
      <c r="N211" s="179" t="s">
        <v>568</v>
      </c>
      <c r="S211" s="179">
        <v>0</v>
      </c>
      <c r="W211" s="179" t="s">
        <v>568</v>
      </c>
      <c r="X211" s="12">
        <v>46032.423611111109</v>
      </c>
      <c r="Y211" s="12" t="s">
        <v>573</v>
      </c>
      <c r="AB211" s="12" t="s">
        <v>525</v>
      </c>
      <c r="AC211" s="12" t="s">
        <v>526</v>
      </c>
    </row>
    <row r="212" spans="1:29">
      <c r="A212" s="12" t="s">
        <v>263</v>
      </c>
      <c r="B212" s="12" t="s">
        <v>1</v>
      </c>
      <c r="C212" s="12" t="s">
        <v>373</v>
      </c>
      <c r="D212" s="12">
        <v>3</v>
      </c>
      <c r="E212" s="12">
        <v>23</v>
      </c>
      <c r="F212" s="12">
        <v>4</v>
      </c>
      <c r="G212" s="12">
        <v>203</v>
      </c>
      <c r="H212" s="121">
        <v>3.3833333333333333</v>
      </c>
      <c r="I212" s="179" t="s">
        <v>570</v>
      </c>
      <c r="J212" s="179">
        <v>1</v>
      </c>
      <c r="M212" s="179">
        <v>46032.423611111109</v>
      </c>
      <c r="N212" s="179" t="s">
        <v>534</v>
      </c>
      <c r="S212" s="179">
        <v>0</v>
      </c>
      <c r="W212" s="179" t="s">
        <v>534</v>
      </c>
      <c r="X212" s="12">
        <v>46032.423611111109</v>
      </c>
      <c r="Y212" s="12" t="s">
        <v>546</v>
      </c>
      <c r="AB212" s="12" t="s">
        <v>525</v>
      </c>
      <c r="AC212" s="12" t="s">
        <v>526</v>
      </c>
    </row>
    <row r="213" spans="1:29">
      <c r="A213" s="12" t="s">
        <v>187</v>
      </c>
      <c r="B213" s="12" t="s">
        <v>1</v>
      </c>
      <c r="C213" s="12" t="s">
        <v>162</v>
      </c>
      <c r="D213" s="12">
        <v>8</v>
      </c>
      <c r="E213" s="12">
        <v>59</v>
      </c>
      <c r="F213" s="12">
        <v>9</v>
      </c>
      <c r="G213" s="12">
        <v>539</v>
      </c>
      <c r="H213" s="121">
        <v>8.9833333333333325</v>
      </c>
      <c r="I213" s="179" t="s">
        <v>582</v>
      </c>
      <c r="J213" s="179">
        <v>1</v>
      </c>
      <c r="M213" s="179">
        <v>46032.423611111109</v>
      </c>
      <c r="N213" s="179" t="s">
        <v>562</v>
      </c>
      <c r="S213" s="179">
        <v>0</v>
      </c>
      <c r="W213" s="179" t="s">
        <v>562</v>
      </c>
      <c r="X213" s="12">
        <v>46032.423611111109</v>
      </c>
      <c r="Y213" s="12" t="s">
        <v>600</v>
      </c>
      <c r="AB213" s="12" t="s">
        <v>525</v>
      </c>
      <c r="AC213" s="12" t="s">
        <v>526</v>
      </c>
    </row>
    <row r="214" spans="1:29">
      <c r="A214" s="12" t="s">
        <v>454</v>
      </c>
      <c r="B214" s="12" t="s">
        <v>1</v>
      </c>
      <c r="C214" s="12" t="s">
        <v>197</v>
      </c>
      <c r="D214" s="12">
        <v>49</v>
      </c>
      <c r="E214" s="12">
        <v>35</v>
      </c>
      <c r="F214" s="12">
        <v>50</v>
      </c>
      <c r="G214" s="12">
        <v>2975</v>
      </c>
      <c r="H214" s="121">
        <v>49.583333333333336</v>
      </c>
      <c r="I214" s="179" t="s">
        <v>587</v>
      </c>
      <c r="J214" s="179">
        <v>1</v>
      </c>
      <c r="M214" s="179">
        <v>46032.424305555556</v>
      </c>
      <c r="N214" s="179" t="s">
        <v>549</v>
      </c>
      <c r="S214" s="179">
        <v>0</v>
      </c>
      <c r="W214" s="179" t="s">
        <v>549</v>
      </c>
      <c r="X214" s="12">
        <v>46032.429166666669</v>
      </c>
      <c r="Y214" s="12" t="s">
        <v>541</v>
      </c>
      <c r="AB214" s="12" t="s">
        <v>525</v>
      </c>
      <c r="AC214" s="12" t="s">
        <v>526</v>
      </c>
    </row>
    <row r="215" spans="1:29">
      <c r="A215" s="12" t="s">
        <v>161</v>
      </c>
      <c r="B215" s="12" t="s">
        <v>1</v>
      </c>
      <c r="C215" s="12" t="s">
        <v>162</v>
      </c>
      <c r="D215" s="12">
        <v>29</v>
      </c>
      <c r="E215" s="12">
        <v>48</v>
      </c>
      <c r="F215" s="12">
        <v>30</v>
      </c>
      <c r="G215" s="12">
        <v>1788</v>
      </c>
      <c r="H215" s="121">
        <v>29.8</v>
      </c>
      <c r="I215" s="179" t="s">
        <v>582</v>
      </c>
      <c r="J215" s="179">
        <v>2</v>
      </c>
      <c r="M215" s="179">
        <v>46032.424305555556</v>
      </c>
      <c r="N215" s="179" t="s">
        <v>562</v>
      </c>
      <c r="S215" s="179">
        <v>0</v>
      </c>
      <c r="W215" s="179" t="s">
        <v>562</v>
      </c>
      <c r="X215" s="12">
        <v>46032.424305555556</v>
      </c>
      <c r="Y215" s="12" t="s">
        <v>524</v>
      </c>
      <c r="AB215" s="12" t="s">
        <v>525</v>
      </c>
      <c r="AC215" s="12" t="s">
        <v>526</v>
      </c>
    </row>
    <row r="216" spans="1:29">
      <c r="A216" s="12" t="s">
        <v>279</v>
      </c>
      <c r="B216" s="12" t="s">
        <v>1</v>
      </c>
      <c r="C216" s="12" t="s">
        <v>373</v>
      </c>
      <c r="D216" s="12">
        <v>1</v>
      </c>
      <c r="E216" s="12">
        <v>21</v>
      </c>
      <c r="F216" s="12">
        <v>2</v>
      </c>
      <c r="G216" s="12">
        <v>81</v>
      </c>
      <c r="H216" s="121">
        <v>1.35</v>
      </c>
      <c r="I216" s="179" t="s">
        <v>570</v>
      </c>
      <c r="J216" s="179">
        <v>2</v>
      </c>
      <c r="M216" s="179">
        <v>46032.424305555556</v>
      </c>
      <c r="N216" s="179" t="s">
        <v>534</v>
      </c>
      <c r="S216" s="179">
        <v>0</v>
      </c>
      <c r="W216" s="179" t="s">
        <v>534</v>
      </c>
      <c r="X216" s="12">
        <v>46032.425000000003</v>
      </c>
      <c r="Y216" s="12" t="s">
        <v>546</v>
      </c>
      <c r="AB216" s="12" t="s">
        <v>525</v>
      </c>
      <c r="AC216" s="12" t="s">
        <v>526</v>
      </c>
    </row>
    <row r="217" spans="1:29">
      <c r="A217" s="12" t="s">
        <v>159</v>
      </c>
      <c r="B217" s="12" t="s">
        <v>1</v>
      </c>
      <c r="C217" s="12" t="s">
        <v>154</v>
      </c>
      <c r="D217" s="12">
        <v>42</v>
      </c>
      <c r="E217" s="12">
        <v>0</v>
      </c>
      <c r="F217" s="12">
        <v>42</v>
      </c>
      <c r="G217" s="12">
        <v>2520</v>
      </c>
      <c r="H217" s="121">
        <v>42</v>
      </c>
      <c r="I217" s="179" t="s">
        <v>597</v>
      </c>
      <c r="J217" s="179">
        <v>1</v>
      </c>
      <c r="M217" s="179">
        <v>46032.425000000003</v>
      </c>
      <c r="N217" s="179" t="s">
        <v>556</v>
      </c>
      <c r="S217" s="179">
        <v>0</v>
      </c>
      <c r="W217" s="179" t="s">
        <v>556</v>
      </c>
      <c r="X217" s="12">
        <v>46032.520138888889</v>
      </c>
      <c r="Y217" s="12" t="s">
        <v>559</v>
      </c>
      <c r="AB217" s="12" t="s">
        <v>525</v>
      </c>
      <c r="AC217" s="12" t="s">
        <v>526</v>
      </c>
    </row>
    <row r="218" spans="1:29">
      <c r="A218" s="12" t="s">
        <v>183</v>
      </c>
      <c r="B218" s="12" t="s">
        <v>1</v>
      </c>
      <c r="C218" s="12" t="s">
        <v>162</v>
      </c>
      <c r="D218" s="12">
        <v>19</v>
      </c>
      <c r="E218" s="12">
        <v>51</v>
      </c>
      <c r="F218" s="12">
        <v>20</v>
      </c>
      <c r="G218" s="12">
        <v>1191</v>
      </c>
      <c r="H218" s="121">
        <v>19.850000000000001</v>
      </c>
      <c r="I218" s="179" t="s">
        <v>582</v>
      </c>
      <c r="J218" s="179">
        <v>3</v>
      </c>
      <c r="M218" s="179">
        <v>46032.425000000003</v>
      </c>
      <c r="N218" s="179" t="s">
        <v>562</v>
      </c>
      <c r="S218" s="179">
        <v>0</v>
      </c>
      <c r="W218" s="179" t="s">
        <v>562</v>
      </c>
      <c r="X218" s="12">
        <v>46032.425000000003</v>
      </c>
      <c r="Y218" s="12" t="s">
        <v>524</v>
      </c>
      <c r="AB218" s="12" t="s">
        <v>525</v>
      </c>
      <c r="AC218" s="12" t="s">
        <v>526</v>
      </c>
    </row>
    <row r="219" spans="1:29">
      <c r="A219" s="12" t="s">
        <v>192</v>
      </c>
      <c r="B219" s="12" t="s">
        <v>1</v>
      </c>
      <c r="C219" s="12" t="s">
        <v>162</v>
      </c>
      <c r="D219" s="12">
        <v>20</v>
      </c>
      <c r="E219" s="12">
        <v>35</v>
      </c>
      <c r="F219" s="12">
        <v>21</v>
      </c>
      <c r="G219" s="12">
        <v>1235</v>
      </c>
      <c r="H219" s="121">
        <v>20.583333333333332</v>
      </c>
      <c r="I219" s="179" t="s">
        <v>582</v>
      </c>
      <c r="J219" s="179">
        <v>4</v>
      </c>
      <c r="M219" s="179">
        <v>46032.425694444442</v>
      </c>
      <c r="N219" s="179" t="s">
        <v>562</v>
      </c>
      <c r="S219" s="179">
        <v>0</v>
      </c>
      <c r="W219" s="179" t="s">
        <v>562</v>
      </c>
      <c r="X219" s="12">
        <v>46032.425694444442</v>
      </c>
      <c r="Y219" s="12" t="s">
        <v>524</v>
      </c>
      <c r="AB219" s="12" t="s">
        <v>525</v>
      </c>
      <c r="AC219" s="12" t="s">
        <v>526</v>
      </c>
    </row>
    <row r="220" spans="1:29">
      <c r="A220" s="12" t="s">
        <v>318</v>
      </c>
      <c r="B220" s="12" t="s">
        <v>1</v>
      </c>
      <c r="C220" s="12" t="s">
        <v>314</v>
      </c>
      <c r="D220" s="12">
        <v>3</v>
      </c>
      <c r="E220" s="12">
        <v>23</v>
      </c>
      <c r="F220" s="12">
        <v>4</v>
      </c>
      <c r="G220" s="12">
        <v>173</v>
      </c>
      <c r="H220" s="121">
        <v>3.46</v>
      </c>
      <c r="I220" s="179" t="s">
        <v>558</v>
      </c>
      <c r="J220" s="179">
        <v>2</v>
      </c>
      <c r="M220" s="179">
        <v>46032.426388888889</v>
      </c>
      <c r="N220" s="179" t="s">
        <v>539</v>
      </c>
      <c r="S220" s="179">
        <v>0</v>
      </c>
      <c r="W220" s="179" t="s">
        <v>539</v>
      </c>
      <c r="X220" s="12">
        <v>46032.426388888889</v>
      </c>
      <c r="Y220" s="12" t="s">
        <v>540</v>
      </c>
      <c r="AB220" s="12" t="s">
        <v>525</v>
      </c>
      <c r="AC220" s="12" t="s">
        <v>526</v>
      </c>
    </row>
    <row r="221" spans="1:29">
      <c r="A221" s="12" t="s">
        <v>382</v>
      </c>
      <c r="B221" s="12" t="s">
        <v>1</v>
      </c>
      <c r="C221" s="12" t="s">
        <v>373</v>
      </c>
      <c r="D221" s="12">
        <v>3</v>
      </c>
      <c r="E221" s="12">
        <v>59</v>
      </c>
      <c r="F221" s="12">
        <v>4</v>
      </c>
      <c r="G221" s="12">
        <v>239</v>
      </c>
      <c r="H221" s="121">
        <v>3.9833333333333334</v>
      </c>
      <c r="I221" s="179" t="s">
        <v>558</v>
      </c>
      <c r="J221" s="179">
        <v>1</v>
      </c>
      <c r="M221" s="179">
        <v>46032.427083333336</v>
      </c>
      <c r="N221" s="179" t="s">
        <v>539</v>
      </c>
      <c r="S221" s="179">
        <v>0</v>
      </c>
      <c r="W221" s="179" t="s">
        <v>539</v>
      </c>
      <c r="X221" s="12">
        <v>46032.506249999999</v>
      </c>
      <c r="Y221" s="12" t="s">
        <v>540</v>
      </c>
      <c r="AB221" s="12" t="s">
        <v>525</v>
      </c>
      <c r="AC221" s="12" t="s">
        <v>526</v>
      </c>
    </row>
    <row r="222" spans="1:29">
      <c r="A222" s="12" t="s">
        <v>388</v>
      </c>
      <c r="B222" s="12" t="s">
        <v>1</v>
      </c>
      <c r="C222" s="12" t="s">
        <v>373</v>
      </c>
      <c r="D222" s="12">
        <v>1</v>
      </c>
      <c r="E222" s="12">
        <v>31</v>
      </c>
      <c r="F222" s="12">
        <v>2</v>
      </c>
      <c r="G222" s="12">
        <v>91</v>
      </c>
      <c r="H222" s="121">
        <v>1.5166666666666666</v>
      </c>
      <c r="I222" s="179" t="s">
        <v>547</v>
      </c>
      <c r="J222" s="179">
        <v>1</v>
      </c>
      <c r="M222" s="179">
        <v>46032.427083333336</v>
      </c>
      <c r="N222" s="179" t="s">
        <v>534</v>
      </c>
      <c r="S222" s="179">
        <v>0</v>
      </c>
      <c r="W222" s="179" t="s">
        <v>534</v>
      </c>
      <c r="X222" s="12">
        <v>46032.427777777775</v>
      </c>
      <c r="Y222" s="12" t="s">
        <v>546</v>
      </c>
      <c r="AB222" s="12" t="s">
        <v>525</v>
      </c>
      <c r="AC222" s="12" t="s">
        <v>526</v>
      </c>
    </row>
    <row r="223" spans="1:29">
      <c r="A223" s="12" t="s">
        <v>134</v>
      </c>
      <c r="B223" s="12" t="s">
        <v>1</v>
      </c>
      <c r="C223" s="12" t="s">
        <v>133</v>
      </c>
      <c r="D223" s="12">
        <v>168</v>
      </c>
      <c r="E223" s="12">
        <v>10</v>
      </c>
      <c r="F223" s="12">
        <v>169</v>
      </c>
      <c r="G223" s="12">
        <v>10090</v>
      </c>
      <c r="H223" s="121">
        <v>168.16666666666666</v>
      </c>
      <c r="I223" s="179" t="s">
        <v>561</v>
      </c>
      <c r="J223" s="179">
        <v>1</v>
      </c>
      <c r="M223" s="179">
        <v>46032.427777777775</v>
      </c>
      <c r="N223" s="179" t="s">
        <v>551</v>
      </c>
      <c r="S223" s="179">
        <v>0</v>
      </c>
      <c r="W223" s="179" t="s">
        <v>551</v>
      </c>
      <c r="X223" s="12">
        <v>46032.427777777775</v>
      </c>
      <c r="AB223" s="12" t="s">
        <v>525</v>
      </c>
      <c r="AC223" s="12" t="s">
        <v>526</v>
      </c>
    </row>
    <row r="224" spans="1:29">
      <c r="A224" s="12" t="s">
        <v>270</v>
      </c>
      <c r="B224" s="12" t="s">
        <v>1</v>
      </c>
      <c r="C224" s="12" t="s">
        <v>373</v>
      </c>
      <c r="D224" s="12">
        <v>4</v>
      </c>
      <c r="E224" s="12">
        <v>25</v>
      </c>
      <c r="F224" s="12">
        <v>5</v>
      </c>
      <c r="G224" s="12">
        <v>265</v>
      </c>
      <c r="H224" s="121">
        <v>4.416666666666667</v>
      </c>
      <c r="I224" s="179" t="s">
        <v>547</v>
      </c>
      <c r="J224" s="179">
        <v>4</v>
      </c>
      <c r="M224" s="179">
        <v>46032.427777777775</v>
      </c>
      <c r="N224" s="179" t="s">
        <v>539</v>
      </c>
      <c r="S224" s="179">
        <v>0</v>
      </c>
      <c r="W224" s="179" t="s">
        <v>539</v>
      </c>
      <c r="X224" s="12">
        <v>46032.427777777775</v>
      </c>
      <c r="Y224" s="12" t="s">
        <v>540</v>
      </c>
      <c r="AB224" s="12" t="s">
        <v>525</v>
      </c>
      <c r="AC224" s="12" t="s">
        <v>526</v>
      </c>
    </row>
    <row r="225" spans="1:29">
      <c r="A225" s="12" t="s">
        <v>377</v>
      </c>
      <c r="B225" s="12" t="s">
        <v>1</v>
      </c>
      <c r="C225" s="12" t="s">
        <v>373</v>
      </c>
      <c r="D225" s="12">
        <v>1</v>
      </c>
      <c r="E225" s="12">
        <v>39</v>
      </c>
      <c r="F225" s="12">
        <v>2</v>
      </c>
      <c r="G225" s="12">
        <v>99</v>
      </c>
      <c r="H225" s="121">
        <v>1.65</v>
      </c>
      <c r="I225" s="179" t="s">
        <v>547</v>
      </c>
      <c r="J225" s="179">
        <v>2</v>
      </c>
      <c r="M225" s="179">
        <v>46032.428472222222</v>
      </c>
      <c r="N225" s="179" t="s">
        <v>534</v>
      </c>
      <c r="S225" s="179">
        <v>0</v>
      </c>
      <c r="W225" s="179" t="s">
        <v>534</v>
      </c>
      <c r="X225" s="12">
        <v>46032.428472222222</v>
      </c>
      <c r="Y225" s="12" t="s">
        <v>546</v>
      </c>
      <c r="AB225" s="12" t="s">
        <v>525</v>
      </c>
      <c r="AC225" s="12" t="s">
        <v>526</v>
      </c>
    </row>
    <row r="226" spans="1:29">
      <c r="A226" s="12" t="s">
        <v>319</v>
      </c>
      <c r="B226" s="12" t="s">
        <v>1</v>
      </c>
      <c r="C226" s="12" t="s">
        <v>314</v>
      </c>
      <c r="D226" s="12">
        <v>0</v>
      </c>
      <c r="E226" s="12">
        <v>9</v>
      </c>
      <c r="F226" s="12">
        <v>1</v>
      </c>
      <c r="G226" s="12">
        <v>9</v>
      </c>
      <c r="H226" s="121">
        <v>0.18</v>
      </c>
      <c r="I226" s="179" t="s">
        <v>547</v>
      </c>
      <c r="J226" s="179">
        <v>3</v>
      </c>
      <c r="M226" s="179">
        <v>46032.428472222222</v>
      </c>
      <c r="N226" s="179" t="s">
        <v>539</v>
      </c>
      <c r="S226" s="179">
        <v>0</v>
      </c>
      <c r="W226" s="179" t="s">
        <v>539</v>
      </c>
      <c r="X226" s="12">
        <v>46032.428472222222</v>
      </c>
      <c r="Y226" s="12" t="s">
        <v>540</v>
      </c>
      <c r="AB226" s="12" t="s">
        <v>525</v>
      </c>
      <c r="AC226" s="12" t="s">
        <v>526</v>
      </c>
    </row>
    <row r="227" spans="1:29">
      <c r="A227" s="12" t="s">
        <v>282</v>
      </c>
      <c r="B227" s="12" t="s">
        <v>1</v>
      </c>
      <c r="C227" s="12" t="s">
        <v>240</v>
      </c>
      <c r="D227" s="12">
        <v>101</v>
      </c>
      <c r="E227" s="12">
        <v>52</v>
      </c>
      <c r="F227" s="12">
        <v>102</v>
      </c>
      <c r="G227" s="12">
        <v>6112</v>
      </c>
      <c r="H227" s="121">
        <v>101.86666666666666</v>
      </c>
      <c r="I227" s="179" t="s">
        <v>593</v>
      </c>
      <c r="J227" s="179">
        <v>1</v>
      </c>
      <c r="M227" s="179">
        <v>46032.428472222222</v>
      </c>
      <c r="N227" s="179" t="s">
        <v>551</v>
      </c>
      <c r="S227" s="179">
        <v>0</v>
      </c>
      <c r="W227" s="179" t="s">
        <v>551</v>
      </c>
      <c r="X227" s="12">
        <v>46032.429166666669</v>
      </c>
      <c r="Y227" s="12" t="s">
        <v>529</v>
      </c>
      <c r="AB227" s="12" t="s">
        <v>525</v>
      </c>
      <c r="AC227" s="12" t="s">
        <v>526</v>
      </c>
    </row>
    <row r="228" spans="1:29">
      <c r="A228" s="12" t="s">
        <v>252</v>
      </c>
      <c r="B228" s="12" t="s">
        <v>1</v>
      </c>
      <c r="C228" s="12" t="s">
        <v>373</v>
      </c>
      <c r="D228" s="12">
        <v>1</v>
      </c>
      <c r="E228" s="12">
        <v>46</v>
      </c>
      <c r="F228" s="12">
        <v>2</v>
      </c>
      <c r="G228" s="12">
        <v>106</v>
      </c>
      <c r="H228" s="121">
        <v>1.7666666666666666</v>
      </c>
      <c r="I228" s="179" t="s">
        <v>547</v>
      </c>
      <c r="J228" s="179">
        <v>3</v>
      </c>
      <c r="M228" s="179">
        <v>46032.429166666669</v>
      </c>
      <c r="N228" s="179" t="s">
        <v>534</v>
      </c>
      <c r="S228" s="179">
        <v>0</v>
      </c>
      <c r="W228" s="179" t="s">
        <v>534</v>
      </c>
      <c r="X228" s="12">
        <v>46032.429166666669</v>
      </c>
      <c r="Y228" s="12" t="s">
        <v>546</v>
      </c>
      <c r="AB228" s="12" t="s">
        <v>525</v>
      </c>
      <c r="AC228" s="12" t="s">
        <v>526</v>
      </c>
    </row>
    <row r="229" spans="1:29">
      <c r="A229" s="12" t="s">
        <v>280</v>
      </c>
      <c r="B229" s="12" t="s">
        <v>1</v>
      </c>
      <c r="C229" s="12" t="s">
        <v>373</v>
      </c>
      <c r="D229" s="12">
        <v>2</v>
      </c>
      <c r="E229" s="12">
        <v>16</v>
      </c>
      <c r="F229" s="12">
        <v>3</v>
      </c>
      <c r="G229" s="12">
        <v>136</v>
      </c>
      <c r="H229" s="121">
        <v>2.2666666666666666</v>
      </c>
      <c r="I229" s="179" t="s">
        <v>547</v>
      </c>
      <c r="J229" s="179">
        <v>2</v>
      </c>
      <c r="M229" s="179">
        <v>46032.429166666669</v>
      </c>
      <c r="N229" s="179" t="s">
        <v>539</v>
      </c>
      <c r="S229" s="179">
        <v>0</v>
      </c>
      <c r="W229" s="179" t="s">
        <v>539</v>
      </c>
      <c r="X229" s="12">
        <v>46032.429166666669</v>
      </c>
      <c r="Y229" s="12" t="s">
        <v>540</v>
      </c>
      <c r="AB229" s="12" t="s">
        <v>525</v>
      </c>
      <c r="AC229" s="12" t="s">
        <v>526</v>
      </c>
    </row>
    <row r="230" spans="1:29">
      <c r="A230" s="12" t="s">
        <v>242</v>
      </c>
      <c r="B230" s="12" t="s">
        <v>1</v>
      </c>
      <c r="C230" s="12" t="s">
        <v>373</v>
      </c>
      <c r="D230" s="12">
        <v>2</v>
      </c>
      <c r="E230" s="12">
        <v>17</v>
      </c>
      <c r="F230" s="12">
        <v>3</v>
      </c>
      <c r="G230" s="12">
        <v>137</v>
      </c>
      <c r="H230" s="121">
        <v>2.2833333333333332</v>
      </c>
      <c r="I230" s="179" t="s">
        <v>547</v>
      </c>
      <c r="J230" s="179">
        <v>1</v>
      </c>
      <c r="M230" s="179">
        <v>46032.429861111108</v>
      </c>
      <c r="N230" s="179" t="s">
        <v>539</v>
      </c>
      <c r="S230" s="179">
        <v>0</v>
      </c>
      <c r="W230" s="179" t="s">
        <v>539</v>
      </c>
      <c r="X230" s="12">
        <v>46032.429861111108</v>
      </c>
      <c r="Y230" s="12" t="s">
        <v>540</v>
      </c>
      <c r="AB230" s="12" t="s">
        <v>525</v>
      </c>
      <c r="AC230" s="12" t="s">
        <v>526</v>
      </c>
    </row>
    <row r="231" spans="1:29">
      <c r="A231" s="12" t="s">
        <v>251</v>
      </c>
      <c r="B231" s="12" t="s">
        <v>1</v>
      </c>
      <c r="C231" s="12" t="s">
        <v>373</v>
      </c>
      <c r="D231" s="12">
        <v>0</v>
      </c>
      <c r="E231" s="12">
        <v>11</v>
      </c>
      <c r="F231" s="12">
        <v>1</v>
      </c>
      <c r="G231" s="12">
        <v>11</v>
      </c>
      <c r="H231" s="121">
        <v>0.18333333333333332</v>
      </c>
      <c r="I231" s="179" t="s">
        <v>547</v>
      </c>
      <c r="J231" s="179">
        <v>4</v>
      </c>
      <c r="M231" s="179">
        <v>46032.429861111108</v>
      </c>
      <c r="N231" s="179" t="s">
        <v>534</v>
      </c>
      <c r="S231" s="179">
        <v>0</v>
      </c>
      <c r="W231" s="179" t="s">
        <v>534</v>
      </c>
      <c r="X231" s="12">
        <v>46032.429861111108</v>
      </c>
      <c r="Y231" s="12" t="s">
        <v>546</v>
      </c>
      <c r="AB231" s="12" t="s">
        <v>525</v>
      </c>
      <c r="AC231" s="12" t="s">
        <v>526</v>
      </c>
    </row>
    <row r="232" spans="1:29">
      <c r="A232" s="12" t="s">
        <v>457</v>
      </c>
      <c r="B232" s="12" t="s">
        <v>1</v>
      </c>
      <c r="C232" s="12" t="s">
        <v>197</v>
      </c>
      <c r="D232" s="12">
        <v>15</v>
      </c>
      <c r="E232" s="12">
        <v>26</v>
      </c>
      <c r="F232" s="12">
        <v>16</v>
      </c>
      <c r="G232" s="12">
        <v>926</v>
      </c>
      <c r="H232" s="121">
        <v>15.433333333333334</v>
      </c>
      <c r="I232" s="179" t="s">
        <v>601</v>
      </c>
      <c r="J232" s="179">
        <v>2</v>
      </c>
      <c r="M232" s="179">
        <v>46032.429861111108</v>
      </c>
      <c r="N232" s="179" t="s">
        <v>549</v>
      </c>
      <c r="S232" s="179">
        <v>0</v>
      </c>
      <c r="W232" s="179" t="s">
        <v>549</v>
      </c>
      <c r="X232" s="12">
        <v>46032.430555555555</v>
      </c>
      <c r="Y232" s="12" t="s">
        <v>541</v>
      </c>
      <c r="AB232" s="12" t="s">
        <v>525</v>
      </c>
      <c r="AC232" s="12" t="s">
        <v>526</v>
      </c>
    </row>
    <row r="233" spans="1:29">
      <c r="A233" s="12" t="s">
        <v>389</v>
      </c>
      <c r="B233" s="12" t="s">
        <v>1</v>
      </c>
      <c r="C233" s="12" t="s">
        <v>373</v>
      </c>
      <c r="D233" s="12">
        <v>2</v>
      </c>
      <c r="E233" s="12">
        <v>34</v>
      </c>
      <c r="F233" s="12">
        <v>3</v>
      </c>
      <c r="G233" s="12">
        <v>154</v>
      </c>
      <c r="H233" s="121">
        <v>2.5666666666666669</v>
      </c>
      <c r="I233" s="179" t="s">
        <v>547</v>
      </c>
      <c r="J233" s="179">
        <v>1</v>
      </c>
      <c r="M233" s="179">
        <v>46032.430555555555</v>
      </c>
      <c r="N233" s="179" t="s">
        <v>539</v>
      </c>
      <c r="S233" s="179">
        <v>0</v>
      </c>
      <c r="W233" s="179" t="s">
        <v>539</v>
      </c>
      <c r="X233" s="12">
        <v>46032.430555555555</v>
      </c>
      <c r="Y233" s="12" t="s">
        <v>540</v>
      </c>
      <c r="AB233" s="12" t="s">
        <v>525</v>
      </c>
      <c r="AC233" s="12" t="s">
        <v>526</v>
      </c>
    </row>
    <row r="234" spans="1:29">
      <c r="A234" s="12" t="s">
        <v>385</v>
      </c>
      <c r="B234" s="12" t="s">
        <v>1</v>
      </c>
      <c r="C234" s="12" t="s">
        <v>373</v>
      </c>
      <c r="D234" s="12">
        <v>0</v>
      </c>
      <c r="E234" s="12">
        <v>68</v>
      </c>
      <c r="F234" s="12">
        <v>1</v>
      </c>
      <c r="G234" s="12">
        <v>68</v>
      </c>
      <c r="H234" s="121">
        <v>1.1333333333333333</v>
      </c>
      <c r="I234" s="179" t="s">
        <v>547</v>
      </c>
      <c r="J234" s="179">
        <v>4</v>
      </c>
      <c r="M234" s="179">
        <v>46032.430555555555</v>
      </c>
      <c r="N234" s="179" t="s">
        <v>534</v>
      </c>
      <c r="S234" s="179">
        <v>0</v>
      </c>
      <c r="W234" s="179" t="s">
        <v>534</v>
      </c>
      <c r="X234" s="12">
        <v>46032.431250000001</v>
      </c>
      <c r="Y234" s="12" t="s">
        <v>546</v>
      </c>
      <c r="AB234" s="12" t="s">
        <v>525</v>
      </c>
      <c r="AC234" s="12" t="s">
        <v>526</v>
      </c>
    </row>
    <row r="235" spans="1:29">
      <c r="A235" s="12" t="s">
        <v>453</v>
      </c>
      <c r="B235" s="12" t="s">
        <v>1</v>
      </c>
      <c r="C235" s="12" t="s">
        <v>197</v>
      </c>
      <c r="D235" s="12">
        <v>14</v>
      </c>
      <c r="E235" s="12">
        <v>0</v>
      </c>
      <c r="F235" s="12">
        <v>14</v>
      </c>
      <c r="G235" s="12">
        <v>840</v>
      </c>
      <c r="H235" s="121">
        <v>14</v>
      </c>
      <c r="I235" s="179" t="s">
        <v>601</v>
      </c>
      <c r="J235" s="179">
        <v>3</v>
      </c>
      <c r="M235" s="179">
        <v>46032.431250000001</v>
      </c>
      <c r="N235" s="179" t="s">
        <v>549</v>
      </c>
      <c r="S235" s="179">
        <v>0</v>
      </c>
      <c r="W235" s="179" t="s">
        <v>549</v>
      </c>
      <c r="X235" s="12">
        <v>46032.431250000001</v>
      </c>
      <c r="Y235" s="12" t="s">
        <v>541</v>
      </c>
      <c r="AB235" s="12" t="s">
        <v>525</v>
      </c>
      <c r="AC235" s="12" t="s">
        <v>526</v>
      </c>
    </row>
    <row r="236" spans="1:29">
      <c r="A236" s="12" t="s">
        <v>247</v>
      </c>
      <c r="B236" s="12" t="s">
        <v>1</v>
      </c>
      <c r="C236" s="12" t="s">
        <v>373</v>
      </c>
      <c r="D236" s="12">
        <v>1</v>
      </c>
      <c r="E236" s="12">
        <v>23</v>
      </c>
      <c r="F236" s="12">
        <v>2</v>
      </c>
      <c r="G236" s="12">
        <v>83</v>
      </c>
      <c r="H236" s="121">
        <v>1.3833333333333333</v>
      </c>
      <c r="I236" s="179" t="s">
        <v>547</v>
      </c>
      <c r="J236" s="179">
        <v>2</v>
      </c>
      <c r="M236" s="179">
        <v>46032.431250000001</v>
      </c>
      <c r="N236" s="179" t="s">
        <v>539</v>
      </c>
      <c r="S236" s="179">
        <v>0</v>
      </c>
      <c r="W236" s="179" t="s">
        <v>539</v>
      </c>
      <c r="X236" s="12">
        <v>46032.431944444441</v>
      </c>
      <c r="Y236" s="12" t="s">
        <v>540</v>
      </c>
      <c r="AB236" s="12" t="s">
        <v>525</v>
      </c>
      <c r="AC236" s="12" t="s">
        <v>526</v>
      </c>
    </row>
    <row r="237" spans="1:29">
      <c r="A237" s="12" t="s">
        <v>278</v>
      </c>
      <c r="B237" s="12" t="s">
        <v>1</v>
      </c>
      <c r="C237" s="12" t="s">
        <v>373</v>
      </c>
      <c r="D237" s="12">
        <v>0</v>
      </c>
      <c r="E237" s="12">
        <v>33</v>
      </c>
      <c r="F237" s="12">
        <v>1</v>
      </c>
      <c r="G237" s="12">
        <v>33</v>
      </c>
      <c r="H237" s="121">
        <v>0.55000000000000004</v>
      </c>
      <c r="I237" s="179" t="s">
        <v>547</v>
      </c>
      <c r="J237" s="179">
        <v>3</v>
      </c>
      <c r="M237" s="179">
        <v>46032.431250000001</v>
      </c>
      <c r="N237" s="179" t="s">
        <v>534</v>
      </c>
      <c r="S237" s="179">
        <v>0</v>
      </c>
      <c r="W237" s="179" t="s">
        <v>534</v>
      </c>
      <c r="X237" s="12">
        <v>46032.431944444441</v>
      </c>
      <c r="Y237" s="12" t="s">
        <v>546</v>
      </c>
      <c r="AB237" s="12" t="s">
        <v>525</v>
      </c>
      <c r="AC237" s="12" t="s">
        <v>526</v>
      </c>
    </row>
    <row r="238" spans="1:29">
      <c r="A238" s="12" t="s">
        <v>458</v>
      </c>
      <c r="B238" s="12" t="s">
        <v>1</v>
      </c>
      <c r="C238" s="12" t="s">
        <v>197</v>
      </c>
      <c r="D238" s="12">
        <v>11</v>
      </c>
      <c r="E238" s="12">
        <v>23</v>
      </c>
      <c r="F238" s="12">
        <v>12</v>
      </c>
      <c r="G238" s="12">
        <v>683</v>
      </c>
      <c r="H238" s="121">
        <v>11.383333333333333</v>
      </c>
      <c r="I238" s="179" t="s">
        <v>601</v>
      </c>
      <c r="J238" s="179">
        <v>4</v>
      </c>
      <c r="M238" s="179">
        <v>46032.431944444441</v>
      </c>
      <c r="N238" s="179" t="s">
        <v>549</v>
      </c>
      <c r="S238" s="179">
        <v>0</v>
      </c>
      <c r="W238" s="179" t="s">
        <v>549</v>
      </c>
      <c r="X238" s="12">
        <v>46032.431944444441</v>
      </c>
      <c r="Y238" s="12" t="s">
        <v>541</v>
      </c>
      <c r="AB238" s="12" t="s">
        <v>525</v>
      </c>
      <c r="AC238" s="12" t="s">
        <v>526</v>
      </c>
    </row>
    <row r="239" spans="1:29">
      <c r="A239" s="12" t="s">
        <v>39</v>
      </c>
      <c r="B239" s="12" t="s">
        <v>1</v>
      </c>
      <c r="C239" s="12" t="s">
        <v>58</v>
      </c>
      <c r="D239" s="12">
        <v>40</v>
      </c>
      <c r="E239" s="12">
        <v>16</v>
      </c>
      <c r="F239" s="12">
        <v>41</v>
      </c>
      <c r="G239" s="12">
        <v>2416</v>
      </c>
      <c r="H239" s="121">
        <v>40.266666666666666</v>
      </c>
      <c r="I239" s="179" t="s">
        <v>590</v>
      </c>
      <c r="J239" s="179">
        <v>1</v>
      </c>
      <c r="M239" s="179">
        <v>46032.443055555559</v>
      </c>
      <c r="N239" s="179" t="s">
        <v>549</v>
      </c>
      <c r="S239" s="179">
        <v>0</v>
      </c>
      <c r="W239" s="179" t="s">
        <v>549</v>
      </c>
      <c r="X239" s="12">
        <v>46032.443055555559</v>
      </c>
      <c r="Y239" s="12" t="s">
        <v>541</v>
      </c>
      <c r="AB239" s="12" t="s">
        <v>525</v>
      </c>
      <c r="AC239" s="12" t="s">
        <v>526</v>
      </c>
    </row>
    <row r="240" spans="1:29">
      <c r="A240" s="12" t="s">
        <v>51</v>
      </c>
      <c r="B240" s="12" t="s">
        <v>1</v>
      </c>
      <c r="C240" s="12" t="s">
        <v>36</v>
      </c>
      <c r="D240" s="12">
        <v>13</v>
      </c>
      <c r="E240" s="12">
        <v>12</v>
      </c>
      <c r="F240" s="12">
        <v>14</v>
      </c>
      <c r="G240" s="12">
        <v>792</v>
      </c>
      <c r="H240" s="121">
        <v>13.2</v>
      </c>
      <c r="I240" s="179" t="s">
        <v>602</v>
      </c>
      <c r="J240" s="179">
        <v>2</v>
      </c>
      <c r="M240" s="179">
        <v>46032.463888888888</v>
      </c>
      <c r="N240" s="179" t="s">
        <v>528</v>
      </c>
      <c r="S240" s="179">
        <v>0</v>
      </c>
      <c r="W240" s="179" t="s">
        <v>528</v>
      </c>
      <c r="X240" s="12">
        <v>46032.464583333334</v>
      </c>
      <c r="Y240" s="12" t="s">
        <v>529</v>
      </c>
      <c r="AB240" s="12" t="s">
        <v>525</v>
      </c>
      <c r="AC240" s="12" t="s">
        <v>526</v>
      </c>
    </row>
    <row r="241" spans="1:29">
      <c r="A241" s="12" t="s">
        <v>603</v>
      </c>
      <c r="B241" s="12" t="s">
        <v>1</v>
      </c>
      <c r="C241" s="12" t="s">
        <v>327</v>
      </c>
      <c r="D241" s="12">
        <v>0</v>
      </c>
      <c r="E241" s="12">
        <v>59</v>
      </c>
      <c r="F241" s="12">
        <v>1</v>
      </c>
      <c r="G241" s="12">
        <v>59</v>
      </c>
      <c r="H241" s="121">
        <v>0.98333333333333328</v>
      </c>
      <c r="I241" s="179" t="s">
        <v>604</v>
      </c>
      <c r="J241" s="179">
        <v>1</v>
      </c>
      <c r="M241" s="179">
        <v>46032.463888888888</v>
      </c>
      <c r="N241" s="179" t="s">
        <v>523</v>
      </c>
      <c r="S241" s="179">
        <v>0</v>
      </c>
      <c r="W241" s="179" t="s">
        <v>523</v>
      </c>
      <c r="X241" s="12">
        <v>46032.464583333334</v>
      </c>
      <c r="Y241" s="12" t="s">
        <v>524</v>
      </c>
      <c r="AB241" s="12" t="s">
        <v>525</v>
      </c>
      <c r="AC241" s="12" t="s">
        <v>526</v>
      </c>
    </row>
    <row r="242" spans="1:29">
      <c r="A242" s="12" t="s">
        <v>52</v>
      </c>
      <c r="B242" s="12" t="s">
        <v>1</v>
      </c>
      <c r="C242" s="12" t="s">
        <v>36</v>
      </c>
      <c r="D242" s="12">
        <v>15</v>
      </c>
      <c r="E242" s="12">
        <v>17</v>
      </c>
      <c r="F242" s="12">
        <v>16</v>
      </c>
      <c r="G242" s="12">
        <v>917</v>
      </c>
      <c r="H242" s="121">
        <v>15.283333333333333</v>
      </c>
      <c r="I242" s="179" t="s">
        <v>602</v>
      </c>
      <c r="J242" s="179">
        <v>1</v>
      </c>
      <c r="M242" s="179">
        <v>46032.465277777781</v>
      </c>
      <c r="N242" s="179" t="s">
        <v>528</v>
      </c>
      <c r="S242" s="179">
        <v>0</v>
      </c>
      <c r="W242" s="179" t="s">
        <v>528</v>
      </c>
      <c r="X242" s="12">
        <v>46032.465277777781</v>
      </c>
      <c r="Y242" s="12" t="s">
        <v>529</v>
      </c>
      <c r="AB242" s="12" t="s">
        <v>525</v>
      </c>
      <c r="AC242" s="12" t="s">
        <v>526</v>
      </c>
    </row>
    <row r="243" spans="1:29">
      <c r="A243" s="12" t="s">
        <v>243</v>
      </c>
      <c r="B243" s="12" t="s">
        <v>1</v>
      </c>
      <c r="C243" s="12" t="s">
        <v>240</v>
      </c>
      <c r="D243" s="12">
        <v>17</v>
      </c>
      <c r="E243" s="12">
        <v>0</v>
      </c>
      <c r="F243" s="12">
        <v>17</v>
      </c>
      <c r="G243" s="12">
        <v>1020</v>
      </c>
      <c r="H243" s="121">
        <v>17</v>
      </c>
      <c r="I243" s="179" t="s">
        <v>605</v>
      </c>
      <c r="J243" s="179">
        <v>1</v>
      </c>
      <c r="M243" s="179">
        <v>46032.465277777781</v>
      </c>
      <c r="N243" s="179" t="s">
        <v>523</v>
      </c>
      <c r="S243" s="179">
        <v>0</v>
      </c>
      <c r="W243" s="179" t="s">
        <v>523</v>
      </c>
      <c r="X243" s="12">
        <v>46032.465277777781</v>
      </c>
      <c r="Y243" s="12" t="s">
        <v>524</v>
      </c>
      <c r="AB243" s="12" t="s">
        <v>525</v>
      </c>
      <c r="AC243" s="12" t="s">
        <v>526</v>
      </c>
    </row>
    <row r="244" spans="1:29">
      <c r="A244" s="12" t="s">
        <v>37</v>
      </c>
      <c r="B244" s="12" t="s">
        <v>1</v>
      </c>
      <c r="C244" s="12" t="s">
        <v>197</v>
      </c>
      <c r="D244" s="12">
        <v>20</v>
      </c>
      <c r="E244" s="12">
        <v>41</v>
      </c>
      <c r="F244" s="12">
        <v>21</v>
      </c>
      <c r="G244" s="12">
        <v>1241</v>
      </c>
      <c r="H244" s="121">
        <v>20.683333333333334</v>
      </c>
      <c r="I244" s="179" t="s">
        <v>602</v>
      </c>
      <c r="J244" s="179">
        <v>1</v>
      </c>
      <c r="M244" s="179">
        <v>46032.46597222222</v>
      </c>
      <c r="N244" s="179" t="s">
        <v>528</v>
      </c>
      <c r="S244" s="179">
        <v>0</v>
      </c>
      <c r="W244" s="179" t="s">
        <v>528</v>
      </c>
      <c r="X244" s="12">
        <v>46032.46597222222</v>
      </c>
      <c r="Y244" s="12" t="s">
        <v>529</v>
      </c>
      <c r="AB244" s="12" t="s">
        <v>525</v>
      </c>
      <c r="AC244" s="12" t="s">
        <v>526</v>
      </c>
    </row>
    <row r="245" spans="1:29">
      <c r="A245" s="12" t="s">
        <v>473</v>
      </c>
      <c r="B245" s="12" t="s">
        <v>1</v>
      </c>
      <c r="C245" s="12" t="s">
        <v>240</v>
      </c>
      <c r="D245" s="12">
        <v>133</v>
      </c>
      <c r="E245" s="12">
        <v>12</v>
      </c>
      <c r="F245" s="12">
        <v>134</v>
      </c>
      <c r="G245" s="12">
        <v>7992</v>
      </c>
      <c r="H245" s="121">
        <v>133.19999999999999</v>
      </c>
      <c r="I245" s="179" t="s">
        <v>606</v>
      </c>
      <c r="J245" s="179">
        <v>1</v>
      </c>
      <c r="M245" s="179">
        <v>46032.466666666667</v>
      </c>
      <c r="N245" s="179" t="s">
        <v>523</v>
      </c>
      <c r="S245" s="179">
        <v>0</v>
      </c>
      <c r="W245" s="179" t="s">
        <v>523</v>
      </c>
      <c r="X245" s="12">
        <v>46032.469444444447</v>
      </c>
      <c r="Y245" s="12" t="s">
        <v>524</v>
      </c>
      <c r="AB245" s="12" t="s">
        <v>525</v>
      </c>
      <c r="AC245" s="12" t="s">
        <v>526</v>
      </c>
    </row>
    <row r="246" spans="1:29">
      <c r="A246" s="12" t="s">
        <v>38</v>
      </c>
      <c r="B246" s="12" t="s">
        <v>1</v>
      </c>
      <c r="C246" s="12" t="s">
        <v>197</v>
      </c>
      <c r="D246" s="12">
        <v>21</v>
      </c>
      <c r="E246" s="12">
        <v>22</v>
      </c>
      <c r="F246" s="12">
        <v>22</v>
      </c>
      <c r="G246" s="12">
        <v>1282</v>
      </c>
      <c r="H246" s="121">
        <v>21.366666666666667</v>
      </c>
      <c r="I246" s="179" t="s">
        <v>602</v>
      </c>
      <c r="J246" s="179">
        <v>2</v>
      </c>
      <c r="M246" s="179">
        <v>46032.466666666667</v>
      </c>
      <c r="N246" s="179" t="s">
        <v>528</v>
      </c>
      <c r="S246" s="179">
        <v>0</v>
      </c>
      <c r="W246" s="179" t="s">
        <v>528</v>
      </c>
      <c r="X246" s="12">
        <v>46032.466666666667</v>
      </c>
      <c r="Y246" s="12" t="s">
        <v>529</v>
      </c>
      <c r="AB246" s="12" t="s">
        <v>525</v>
      </c>
      <c r="AC246" s="12" t="s">
        <v>526</v>
      </c>
    </row>
    <row r="247" spans="1:29">
      <c r="A247" s="12" t="s">
        <v>214</v>
      </c>
      <c r="B247" s="12" t="s">
        <v>1</v>
      </c>
      <c r="C247" s="12" t="s">
        <v>197</v>
      </c>
      <c r="D247" s="12">
        <v>18</v>
      </c>
      <c r="E247" s="12">
        <v>7</v>
      </c>
      <c r="F247" s="12">
        <v>19</v>
      </c>
      <c r="G247" s="12">
        <v>1087</v>
      </c>
      <c r="H247" s="121">
        <v>18.116666666666667</v>
      </c>
      <c r="I247" s="179" t="s">
        <v>602</v>
      </c>
      <c r="J247" s="179">
        <v>3</v>
      </c>
      <c r="M247" s="179">
        <v>46032.467361111114</v>
      </c>
      <c r="N247" s="179" t="s">
        <v>528</v>
      </c>
      <c r="S247" s="179">
        <v>0</v>
      </c>
      <c r="W247" s="179" t="s">
        <v>528</v>
      </c>
      <c r="X247" s="12">
        <v>46032.467361111114</v>
      </c>
      <c r="Y247" s="12" t="s">
        <v>529</v>
      </c>
      <c r="AB247" s="12" t="s">
        <v>525</v>
      </c>
      <c r="AC247" s="12" t="s">
        <v>526</v>
      </c>
    </row>
    <row r="248" spans="1:29">
      <c r="A248" s="12" t="s">
        <v>213</v>
      </c>
      <c r="B248" s="12" t="s">
        <v>1</v>
      </c>
      <c r="C248" s="12" t="s">
        <v>197</v>
      </c>
      <c r="D248" s="12">
        <v>30</v>
      </c>
      <c r="E248" s="12">
        <v>66</v>
      </c>
      <c r="F248" s="12">
        <v>31</v>
      </c>
      <c r="G248" s="12">
        <v>1866</v>
      </c>
      <c r="H248" s="121">
        <v>31.1</v>
      </c>
      <c r="I248" s="179" t="s">
        <v>602</v>
      </c>
      <c r="J248" s="179">
        <v>4</v>
      </c>
      <c r="M248" s="179">
        <v>46032.468055555553</v>
      </c>
      <c r="N248" s="179" t="s">
        <v>528</v>
      </c>
      <c r="S248" s="179">
        <v>0</v>
      </c>
      <c r="W248" s="179" t="s">
        <v>528</v>
      </c>
      <c r="X248" s="12">
        <v>46032.46875</v>
      </c>
      <c r="Y248" s="12" t="s">
        <v>529</v>
      </c>
      <c r="AB248" s="12" t="s">
        <v>525</v>
      </c>
      <c r="AC248" s="12" t="s">
        <v>526</v>
      </c>
    </row>
    <row r="249" spans="1:29">
      <c r="A249" s="12" t="s">
        <v>37</v>
      </c>
      <c r="B249" s="12" t="s">
        <v>1</v>
      </c>
      <c r="C249" s="12" t="s">
        <v>36</v>
      </c>
      <c r="D249" s="12">
        <v>18</v>
      </c>
      <c r="E249" s="12">
        <v>41</v>
      </c>
      <c r="F249" s="12">
        <v>19</v>
      </c>
      <c r="G249" s="12">
        <v>1121</v>
      </c>
      <c r="H249" s="121">
        <v>18.683333333333334</v>
      </c>
      <c r="I249" s="179" t="s">
        <v>602</v>
      </c>
      <c r="J249" s="179">
        <v>1</v>
      </c>
      <c r="M249" s="179">
        <v>46032.469444444447</v>
      </c>
      <c r="N249" s="179" t="s">
        <v>528</v>
      </c>
      <c r="S249" s="179">
        <v>0</v>
      </c>
      <c r="W249" s="179" t="s">
        <v>528</v>
      </c>
      <c r="X249" s="12">
        <v>46032.469444444447</v>
      </c>
      <c r="Y249" s="12" t="s">
        <v>524</v>
      </c>
      <c r="AB249" s="12" t="s">
        <v>525</v>
      </c>
      <c r="AC249" s="12" t="s">
        <v>526</v>
      </c>
    </row>
    <row r="250" spans="1:29">
      <c r="A250" s="12" t="s">
        <v>60</v>
      </c>
      <c r="B250" s="12" t="s">
        <v>1</v>
      </c>
      <c r="C250" s="12" t="s">
        <v>58</v>
      </c>
      <c r="D250" s="12">
        <v>17</v>
      </c>
      <c r="E250" s="12">
        <v>32</v>
      </c>
      <c r="F250" s="12">
        <v>18</v>
      </c>
      <c r="G250" s="12">
        <v>1052</v>
      </c>
      <c r="H250" s="121">
        <v>17.533333333333335</v>
      </c>
      <c r="I250" s="179" t="s">
        <v>607</v>
      </c>
      <c r="J250" s="179">
        <v>1</v>
      </c>
      <c r="M250" s="179">
        <v>46032.469444444447</v>
      </c>
      <c r="N250" s="179" t="s">
        <v>551</v>
      </c>
      <c r="S250" s="179">
        <v>0</v>
      </c>
      <c r="W250" s="179" t="s">
        <v>551</v>
      </c>
      <c r="X250" s="12">
        <v>46032.469444444447</v>
      </c>
      <c r="AB250" s="12" t="s">
        <v>525</v>
      </c>
      <c r="AC250" s="12" t="s">
        <v>526</v>
      </c>
    </row>
    <row r="251" spans="1:29">
      <c r="A251" s="12" t="s">
        <v>56</v>
      </c>
      <c r="B251" s="12" t="s">
        <v>1</v>
      </c>
      <c r="C251" s="12" t="s">
        <v>36</v>
      </c>
      <c r="D251" s="12">
        <v>15</v>
      </c>
      <c r="E251" s="12">
        <v>0</v>
      </c>
      <c r="F251" s="12">
        <v>15</v>
      </c>
      <c r="G251" s="12">
        <v>900</v>
      </c>
      <c r="H251" s="121">
        <v>15</v>
      </c>
      <c r="I251" s="179" t="s">
        <v>608</v>
      </c>
      <c r="J251" s="179">
        <v>1</v>
      </c>
      <c r="M251" s="179">
        <v>46032.469444444447</v>
      </c>
      <c r="N251" s="179" t="s">
        <v>534</v>
      </c>
      <c r="S251" s="179">
        <v>0</v>
      </c>
      <c r="W251" s="179" t="s">
        <v>534</v>
      </c>
      <c r="X251" s="12">
        <v>46032.470138888886</v>
      </c>
      <c r="Y251" s="12" t="s">
        <v>546</v>
      </c>
      <c r="AB251" s="12" t="s">
        <v>525</v>
      </c>
      <c r="AC251" s="12" t="s">
        <v>526</v>
      </c>
    </row>
    <row r="252" spans="1:29">
      <c r="A252" s="12" t="s">
        <v>38</v>
      </c>
      <c r="B252" s="12" t="s">
        <v>1</v>
      </c>
      <c r="C252" s="12" t="s">
        <v>36</v>
      </c>
      <c r="D252" s="12">
        <v>12</v>
      </c>
      <c r="E252" s="12">
        <v>7</v>
      </c>
      <c r="F252" s="12">
        <v>13</v>
      </c>
      <c r="G252" s="12">
        <v>727</v>
      </c>
      <c r="H252" s="121">
        <v>12.116666666666667</v>
      </c>
      <c r="I252" s="179" t="s">
        <v>602</v>
      </c>
      <c r="J252" s="179">
        <v>2</v>
      </c>
      <c r="M252" s="179">
        <v>46032.470138888886</v>
      </c>
      <c r="N252" s="179" t="s">
        <v>528</v>
      </c>
      <c r="S252" s="179">
        <v>0</v>
      </c>
      <c r="W252" s="179" t="s">
        <v>528</v>
      </c>
      <c r="X252" s="12">
        <v>46032.470138888886</v>
      </c>
      <c r="Y252" s="12" t="s">
        <v>529</v>
      </c>
      <c r="AB252" s="12" t="s">
        <v>525</v>
      </c>
      <c r="AC252" s="12" t="s">
        <v>526</v>
      </c>
    </row>
    <row r="253" spans="1:29">
      <c r="A253" s="12" t="s">
        <v>135</v>
      </c>
      <c r="B253" s="12" t="s">
        <v>1</v>
      </c>
      <c r="C253" s="12" t="s">
        <v>133</v>
      </c>
      <c r="D253" s="12">
        <v>261</v>
      </c>
      <c r="E253" s="12">
        <v>40</v>
      </c>
      <c r="F253" s="12">
        <v>262</v>
      </c>
      <c r="G253" s="12">
        <v>15700</v>
      </c>
      <c r="H253" s="121">
        <v>261.66666666666669</v>
      </c>
      <c r="I253" s="179" t="s">
        <v>606</v>
      </c>
      <c r="J253" s="179">
        <v>1</v>
      </c>
      <c r="M253" s="179">
        <v>46032.470138888886</v>
      </c>
      <c r="N253" s="179" t="s">
        <v>523</v>
      </c>
      <c r="S253" s="179">
        <v>0</v>
      </c>
      <c r="W253" s="179" t="s">
        <v>523</v>
      </c>
      <c r="X253" s="12">
        <v>46032.470833333333</v>
      </c>
      <c r="Y253" s="12" t="s">
        <v>524</v>
      </c>
      <c r="AB253" s="12" t="s">
        <v>525</v>
      </c>
      <c r="AC253" s="12" t="s">
        <v>526</v>
      </c>
    </row>
    <row r="254" spans="1:29">
      <c r="A254" s="12" t="s">
        <v>342</v>
      </c>
      <c r="B254" s="12" t="s">
        <v>1</v>
      </c>
      <c r="C254" s="12" t="s">
        <v>341</v>
      </c>
      <c r="D254" s="12">
        <v>53</v>
      </c>
      <c r="E254" s="12">
        <v>0</v>
      </c>
      <c r="F254" s="12">
        <v>53</v>
      </c>
      <c r="G254" s="12">
        <v>3180</v>
      </c>
      <c r="H254" s="121">
        <v>53</v>
      </c>
      <c r="I254" s="179" t="s">
        <v>607</v>
      </c>
      <c r="J254" s="179">
        <v>1</v>
      </c>
      <c r="M254" s="179">
        <v>46032.470833333333</v>
      </c>
      <c r="N254" s="179" t="s">
        <v>551</v>
      </c>
      <c r="S254" s="179">
        <v>0</v>
      </c>
      <c r="W254" s="179" t="s">
        <v>551</v>
      </c>
      <c r="X254" s="12">
        <v>46032.470833333333</v>
      </c>
      <c r="AB254" s="12" t="s">
        <v>525</v>
      </c>
      <c r="AC254" s="12" t="s">
        <v>526</v>
      </c>
    </row>
    <row r="255" spans="1:29">
      <c r="A255" s="12" t="s">
        <v>405</v>
      </c>
      <c r="B255" s="12" t="s">
        <v>1</v>
      </c>
      <c r="C255" s="12" t="s">
        <v>394</v>
      </c>
      <c r="D255" s="12">
        <v>11</v>
      </c>
      <c r="E255" s="12">
        <v>14</v>
      </c>
      <c r="F255" s="12">
        <v>12</v>
      </c>
      <c r="G255" s="12">
        <v>674</v>
      </c>
      <c r="H255" s="121">
        <v>11.233333333333333</v>
      </c>
      <c r="I255" s="179" t="s">
        <v>602</v>
      </c>
      <c r="J255" s="179">
        <v>1</v>
      </c>
      <c r="M255" s="179">
        <v>46032.47152777778</v>
      </c>
      <c r="N255" s="179" t="s">
        <v>528</v>
      </c>
      <c r="S255" s="179">
        <v>0</v>
      </c>
      <c r="W255" s="179" t="s">
        <v>528</v>
      </c>
      <c r="X255" s="12">
        <v>46032.47152777778</v>
      </c>
      <c r="Y255" s="12" t="s">
        <v>529</v>
      </c>
      <c r="AB255" s="12" t="s">
        <v>525</v>
      </c>
      <c r="AC255" s="12" t="s">
        <v>526</v>
      </c>
    </row>
    <row r="256" spans="1:29">
      <c r="A256" s="12" t="s">
        <v>445</v>
      </c>
      <c r="B256" s="12" t="s">
        <v>1</v>
      </c>
      <c r="C256" s="12" t="s">
        <v>197</v>
      </c>
      <c r="D256" s="12">
        <v>7</v>
      </c>
      <c r="E256" s="12">
        <v>59</v>
      </c>
      <c r="F256" s="12">
        <v>8</v>
      </c>
      <c r="G256" s="12">
        <v>479</v>
      </c>
      <c r="H256" s="121">
        <v>7.9833333333333334</v>
      </c>
      <c r="I256" s="179" t="s">
        <v>606</v>
      </c>
      <c r="J256" s="179">
        <v>1</v>
      </c>
      <c r="M256" s="179">
        <v>46032.472222222219</v>
      </c>
      <c r="N256" s="179" t="s">
        <v>531</v>
      </c>
      <c r="S256" s="179">
        <v>0</v>
      </c>
      <c r="W256" s="179" t="s">
        <v>531</v>
      </c>
      <c r="X256" s="12">
        <v>46032.472222222219</v>
      </c>
      <c r="Y256" s="12" t="s">
        <v>541</v>
      </c>
      <c r="AB256" s="12" t="s">
        <v>525</v>
      </c>
      <c r="AC256" s="12" t="s">
        <v>526</v>
      </c>
    </row>
    <row r="257" spans="1:29">
      <c r="A257" s="12" t="s">
        <v>434</v>
      </c>
      <c r="B257" s="12" t="s">
        <v>1</v>
      </c>
      <c r="C257" s="12" t="s">
        <v>430</v>
      </c>
      <c r="D257" s="12">
        <v>43</v>
      </c>
      <c r="E257" s="12">
        <v>64</v>
      </c>
      <c r="F257" s="12">
        <v>44</v>
      </c>
      <c r="G257" s="12">
        <v>2644</v>
      </c>
      <c r="H257" s="121">
        <v>44.06666666666667</v>
      </c>
      <c r="I257" s="179" t="s">
        <v>602</v>
      </c>
      <c r="J257" s="179">
        <v>2</v>
      </c>
      <c r="M257" s="179">
        <v>46032.472222222219</v>
      </c>
      <c r="N257" s="179" t="s">
        <v>528</v>
      </c>
      <c r="S257" s="179">
        <v>0</v>
      </c>
      <c r="W257" s="179" t="s">
        <v>528</v>
      </c>
      <c r="X257" s="12">
        <v>46032.472222222219</v>
      </c>
      <c r="Y257" s="12" t="s">
        <v>529</v>
      </c>
      <c r="AB257" s="12" t="s">
        <v>525</v>
      </c>
      <c r="AC257" s="12" t="s">
        <v>526</v>
      </c>
    </row>
    <row r="258" spans="1:29">
      <c r="A258" s="12" t="s">
        <v>94</v>
      </c>
      <c r="B258" s="12" t="s">
        <v>1</v>
      </c>
      <c r="C258" s="12" t="s">
        <v>58</v>
      </c>
      <c r="D258" s="12">
        <v>23</v>
      </c>
      <c r="E258" s="12">
        <v>14</v>
      </c>
      <c r="F258" s="12">
        <v>24</v>
      </c>
      <c r="G258" s="12">
        <v>1394</v>
      </c>
      <c r="H258" s="121">
        <v>23.233333333333334</v>
      </c>
      <c r="I258" s="179" t="s">
        <v>606</v>
      </c>
      <c r="J258" s="179">
        <v>1</v>
      </c>
      <c r="M258" s="179">
        <v>46032.472222222219</v>
      </c>
      <c r="N258" s="179" t="s">
        <v>551</v>
      </c>
      <c r="S258" s="179">
        <v>0</v>
      </c>
      <c r="W258" s="179" t="s">
        <v>551</v>
      </c>
      <c r="X258" s="12">
        <v>46032.472222222219</v>
      </c>
      <c r="AB258" s="12" t="s">
        <v>525</v>
      </c>
      <c r="AC258" s="12" t="s">
        <v>526</v>
      </c>
    </row>
    <row r="259" spans="1:29">
      <c r="A259" s="12" t="s">
        <v>443</v>
      </c>
      <c r="B259" s="12" t="s">
        <v>1</v>
      </c>
      <c r="C259" s="12" t="s">
        <v>197</v>
      </c>
      <c r="D259" s="12">
        <v>6</v>
      </c>
      <c r="E259" s="12">
        <v>39</v>
      </c>
      <c r="F259" s="12">
        <v>7</v>
      </c>
      <c r="G259" s="12">
        <v>399</v>
      </c>
      <c r="H259" s="121">
        <v>6.65</v>
      </c>
      <c r="I259" s="179" t="s">
        <v>606</v>
      </c>
      <c r="J259" s="179">
        <v>4</v>
      </c>
      <c r="M259" s="179">
        <v>46032.472916666666</v>
      </c>
      <c r="N259" s="179" t="s">
        <v>531</v>
      </c>
      <c r="S259" s="179">
        <v>0</v>
      </c>
      <c r="W259" s="179" t="s">
        <v>531</v>
      </c>
      <c r="X259" s="12">
        <v>46032.472916666666</v>
      </c>
      <c r="Y259" s="12" t="s">
        <v>541</v>
      </c>
      <c r="AB259" s="12" t="s">
        <v>525</v>
      </c>
      <c r="AC259" s="12" t="s">
        <v>526</v>
      </c>
    </row>
    <row r="260" spans="1:29">
      <c r="A260" s="12" t="s">
        <v>393</v>
      </c>
      <c r="B260" s="12" t="s">
        <v>1</v>
      </c>
      <c r="C260" s="12" t="s">
        <v>394</v>
      </c>
      <c r="D260" s="12">
        <v>38</v>
      </c>
      <c r="E260" s="12">
        <v>52</v>
      </c>
      <c r="F260" s="12">
        <v>39</v>
      </c>
      <c r="G260" s="12">
        <v>2332</v>
      </c>
      <c r="H260" s="121">
        <v>38.866666666666667</v>
      </c>
      <c r="I260" s="179" t="s">
        <v>602</v>
      </c>
      <c r="J260" s="179">
        <v>1</v>
      </c>
      <c r="M260" s="179">
        <v>46032.472916666666</v>
      </c>
      <c r="N260" s="179" t="s">
        <v>528</v>
      </c>
      <c r="S260" s="179">
        <v>0</v>
      </c>
      <c r="W260" s="179" t="s">
        <v>528</v>
      </c>
      <c r="X260" s="12">
        <v>46032.473611111112</v>
      </c>
      <c r="Y260" s="12" t="s">
        <v>529</v>
      </c>
      <c r="AB260" s="12" t="s">
        <v>525</v>
      </c>
      <c r="AC260" s="12" t="s">
        <v>526</v>
      </c>
    </row>
    <row r="261" spans="1:29">
      <c r="A261" s="12" t="s">
        <v>95</v>
      </c>
      <c r="B261" s="12" t="s">
        <v>1</v>
      </c>
      <c r="C261" s="12" t="s">
        <v>58</v>
      </c>
      <c r="D261" s="12">
        <v>36</v>
      </c>
      <c r="E261" s="12">
        <v>15</v>
      </c>
      <c r="F261" s="12">
        <v>37</v>
      </c>
      <c r="G261" s="12">
        <v>2175</v>
      </c>
      <c r="H261" s="121">
        <v>36.25</v>
      </c>
      <c r="I261" s="179" t="s">
        <v>606</v>
      </c>
      <c r="J261" s="179">
        <v>2</v>
      </c>
      <c r="M261" s="179">
        <v>46032.473611111112</v>
      </c>
      <c r="N261" s="179" t="s">
        <v>551</v>
      </c>
      <c r="S261" s="179">
        <v>0</v>
      </c>
      <c r="W261" s="179" t="s">
        <v>551</v>
      </c>
      <c r="X261" s="12">
        <v>46032.473611111112</v>
      </c>
      <c r="AB261" s="12" t="s">
        <v>525</v>
      </c>
      <c r="AC261" s="12" t="s">
        <v>526</v>
      </c>
    </row>
    <row r="262" spans="1:29">
      <c r="A262" s="12" t="s">
        <v>471</v>
      </c>
      <c r="B262" s="12" t="s">
        <v>1</v>
      </c>
      <c r="C262" s="12" t="s">
        <v>197</v>
      </c>
      <c r="D262" s="12">
        <v>7</v>
      </c>
      <c r="E262" s="12">
        <v>23</v>
      </c>
      <c r="F262" s="12">
        <v>8</v>
      </c>
      <c r="G262" s="12">
        <v>443</v>
      </c>
      <c r="H262" s="121">
        <v>7.3833333333333337</v>
      </c>
      <c r="I262" s="179" t="s">
        <v>606</v>
      </c>
      <c r="J262" s="179">
        <v>2</v>
      </c>
      <c r="M262" s="179">
        <v>46032.473611111112</v>
      </c>
      <c r="N262" s="179" t="s">
        <v>531</v>
      </c>
      <c r="S262" s="179">
        <v>0</v>
      </c>
      <c r="W262" s="179" t="s">
        <v>531</v>
      </c>
      <c r="X262" s="12">
        <v>46032.473611111112</v>
      </c>
      <c r="Y262" s="12" t="s">
        <v>541</v>
      </c>
      <c r="AB262" s="12" t="s">
        <v>525</v>
      </c>
      <c r="AC262" s="12" t="s">
        <v>526</v>
      </c>
    </row>
    <row r="263" spans="1:29">
      <c r="A263" s="12" t="s">
        <v>141</v>
      </c>
      <c r="B263" s="12" t="s">
        <v>1</v>
      </c>
      <c r="C263" s="12" t="s">
        <v>140</v>
      </c>
      <c r="D263" s="12">
        <v>121</v>
      </c>
      <c r="E263" s="12">
        <v>66</v>
      </c>
      <c r="F263" s="12">
        <v>122</v>
      </c>
      <c r="G263" s="12">
        <v>7326</v>
      </c>
      <c r="H263" s="121">
        <v>122.1</v>
      </c>
      <c r="I263" s="179" t="s">
        <v>607</v>
      </c>
      <c r="J263" s="179">
        <v>1</v>
      </c>
      <c r="M263" s="179">
        <v>46032.474305555559</v>
      </c>
      <c r="N263" s="179" t="s">
        <v>523</v>
      </c>
      <c r="S263" s="179">
        <v>0</v>
      </c>
      <c r="W263" s="179" t="s">
        <v>523</v>
      </c>
      <c r="X263" s="12">
        <v>46032.474305555559</v>
      </c>
      <c r="Y263" s="12" t="s">
        <v>524</v>
      </c>
      <c r="AB263" s="12" t="s">
        <v>525</v>
      </c>
      <c r="AC263" s="12" t="s">
        <v>526</v>
      </c>
    </row>
    <row r="264" spans="1:29">
      <c r="A264" s="12" t="s">
        <v>468</v>
      </c>
      <c r="B264" s="12" t="s">
        <v>1</v>
      </c>
      <c r="C264" s="12" t="s">
        <v>197</v>
      </c>
      <c r="D264" s="12">
        <v>9</v>
      </c>
      <c r="E264" s="12">
        <v>34</v>
      </c>
      <c r="F264" s="12">
        <v>10</v>
      </c>
      <c r="G264" s="12">
        <v>574</v>
      </c>
      <c r="H264" s="121">
        <v>9.5666666666666664</v>
      </c>
      <c r="I264" s="179" t="s">
        <v>606</v>
      </c>
      <c r="J264" s="179">
        <v>1</v>
      </c>
      <c r="M264" s="179">
        <v>46032.474305555559</v>
      </c>
      <c r="N264" s="179" t="s">
        <v>531</v>
      </c>
      <c r="S264" s="179">
        <v>0</v>
      </c>
      <c r="W264" s="179" t="s">
        <v>531</v>
      </c>
      <c r="X264" s="12">
        <v>46032.474305555559</v>
      </c>
      <c r="Y264" s="12" t="s">
        <v>537</v>
      </c>
      <c r="AB264" s="12" t="s">
        <v>525</v>
      </c>
      <c r="AC264" s="12" t="s">
        <v>526</v>
      </c>
    </row>
    <row r="265" spans="1:29">
      <c r="A265" s="12" t="s">
        <v>433</v>
      </c>
      <c r="B265" s="12" t="s">
        <v>1</v>
      </c>
      <c r="C265" s="12" t="s">
        <v>430</v>
      </c>
      <c r="D265" s="12">
        <v>88</v>
      </c>
      <c r="E265" s="12">
        <v>14</v>
      </c>
      <c r="F265" s="12">
        <v>89</v>
      </c>
      <c r="G265" s="12">
        <v>5294</v>
      </c>
      <c r="H265" s="121">
        <v>88.233333333333334</v>
      </c>
      <c r="I265" s="179" t="s">
        <v>609</v>
      </c>
      <c r="J265" s="179">
        <v>1</v>
      </c>
      <c r="M265" s="179">
        <v>46032.474305555559</v>
      </c>
      <c r="N265" s="179" t="s">
        <v>528</v>
      </c>
      <c r="S265" s="179">
        <v>0</v>
      </c>
      <c r="W265" s="179" t="s">
        <v>528</v>
      </c>
      <c r="X265" s="12">
        <v>46032.474305555559</v>
      </c>
      <c r="Y265" s="12" t="s">
        <v>529</v>
      </c>
      <c r="AB265" s="12" t="s">
        <v>525</v>
      </c>
      <c r="AC265" s="12" t="s">
        <v>526</v>
      </c>
    </row>
    <row r="266" spans="1:29">
      <c r="A266" s="12" t="s">
        <v>436</v>
      </c>
      <c r="B266" s="12" t="s">
        <v>1</v>
      </c>
      <c r="C266" s="12" t="s">
        <v>197</v>
      </c>
      <c r="D266" s="12">
        <v>27</v>
      </c>
      <c r="E266" s="12">
        <v>67</v>
      </c>
      <c r="F266" s="12">
        <v>28</v>
      </c>
      <c r="G266" s="12">
        <v>1687</v>
      </c>
      <c r="H266" s="121">
        <v>28.116666666666667</v>
      </c>
      <c r="I266" s="179" t="s">
        <v>606</v>
      </c>
      <c r="J266" s="179">
        <v>1</v>
      </c>
      <c r="M266" s="179">
        <v>46032.474305555559</v>
      </c>
      <c r="N266" s="179" t="s">
        <v>551</v>
      </c>
      <c r="S266" s="179">
        <v>0</v>
      </c>
      <c r="W266" s="179" t="s">
        <v>551</v>
      </c>
      <c r="X266" s="12">
        <v>46032.648611111108</v>
      </c>
      <c r="Y266" s="12" t="s">
        <v>529</v>
      </c>
      <c r="AB266" s="12" t="s">
        <v>525</v>
      </c>
      <c r="AC266" s="12" t="s">
        <v>526</v>
      </c>
    </row>
    <row r="267" spans="1:29">
      <c r="A267" s="12" t="s">
        <v>213</v>
      </c>
      <c r="B267" s="12" t="s">
        <v>1</v>
      </c>
      <c r="C267" s="12" t="s">
        <v>347</v>
      </c>
      <c r="D267" s="12">
        <v>6</v>
      </c>
      <c r="E267" s="12">
        <v>7</v>
      </c>
      <c r="F267" s="12">
        <v>7</v>
      </c>
      <c r="G267" s="12">
        <v>367</v>
      </c>
      <c r="H267" s="121">
        <v>6.1166666666666663</v>
      </c>
      <c r="I267" s="179" t="s">
        <v>609</v>
      </c>
      <c r="J267" s="179">
        <v>1</v>
      </c>
      <c r="M267" s="179">
        <v>46032.474999999999</v>
      </c>
      <c r="N267" s="179" t="s">
        <v>528</v>
      </c>
      <c r="S267" s="179">
        <v>0</v>
      </c>
      <c r="W267" s="179" t="s">
        <v>528</v>
      </c>
      <c r="X267" s="12">
        <v>46032.474999999999</v>
      </c>
      <c r="Y267" s="12" t="s">
        <v>529</v>
      </c>
      <c r="AB267" s="12" t="s">
        <v>525</v>
      </c>
      <c r="AC267" s="12" t="s">
        <v>526</v>
      </c>
    </row>
    <row r="268" spans="1:29">
      <c r="A268" s="12" t="s">
        <v>437</v>
      </c>
      <c r="B268" s="12" t="s">
        <v>1</v>
      </c>
      <c r="C268" s="12" t="s">
        <v>197</v>
      </c>
      <c r="D268" s="12">
        <v>22</v>
      </c>
      <c r="E268" s="12">
        <v>10</v>
      </c>
      <c r="F268" s="12">
        <v>23</v>
      </c>
      <c r="G268" s="12">
        <v>1330</v>
      </c>
      <c r="H268" s="121">
        <v>22.166666666666668</v>
      </c>
      <c r="I268" s="179" t="s">
        <v>606</v>
      </c>
      <c r="J268" s="179">
        <v>2</v>
      </c>
      <c r="M268" s="179">
        <v>46032.475694444445</v>
      </c>
      <c r="N268" s="179" t="s">
        <v>551</v>
      </c>
      <c r="S268" s="179">
        <v>0</v>
      </c>
      <c r="W268" s="179" t="s">
        <v>551</v>
      </c>
      <c r="X268" s="12">
        <v>46032.475694444445</v>
      </c>
      <c r="AB268" s="12" t="s">
        <v>525</v>
      </c>
      <c r="AC268" s="12" t="s">
        <v>526</v>
      </c>
    </row>
    <row r="269" spans="1:29">
      <c r="A269" s="12" t="s">
        <v>37</v>
      </c>
      <c r="B269" s="12" t="s">
        <v>1</v>
      </c>
      <c r="C269" s="12" t="s">
        <v>347</v>
      </c>
      <c r="D269" s="12">
        <v>6</v>
      </c>
      <c r="E269" s="12">
        <v>21</v>
      </c>
      <c r="F269" s="12">
        <v>7</v>
      </c>
      <c r="G269" s="12">
        <v>381</v>
      </c>
      <c r="H269" s="121">
        <v>6.35</v>
      </c>
      <c r="I269" s="179" t="s">
        <v>609</v>
      </c>
      <c r="J269" s="179">
        <v>2</v>
      </c>
      <c r="M269" s="179">
        <v>46032.475694444445</v>
      </c>
      <c r="N269" s="179" t="s">
        <v>528</v>
      </c>
      <c r="S269" s="179">
        <v>0</v>
      </c>
      <c r="W269" s="179" t="s">
        <v>528</v>
      </c>
      <c r="X269" s="12">
        <v>46032.530555555553</v>
      </c>
      <c r="Y269" s="12" t="s">
        <v>529</v>
      </c>
      <c r="AB269" s="12" t="s">
        <v>525</v>
      </c>
      <c r="AC269" s="12" t="s">
        <v>526</v>
      </c>
    </row>
    <row r="270" spans="1:29">
      <c r="A270" s="12" t="s">
        <v>92</v>
      </c>
      <c r="B270" s="12" t="s">
        <v>1</v>
      </c>
      <c r="C270" s="12" t="s">
        <v>347</v>
      </c>
      <c r="D270" s="12">
        <v>12</v>
      </c>
      <c r="E270" s="12">
        <v>43</v>
      </c>
      <c r="F270" s="12">
        <v>13</v>
      </c>
      <c r="G270" s="12">
        <v>763</v>
      </c>
      <c r="H270" s="121">
        <v>12.716666666666667</v>
      </c>
      <c r="I270" s="179" t="s">
        <v>584</v>
      </c>
      <c r="J270" s="179">
        <v>1</v>
      </c>
      <c r="M270" s="179">
        <v>46032.475694444445</v>
      </c>
      <c r="N270" s="179" t="s">
        <v>534</v>
      </c>
      <c r="S270" s="179">
        <v>0</v>
      </c>
      <c r="W270" s="179" t="s">
        <v>534</v>
      </c>
      <c r="X270" s="12">
        <v>46032.475694444445</v>
      </c>
      <c r="Y270" s="12" t="s">
        <v>546</v>
      </c>
      <c r="AB270" s="12" t="s">
        <v>525</v>
      </c>
      <c r="AC270" s="12" t="s">
        <v>526</v>
      </c>
    </row>
    <row r="271" spans="1:29">
      <c r="A271" s="12" t="s">
        <v>271</v>
      </c>
      <c r="B271" s="12" t="s">
        <v>1</v>
      </c>
      <c r="C271" s="12" t="s">
        <v>240</v>
      </c>
      <c r="D271" s="12">
        <v>326</v>
      </c>
      <c r="E271" s="12">
        <v>20</v>
      </c>
      <c r="F271" s="12">
        <v>327</v>
      </c>
      <c r="G271" s="12">
        <v>19580</v>
      </c>
      <c r="H271" s="121">
        <v>326.33333333333331</v>
      </c>
      <c r="I271" s="179" t="s">
        <v>607</v>
      </c>
      <c r="J271" s="179">
        <v>1</v>
      </c>
      <c r="M271" s="179">
        <v>46032.475694444445</v>
      </c>
      <c r="N271" s="179" t="s">
        <v>523</v>
      </c>
      <c r="S271" s="179">
        <v>0</v>
      </c>
      <c r="W271" s="179" t="s">
        <v>523</v>
      </c>
      <c r="X271" s="12">
        <v>46032.475694444445</v>
      </c>
      <c r="Y271" s="12" t="s">
        <v>524</v>
      </c>
      <c r="AB271" s="12" t="s">
        <v>525</v>
      </c>
      <c r="AC271" s="12" t="s">
        <v>526</v>
      </c>
    </row>
    <row r="272" spans="1:29">
      <c r="A272" s="12" t="s">
        <v>440</v>
      </c>
      <c r="B272" s="12" t="s">
        <v>1</v>
      </c>
      <c r="C272" s="12" t="s">
        <v>197</v>
      </c>
      <c r="D272" s="12">
        <v>10</v>
      </c>
      <c r="E272" s="12">
        <v>21</v>
      </c>
      <c r="F272" s="12">
        <v>11</v>
      </c>
      <c r="G272" s="12">
        <v>621</v>
      </c>
      <c r="H272" s="121">
        <v>10.35</v>
      </c>
      <c r="I272" s="179" t="s">
        <v>606</v>
      </c>
      <c r="J272" s="179">
        <v>3</v>
      </c>
      <c r="M272" s="179">
        <v>46032.476388888892</v>
      </c>
      <c r="N272" s="179" t="s">
        <v>551</v>
      </c>
      <c r="S272" s="179">
        <v>0</v>
      </c>
      <c r="W272" s="179" t="s">
        <v>551</v>
      </c>
      <c r="X272" s="12">
        <v>46032.476388888892</v>
      </c>
      <c r="AB272" s="12" t="s">
        <v>525</v>
      </c>
      <c r="AC272" s="12" t="s">
        <v>526</v>
      </c>
    </row>
    <row r="273" spans="1:29">
      <c r="A273" s="12" t="s">
        <v>92</v>
      </c>
      <c r="B273" s="12" t="s">
        <v>1</v>
      </c>
      <c r="C273" s="12" t="s">
        <v>58</v>
      </c>
      <c r="D273" s="12">
        <v>59</v>
      </c>
      <c r="E273" s="12">
        <v>35</v>
      </c>
      <c r="F273" s="12">
        <v>60</v>
      </c>
      <c r="G273" s="12">
        <v>3575</v>
      </c>
      <c r="H273" s="121">
        <v>59.583333333333336</v>
      </c>
      <c r="I273" s="179" t="s">
        <v>584</v>
      </c>
      <c r="J273" s="179">
        <v>2</v>
      </c>
      <c r="M273" s="179">
        <v>46032.477083333331</v>
      </c>
      <c r="N273" s="179" t="s">
        <v>534</v>
      </c>
      <c r="S273" s="179">
        <v>0</v>
      </c>
      <c r="W273" s="179" t="s">
        <v>534</v>
      </c>
      <c r="X273" s="12">
        <v>46032.477083333331</v>
      </c>
      <c r="Y273" s="12" t="s">
        <v>546</v>
      </c>
      <c r="AB273" s="12" t="s">
        <v>525</v>
      </c>
      <c r="AC273" s="12" t="s">
        <v>526</v>
      </c>
    </row>
    <row r="274" spans="1:29">
      <c r="A274" s="12" t="s">
        <v>441</v>
      </c>
      <c r="B274" s="12" t="s">
        <v>1</v>
      </c>
      <c r="C274" s="12" t="s">
        <v>197</v>
      </c>
      <c r="D274" s="12">
        <v>15</v>
      </c>
      <c r="E274" s="12">
        <v>68</v>
      </c>
      <c r="F274" s="12">
        <v>16</v>
      </c>
      <c r="G274" s="12">
        <v>968</v>
      </c>
      <c r="H274" s="121">
        <v>16.133333333333333</v>
      </c>
      <c r="I274" s="179" t="s">
        <v>606</v>
      </c>
      <c r="J274" s="179">
        <v>4</v>
      </c>
      <c r="M274" s="179">
        <v>46032.477083333331</v>
      </c>
      <c r="N274" s="179" t="s">
        <v>551</v>
      </c>
      <c r="S274" s="179">
        <v>0</v>
      </c>
      <c r="W274" s="179" t="s">
        <v>551</v>
      </c>
      <c r="X274" s="12">
        <v>46032.477083333331</v>
      </c>
      <c r="AB274" s="12" t="s">
        <v>525</v>
      </c>
      <c r="AC274" s="12" t="s">
        <v>526</v>
      </c>
    </row>
    <row r="275" spans="1:29">
      <c r="A275" s="12" t="s">
        <v>93</v>
      </c>
      <c r="B275" s="12" t="s">
        <v>1</v>
      </c>
      <c r="C275" s="12" t="s">
        <v>58</v>
      </c>
      <c r="D275" s="12">
        <v>75</v>
      </c>
      <c r="E275" s="12">
        <v>55</v>
      </c>
      <c r="F275" s="12">
        <v>76</v>
      </c>
      <c r="G275" s="12">
        <v>4555</v>
      </c>
      <c r="H275" s="121">
        <v>75.916666666666671</v>
      </c>
      <c r="I275" s="179" t="s">
        <v>584</v>
      </c>
      <c r="J275" s="179">
        <v>3</v>
      </c>
      <c r="M275" s="179">
        <v>46032.477777777778</v>
      </c>
      <c r="N275" s="179" t="s">
        <v>534</v>
      </c>
      <c r="S275" s="179">
        <v>0</v>
      </c>
      <c r="W275" s="179" t="s">
        <v>534</v>
      </c>
      <c r="X275" s="12">
        <v>46032.477777777778</v>
      </c>
      <c r="Y275" s="12" t="s">
        <v>546</v>
      </c>
      <c r="AB275" s="12" t="s">
        <v>525</v>
      </c>
      <c r="AC275" s="12" t="s">
        <v>526</v>
      </c>
    </row>
    <row r="276" spans="1:29">
      <c r="A276" s="12" t="s">
        <v>444</v>
      </c>
      <c r="B276" s="12" t="s">
        <v>1</v>
      </c>
      <c r="C276" s="12" t="s">
        <v>197</v>
      </c>
      <c r="D276" s="12">
        <v>15</v>
      </c>
      <c r="E276" s="12">
        <v>32</v>
      </c>
      <c r="F276" s="12">
        <v>16</v>
      </c>
      <c r="G276" s="12">
        <v>932</v>
      </c>
      <c r="H276" s="121">
        <v>15.533333333333333</v>
      </c>
      <c r="I276" s="179" t="s">
        <v>584</v>
      </c>
      <c r="J276" s="179">
        <v>1</v>
      </c>
      <c r="M276" s="179">
        <v>46032.478472222225</v>
      </c>
      <c r="N276" s="179" t="s">
        <v>534</v>
      </c>
      <c r="S276" s="179">
        <v>0</v>
      </c>
      <c r="W276" s="179" t="s">
        <v>534</v>
      </c>
      <c r="X276" s="12">
        <v>46032.479166666664</v>
      </c>
      <c r="Y276" s="12" t="s">
        <v>546</v>
      </c>
      <c r="AB276" s="12" t="s">
        <v>525</v>
      </c>
      <c r="AC276" s="12" t="s">
        <v>526</v>
      </c>
    </row>
    <row r="277" spans="1:29">
      <c r="A277" s="12" t="s">
        <v>438</v>
      </c>
      <c r="B277" s="12" t="s">
        <v>1</v>
      </c>
      <c r="C277" s="12" t="s">
        <v>197</v>
      </c>
      <c r="D277" s="12">
        <v>26</v>
      </c>
      <c r="E277" s="12">
        <v>57</v>
      </c>
      <c r="F277" s="12">
        <v>27</v>
      </c>
      <c r="G277" s="12">
        <v>1617</v>
      </c>
      <c r="H277" s="121">
        <v>26.95</v>
      </c>
      <c r="I277" s="179" t="s">
        <v>584</v>
      </c>
      <c r="J277" s="179">
        <v>2</v>
      </c>
      <c r="M277" s="179">
        <v>46032.479861111111</v>
      </c>
      <c r="N277" s="179" t="s">
        <v>534</v>
      </c>
      <c r="S277" s="179">
        <v>0</v>
      </c>
      <c r="W277" s="179" t="s">
        <v>534</v>
      </c>
      <c r="X277" s="12">
        <v>46032.479861111111</v>
      </c>
      <c r="Y277" s="12" t="s">
        <v>546</v>
      </c>
      <c r="AB277" s="12" t="s">
        <v>525</v>
      </c>
      <c r="AC277" s="12" t="s">
        <v>526</v>
      </c>
    </row>
    <row r="278" spans="1:29">
      <c r="A278" s="12" t="s">
        <v>188</v>
      </c>
      <c r="B278" s="12" t="s">
        <v>1</v>
      </c>
      <c r="C278" s="12" t="s">
        <v>162</v>
      </c>
      <c r="D278" s="12">
        <v>320</v>
      </c>
      <c r="E278" s="12">
        <v>0</v>
      </c>
      <c r="F278" s="12">
        <v>320</v>
      </c>
      <c r="G278" s="12">
        <v>19200</v>
      </c>
      <c r="H278" s="121">
        <v>320</v>
      </c>
      <c r="I278" s="179" t="s">
        <v>610</v>
      </c>
      <c r="J278" s="179">
        <v>1</v>
      </c>
      <c r="M278" s="179">
        <v>46032.480555555558</v>
      </c>
      <c r="N278" s="179" t="s">
        <v>523</v>
      </c>
      <c r="S278" s="179">
        <v>0</v>
      </c>
      <c r="W278" s="179" t="s">
        <v>523</v>
      </c>
      <c r="X278" s="12">
        <v>46032.481249999997</v>
      </c>
      <c r="Y278" s="12" t="s">
        <v>524</v>
      </c>
      <c r="AB278" s="12" t="s">
        <v>525</v>
      </c>
      <c r="AC278" s="12" t="s">
        <v>526</v>
      </c>
    </row>
    <row r="279" spans="1:29">
      <c r="A279" s="12" t="s">
        <v>439</v>
      </c>
      <c r="B279" s="12" t="s">
        <v>1</v>
      </c>
      <c r="C279" s="12" t="s">
        <v>197</v>
      </c>
      <c r="D279" s="12">
        <v>13</v>
      </c>
      <c r="E279" s="12">
        <v>42</v>
      </c>
      <c r="F279" s="12">
        <v>14</v>
      </c>
      <c r="G279" s="12">
        <v>822</v>
      </c>
      <c r="H279" s="121">
        <v>13.7</v>
      </c>
      <c r="I279" s="179" t="s">
        <v>584</v>
      </c>
      <c r="J279" s="179">
        <v>3</v>
      </c>
      <c r="M279" s="179">
        <v>46032.481249999997</v>
      </c>
      <c r="N279" s="179" t="s">
        <v>534</v>
      </c>
      <c r="S279" s="179">
        <v>0</v>
      </c>
      <c r="W279" s="179" t="s">
        <v>534</v>
      </c>
      <c r="X279" s="12">
        <v>46032.481249999997</v>
      </c>
      <c r="Y279" s="12" t="s">
        <v>546</v>
      </c>
      <c r="AB279" s="12" t="s">
        <v>525</v>
      </c>
      <c r="AC279" s="12" t="s">
        <v>526</v>
      </c>
    </row>
    <row r="280" spans="1:29">
      <c r="A280" s="12" t="s">
        <v>339</v>
      </c>
      <c r="B280" s="12" t="s">
        <v>1</v>
      </c>
      <c r="C280" s="12" t="s">
        <v>337</v>
      </c>
      <c r="D280" s="12">
        <v>8</v>
      </c>
      <c r="E280" s="12">
        <v>39</v>
      </c>
      <c r="F280" s="12">
        <v>9</v>
      </c>
      <c r="G280" s="12">
        <v>519</v>
      </c>
      <c r="H280" s="121">
        <v>8.65</v>
      </c>
      <c r="I280" s="179" t="s">
        <v>584</v>
      </c>
      <c r="J280" s="179">
        <v>1</v>
      </c>
      <c r="M280" s="179">
        <v>46032.481944444444</v>
      </c>
      <c r="N280" s="179" t="s">
        <v>534</v>
      </c>
      <c r="S280" s="179">
        <v>0</v>
      </c>
      <c r="W280" s="179" t="s">
        <v>534</v>
      </c>
      <c r="X280" s="12">
        <v>46032.482638888891</v>
      </c>
      <c r="Y280" s="12" t="s">
        <v>546</v>
      </c>
      <c r="AB280" s="12" t="s">
        <v>525</v>
      </c>
      <c r="AC280" s="12" t="s">
        <v>526</v>
      </c>
    </row>
    <row r="281" spans="1:29">
      <c r="A281" s="12" t="s">
        <v>163</v>
      </c>
      <c r="B281" s="12" t="s">
        <v>1</v>
      </c>
      <c r="C281" s="12" t="s">
        <v>162</v>
      </c>
      <c r="D281" s="12">
        <v>0</v>
      </c>
      <c r="E281" s="12">
        <v>11</v>
      </c>
      <c r="F281" s="12">
        <v>1</v>
      </c>
      <c r="G281" s="12">
        <v>11</v>
      </c>
      <c r="H281" s="121">
        <v>0.18333333333333332</v>
      </c>
      <c r="I281" s="179" t="s">
        <v>611</v>
      </c>
      <c r="J281" s="179">
        <v>1</v>
      </c>
      <c r="M281" s="179">
        <v>46032.486111111109</v>
      </c>
      <c r="N281" s="179" t="s">
        <v>523</v>
      </c>
      <c r="S281" s="179">
        <v>0</v>
      </c>
      <c r="W281" s="179" t="s">
        <v>523</v>
      </c>
      <c r="X281" s="12">
        <v>46032.495138888888</v>
      </c>
      <c r="Y281" s="12" t="s">
        <v>524</v>
      </c>
      <c r="AB281" s="12" t="s">
        <v>525</v>
      </c>
      <c r="AC281" s="12" t="s">
        <v>526</v>
      </c>
    </row>
    <row r="282" spans="1:29">
      <c r="A282" s="12" t="s">
        <v>167</v>
      </c>
      <c r="B282" s="12" t="s">
        <v>1</v>
      </c>
      <c r="C282" s="12" t="s">
        <v>162</v>
      </c>
      <c r="D282" s="12">
        <v>0</v>
      </c>
      <c r="E282" s="12">
        <v>43</v>
      </c>
      <c r="F282" s="12">
        <v>1</v>
      </c>
      <c r="G282" s="12">
        <v>43</v>
      </c>
      <c r="H282" s="121">
        <v>0.71666666666666667</v>
      </c>
      <c r="I282" s="179" t="s">
        <v>611</v>
      </c>
      <c r="J282" s="179">
        <v>1</v>
      </c>
      <c r="M282" s="179">
        <v>46032.494444444441</v>
      </c>
      <c r="N282" s="179" t="s">
        <v>523</v>
      </c>
      <c r="S282" s="179">
        <v>0</v>
      </c>
      <c r="W282" s="179" t="s">
        <v>523</v>
      </c>
      <c r="X282" s="12">
        <v>46032.494444444441</v>
      </c>
      <c r="Y282" s="12" t="s">
        <v>524</v>
      </c>
      <c r="AB282" s="12" t="s">
        <v>525</v>
      </c>
      <c r="AC282" s="12" t="s">
        <v>526</v>
      </c>
    </row>
    <row r="283" spans="1:29">
      <c r="A283" s="12" t="s">
        <v>168</v>
      </c>
      <c r="B283" s="12" t="s">
        <v>1</v>
      </c>
      <c r="C283" s="12" t="s">
        <v>162</v>
      </c>
      <c r="D283" s="12">
        <v>0</v>
      </c>
      <c r="E283" s="12">
        <v>26</v>
      </c>
      <c r="F283" s="12">
        <v>1</v>
      </c>
      <c r="G283" s="12">
        <v>26</v>
      </c>
      <c r="H283" s="121">
        <v>0.43333333333333335</v>
      </c>
      <c r="I283" s="179" t="s">
        <v>611</v>
      </c>
      <c r="J283" s="179">
        <v>1</v>
      </c>
      <c r="M283" s="179">
        <v>46032.495833333334</v>
      </c>
      <c r="N283" s="179" t="s">
        <v>523</v>
      </c>
      <c r="S283" s="179">
        <v>0</v>
      </c>
      <c r="W283" s="179" t="s">
        <v>523</v>
      </c>
      <c r="X283" s="12">
        <v>46032.495833333334</v>
      </c>
      <c r="Y283" s="12" t="s">
        <v>524</v>
      </c>
      <c r="AB283" s="12" t="s">
        <v>525</v>
      </c>
      <c r="AC283" s="12" t="s">
        <v>526</v>
      </c>
    </row>
    <row r="284" spans="1:29">
      <c r="A284" s="12" t="s">
        <v>169</v>
      </c>
      <c r="B284" s="12" t="s">
        <v>1</v>
      </c>
      <c r="C284" s="12" t="s">
        <v>162</v>
      </c>
      <c r="D284" s="12">
        <v>0</v>
      </c>
      <c r="E284" s="12">
        <v>18</v>
      </c>
      <c r="F284" s="12">
        <v>1</v>
      </c>
      <c r="G284" s="12">
        <v>18</v>
      </c>
      <c r="H284" s="121">
        <v>0.3</v>
      </c>
      <c r="I284" s="179" t="s">
        <v>611</v>
      </c>
      <c r="J284" s="179">
        <v>1</v>
      </c>
      <c r="M284" s="179">
        <v>46032.496527777781</v>
      </c>
      <c r="N284" s="179" t="s">
        <v>523</v>
      </c>
      <c r="S284" s="179">
        <v>0</v>
      </c>
      <c r="W284" s="179" t="s">
        <v>523</v>
      </c>
      <c r="X284" s="12">
        <v>46032.496527777781</v>
      </c>
      <c r="Y284" s="12" t="s">
        <v>524</v>
      </c>
      <c r="AB284" s="12" t="s">
        <v>525</v>
      </c>
      <c r="AC284" s="12" t="s">
        <v>526</v>
      </c>
    </row>
    <row r="285" spans="1:29">
      <c r="A285" s="12" t="s">
        <v>170</v>
      </c>
      <c r="B285" s="12" t="s">
        <v>1</v>
      </c>
      <c r="C285" s="12" t="s">
        <v>162</v>
      </c>
      <c r="D285" s="12">
        <v>0</v>
      </c>
      <c r="E285" s="12">
        <v>33</v>
      </c>
      <c r="F285" s="12">
        <v>1</v>
      </c>
      <c r="G285" s="12">
        <v>33</v>
      </c>
      <c r="H285" s="121">
        <v>0.55000000000000004</v>
      </c>
      <c r="I285" s="179" t="s">
        <v>611</v>
      </c>
      <c r="J285" s="179">
        <v>1</v>
      </c>
      <c r="M285" s="179">
        <v>46032.49722222222</v>
      </c>
      <c r="N285" s="179" t="s">
        <v>523</v>
      </c>
      <c r="S285" s="179">
        <v>0</v>
      </c>
      <c r="W285" s="179" t="s">
        <v>523</v>
      </c>
      <c r="X285" s="12">
        <v>46032.497916666667</v>
      </c>
      <c r="Y285" s="12" t="s">
        <v>524</v>
      </c>
      <c r="AB285" s="12" t="s">
        <v>525</v>
      </c>
      <c r="AC285" s="12" t="s">
        <v>526</v>
      </c>
    </row>
    <row r="286" spans="1:29">
      <c r="A286" s="12" t="s">
        <v>164</v>
      </c>
      <c r="B286" s="12" t="s">
        <v>1</v>
      </c>
      <c r="C286" s="12" t="s">
        <v>162</v>
      </c>
      <c r="D286" s="12">
        <v>1</v>
      </c>
      <c r="E286" s="12">
        <v>17</v>
      </c>
      <c r="F286" s="12">
        <v>2</v>
      </c>
      <c r="G286" s="12">
        <v>77</v>
      </c>
      <c r="H286" s="121">
        <v>1.2833333333333334</v>
      </c>
      <c r="I286" s="179" t="s">
        <v>611</v>
      </c>
      <c r="J286" s="179">
        <v>1</v>
      </c>
      <c r="M286" s="179">
        <v>46032.498611111114</v>
      </c>
      <c r="N286" s="179" t="s">
        <v>523</v>
      </c>
      <c r="S286" s="179">
        <v>0</v>
      </c>
      <c r="W286" s="179" t="s">
        <v>523</v>
      </c>
      <c r="X286" s="12">
        <v>46032.498611111114</v>
      </c>
      <c r="Y286" s="12" t="s">
        <v>524</v>
      </c>
      <c r="AB286" s="12" t="s">
        <v>525</v>
      </c>
      <c r="AC286" s="12" t="s">
        <v>526</v>
      </c>
    </row>
    <row r="287" spans="1:29">
      <c r="A287" s="12" t="s">
        <v>171</v>
      </c>
      <c r="B287" s="12" t="s">
        <v>1</v>
      </c>
      <c r="C287" s="12" t="s">
        <v>162</v>
      </c>
      <c r="D287" s="12">
        <v>0</v>
      </c>
      <c r="E287" s="12">
        <v>33</v>
      </c>
      <c r="F287" s="12">
        <v>1</v>
      </c>
      <c r="G287" s="12">
        <v>33</v>
      </c>
      <c r="H287" s="121">
        <v>0.55000000000000004</v>
      </c>
      <c r="I287" s="179" t="s">
        <v>611</v>
      </c>
      <c r="J287" s="179">
        <v>1</v>
      </c>
      <c r="M287" s="179">
        <v>46032.5</v>
      </c>
      <c r="N287" s="179" t="s">
        <v>523</v>
      </c>
      <c r="S287" s="179">
        <v>0</v>
      </c>
      <c r="W287" s="179" t="s">
        <v>523</v>
      </c>
      <c r="X287" s="12">
        <v>46032.5</v>
      </c>
      <c r="Y287" s="12" t="s">
        <v>524</v>
      </c>
      <c r="AB287" s="12" t="s">
        <v>525</v>
      </c>
      <c r="AC287" s="12" t="s">
        <v>526</v>
      </c>
    </row>
    <row r="288" spans="1:29">
      <c r="A288" s="12" t="s">
        <v>172</v>
      </c>
      <c r="B288" s="12" t="s">
        <v>1</v>
      </c>
      <c r="C288" s="12" t="s">
        <v>162</v>
      </c>
      <c r="D288" s="12">
        <v>0</v>
      </c>
      <c r="E288" s="12">
        <v>28</v>
      </c>
      <c r="F288" s="12">
        <v>1</v>
      </c>
      <c r="G288" s="12">
        <v>28</v>
      </c>
      <c r="H288" s="121">
        <v>0.46666666666666667</v>
      </c>
      <c r="I288" s="179" t="s">
        <v>611</v>
      </c>
      <c r="J288" s="179">
        <v>1</v>
      </c>
      <c r="M288" s="179">
        <v>46032.500694444447</v>
      </c>
      <c r="N288" s="179" t="s">
        <v>523</v>
      </c>
      <c r="S288" s="179">
        <v>0</v>
      </c>
      <c r="W288" s="179" t="s">
        <v>523</v>
      </c>
      <c r="X288" s="12">
        <v>46032.501388888886</v>
      </c>
      <c r="Y288" s="12" t="s">
        <v>524</v>
      </c>
      <c r="AB288" s="12" t="s">
        <v>525</v>
      </c>
      <c r="AC288" s="12" t="s">
        <v>526</v>
      </c>
    </row>
    <row r="289" spans="1:29">
      <c r="A289" s="12" t="s">
        <v>173</v>
      </c>
      <c r="B289" s="12" t="s">
        <v>1</v>
      </c>
      <c r="C289" s="12" t="s">
        <v>162</v>
      </c>
      <c r="D289" s="12">
        <v>0</v>
      </c>
      <c r="E289" s="12">
        <v>20</v>
      </c>
      <c r="F289" s="12">
        <v>1</v>
      </c>
      <c r="G289" s="12">
        <v>20</v>
      </c>
      <c r="H289" s="121">
        <v>0.33333333333333331</v>
      </c>
      <c r="I289" s="179" t="s">
        <v>611</v>
      </c>
      <c r="J289" s="179">
        <v>1</v>
      </c>
      <c r="M289" s="179">
        <v>46032.501388888886</v>
      </c>
      <c r="N289" s="179" t="s">
        <v>523</v>
      </c>
      <c r="S289" s="179">
        <v>0</v>
      </c>
      <c r="W289" s="179" t="s">
        <v>523</v>
      </c>
      <c r="X289" s="12">
        <v>46032.502083333333</v>
      </c>
      <c r="Y289" s="12" t="s">
        <v>524</v>
      </c>
      <c r="AB289" s="12" t="s">
        <v>525</v>
      </c>
      <c r="AC289" s="12" t="s">
        <v>526</v>
      </c>
    </row>
    <row r="290" spans="1:29">
      <c r="A290" s="12" t="s">
        <v>309</v>
      </c>
      <c r="B290" s="12" t="s">
        <v>1</v>
      </c>
      <c r="C290" s="12" t="s">
        <v>240</v>
      </c>
      <c r="D290" s="12">
        <v>19</v>
      </c>
      <c r="E290" s="12">
        <v>39</v>
      </c>
      <c r="F290" s="12">
        <v>20</v>
      </c>
      <c r="G290" s="12">
        <v>1179</v>
      </c>
      <c r="H290" s="121">
        <v>19.649999999999999</v>
      </c>
      <c r="I290" s="179" t="s">
        <v>612</v>
      </c>
      <c r="J290" s="179">
        <v>1</v>
      </c>
      <c r="M290" s="179">
        <v>46032.504166666666</v>
      </c>
      <c r="N290" s="179" t="s">
        <v>549</v>
      </c>
      <c r="S290" s="179">
        <v>0</v>
      </c>
      <c r="W290" s="179" t="s">
        <v>549</v>
      </c>
      <c r="X290" s="12">
        <v>46032.504861111112</v>
      </c>
      <c r="Y290" s="12" t="s">
        <v>541</v>
      </c>
      <c r="AB290" s="12" t="s">
        <v>525</v>
      </c>
      <c r="AC290" s="12" t="s">
        <v>526</v>
      </c>
    </row>
    <row r="291" spans="1:29">
      <c r="A291" s="12" t="s">
        <v>122</v>
      </c>
      <c r="B291" s="12" t="s">
        <v>1</v>
      </c>
      <c r="C291" s="12" t="s">
        <v>58</v>
      </c>
      <c r="D291" s="12">
        <v>4</v>
      </c>
      <c r="E291" s="12">
        <v>41</v>
      </c>
      <c r="F291" s="12">
        <v>5</v>
      </c>
      <c r="G291" s="12">
        <v>281</v>
      </c>
      <c r="H291" s="121">
        <v>4.6833333333333336</v>
      </c>
      <c r="I291" s="179" t="s">
        <v>612</v>
      </c>
      <c r="J291" s="179">
        <v>1</v>
      </c>
      <c r="M291" s="179">
        <v>46032.504861111112</v>
      </c>
      <c r="N291" s="179" t="s">
        <v>549</v>
      </c>
      <c r="S291" s="179">
        <v>0</v>
      </c>
      <c r="W291" s="179" t="s">
        <v>549</v>
      </c>
      <c r="X291" s="12">
        <v>46032.505555555559</v>
      </c>
      <c r="Y291" s="12" t="s">
        <v>541</v>
      </c>
      <c r="AB291" s="12" t="s">
        <v>525</v>
      </c>
      <c r="AC291" s="12" t="s">
        <v>526</v>
      </c>
    </row>
    <row r="292" spans="1:29">
      <c r="A292" s="12" t="s">
        <v>175</v>
      </c>
      <c r="B292" s="12" t="s">
        <v>1</v>
      </c>
      <c r="C292" s="12" t="s">
        <v>162</v>
      </c>
      <c r="D292" s="12">
        <v>11</v>
      </c>
      <c r="E292" s="12">
        <v>27</v>
      </c>
      <c r="F292" s="12">
        <v>12</v>
      </c>
      <c r="G292" s="12">
        <v>687</v>
      </c>
      <c r="H292" s="121">
        <v>11.45</v>
      </c>
      <c r="I292" s="179" t="s">
        <v>594</v>
      </c>
      <c r="J292" s="179">
        <v>1</v>
      </c>
      <c r="M292" s="179">
        <v>46032.505555555559</v>
      </c>
      <c r="N292" s="179" t="s">
        <v>523</v>
      </c>
      <c r="S292" s="179">
        <v>0</v>
      </c>
      <c r="W292" s="179" t="s">
        <v>523</v>
      </c>
      <c r="X292" s="12">
        <v>46032.505555555559</v>
      </c>
      <c r="Y292" s="12" t="s">
        <v>524</v>
      </c>
      <c r="AB292" s="12" t="s">
        <v>525</v>
      </c>
      <c r="AC292" s="12" t="s">
        <v>526</v>
      </c>
    </row>
    <row r="293" spans="1:29">
      <c r="A293" s="12" t="s">
        <v>174</v>
      </c>
      <c r="B293" s="12" t="s">
        <v>1</v>
      </c>
      <c r="C293" s="12" t="s">
        <v>162</v>
      </c>
      <c r="D293" s="12">
        <v>4</v>
      </c>
      <c r="E293" s="12">
        <v>0</v>
      </c>
      <c r="F293" s="12">
        <v>4</v>
      </c>
      <c r="G293" s="12">
        <v>240</v>
      </c>
      <c r="H293" s="121">
        <v>4</v>
      </c>
      <c r="I293" s="179" t="s">
        <v>611</v>
      </c>
      <c r="J293" s="179">
        <v>1</v>
      </c>
      <c r="M293" s="179">
        <v>46032.509027777778</v>
      </c>
      <c r="N293" s="179" t="s">
        <v>523</v>
      </c>
      <c r="S293" s="179">
        <v>0</v>
      </c>
      <c r="W293" s="179" t="s">
        <v>523</v>
      </c>
      <c r="X293" s="12">
        <v>46032.509722222225</v>
      </c>
      <c r="Y293" s="12" t="s">
        <v>524</v>
      </c>
      <c r="AB293" s="12" t="s">
        <v>525</v>
      </c>
      <c r="AC293" s="12" t="s">
        <v>526</v>
      </c>
    </row>
    <row r="294" spans="1:29">
      <c r="A294" s="12" t="s">
        <v>180</v>
      </c>
      <c r="B294" s="12" t="s">
        <v>1</v>
      </c>
      <c r="C294" s="12" t="s">
        <v>162</v>
      </c>
      <c r="D294" s="12">
        <v>4</v>
      </c>
      <c r="E294" s="12">
        <v>6</v>
      </c>
      <c r="F294" s="12">
        <v>5</v>
      </c>
      <c r="G294" s="12">
        <v>246</v>
      </c>
      <c r="H294" s="121">
        <v>4.0999999999999996</v>
      </c>
      <c r="I294" s="179" t="s">
        <v>611</v>
      </c>
      <c r="J294" s="179">
        <v>1</v>
      </c>
      <c r="M294" s="179">
        <v>46032.510416666664</v>
      </c>
      <c r="N294" s="179" t="s">
        <v>523</v>
      </c>
      <c r="S294" s="179">
        <v>0</v>
      </c>
      <c r="W294" s="179" t="s">
        <v>523</v>
      </c>
      <c r="X294" s="12">
        <v>46032.510416666664</v>
      </c>
      <c r="Y294" s="12" t="s">
        <v>524</v>
      </c>
      <c r="AB294" s="12" t="s">
        <v>525</v>
      </c>
      <c r="AC294" s="12" t="s">
        <v>526</v>
      </c>
    </row>
    <row r="295" spans="1:29">
      <c r="A295" s="12" t="s">
        <v>184</v>
      </c>
      <c r="B295" s="12" t="s">
        <v>1</v>
      </c>
      <c r="C295" s="12" t="s">
        <v>162</v>
      </c>
      <c r="D295" s="12">
        <v>0</v>
      </c>
      <c r="E295" s="12">
        <v>17</v>
      </c>
      <c r="F295" s="12">
        <v>1</v>
      </c>
      <c r="G295" s="12">
        <v>17</v>
      </c>
      <c r="H295" s="121">
        <v>0.28333333333333333</v>
      </c>
      <c r="I295" s="179" t="s">
        <v>611</v>
      </c>
      <c r="J295" s="179">
        <v>1</v>
      </c>
      <c r="M295" s="179">
        <v>46032.511111111111</v>
      </c>
      <c r="N295" s="179" t="s">
        <v>523</v>
      </c>
      <c r="S295" s="179">
        <v>0</v>
      </c>
      <c r="W295" s="179" t="s">
        <v>523</v>
      </c>
      <c r="X295" s="12">
        <v>46032.511805555558</v>
      </c>
      <c r="Y295" s="12" t="s">
        <v>524</v>
      </c>
      <c r="AB295" s="12" t="s">
        <v>525</v>
      </c>
      <c r="AC295" s="12" t="s">
        <v>526</v>
      </c>
    </row>
    <row r="296" spans="1:29">
      <c r="A296" s="12" t="s">
        <v>191</v>
      </c>
      <c r="B296" s="12" t="s">
        <v>1</v>
      </c>
      <c r="C296" s="12" t="s">
        <v>162</v>
      </c>
      <c r="D296" s="12">
        <v>6</v>
      </c>
      <c r="E296" s="12">
        <v>53</v>
      </c>
      <c r="F296" s="12">
        <v>7</v>
      </c>
      <c r="G296" s="12">
        <v>413</v>
      </c>
      <c r="H296" s="121">
        <v>6.8833333333333337</v>
      </c>
      <c r="I296" s="179" t="s">
        <v>611</v>
      </c>
      <c r="J296" s="179">
        <v>1</v>
      </c>
      <c r="M296" s="179">
        <v>46032.512499999997</v>
      </c>
      <c r="N296" s="179" t="s">
        <v>523</v>
      </c>
      <c r="S296" s="179">
        <v>0</v>
      </c>
      <c r="W296" s="179" t="s">
        <v>523</v>
      </c>
      <c r="X296" s="12">
        <v>46032.513194444444</v>
      </c>
      <c r="Y296" s="12" t="s">
        <v>524</v>
      </c>
      <c r="AB296" s="12" t="s">
        <v>525</v>
      </c>
      <c r="AC296" s="12" t="s">
        <v>526</v>
      </c>
    </row>
    <row r="297" spans="1:29">
      <c r="A297" s="12" t="s">
        <v>179</v>
      </c>
      <c r="B297" s="12" t="s">
        <v>1</v>
      </c>
      <c r="C297" s="12" t="s">
        <v>162</v>
      </c>
      <c r="D297" s="12">
        <v>1</v>
      </c>
      <c r="E297" s="12">
        <v>10</v>
      </c>
      <c r="F297" s="12">
        <v>2</v>
      </c>
      <c r="G297" s="12">
        <v>70</v>
      </c>
      <c r="H297" s="121">
        <v>1.1666666666666667</v>
      </c>
      <c r="I297" s="179" t="s">
        <v>611</v>
      </c>
      <c r="J297" s="179">
        <v>1</v>
      </c>
      <c r="M297" s="179">
        <v>46032.513888888891</v>
      </c>
      <c r="N297" s="179" t="s">
        <v>523</v>
      </c>
      <c r="S297" s="179">
        <v>0</v>
      </c>
      <c r="W297" s="179" t="s">
        <v>523</v>
      </c>
      <c r="X297" s="12">
        <v>46032.51458333333</v>
      </c>
      <c r="Y297" s="12" t="s">
        <v>524</v>
      </c>
      <c r="AB297" s="12" t="s">
        <v>525</v>
      </c>
      <c r="AC297" s="12" t="s">
        <v>526</v>
      </c>
    </row>
    <row r="298" spans="1:29">
      <c r="A298" s="12" t="s">
        <v>157</v>
      </c>
      <c r="B298" s="12" t="s">
        <v>1</v>
      </c>
      <c r="C298" s="12" t="s">
        <v>154</v>
      </c>
      <c r="D298" s="12">
        <v>41</v>
      </c>
      <c r="E298" s="12">
        <v>5</v>
      </c>
      <c r="F298" s="12">
        <v>42</v>
      </c>
      <c r="G298" s="12">
        <v>2465</v>
      </c>
      <c r="H298" s="121">
        <v>41.083333333333336</v>
      </c>
      <c r="I298" s="179" t="s">
        <v>550</v>
      </c>
      <c r="J298" s="179">
        <v>1</v>
      </c>
      <c r="M298" s="179">
        <v>46032.529861111114</v>
      </c>
      <c r="N298" s="179" t="s">
        <v>528</v>
      </c>
      <c r="S298" s="179">
        <v>0</v>
      </c>
      <c r="W298" s="179" t="s">
        <v>528</v>
      </c>
      <c r="X298" s="12">
        <v>46032.529861111114</v>
      </c>
      <c r="Y298" s="12" t="s">
        <v>529</v>
      </c>
      <c r="AB298" s="12" t="s">
        <v>525</v>
      </c>
      <c r="AC298" s="12" t="s">
        <v>526</v>
      </c>
    </row>
    <row r="299" spans="1:29">
      <c r="A299" s="12" t="s">
        <v>189</v>
      </c>
      <c r="B299" s="12" t="s">
        <v>1</v>
      </c>
      <c r="C299" s="12" t="s">
        <v>162</v>
      </c>
      <c r="D299" s="12">
        <v>35</v>
      </c>
      <c r="E299" s="12">
        <v>22</v>
      </c>
      <c r="F299" s="12">
        <v>36</v>
      </c>
      <c r="G299" s="12">
        <v>2122</v>
      </c>
      <c r="H299" s="121">
        <v>35.366666666666667</v>
      </c>
      <c r="I299" s="179" t="s">
        <v>567</v>
      </c>
      <c r="J299" s="179">
        <v>1</v>
      </c>
      <c r="M299" s="179">
        <v>46032.53125</v>
      </c>
      <c r="N299" s="179" t="s">
        <v>528</v>
      </c>
      <c r="S299" s="179">
        <v>0</v>
      </c>
      <c r="W299" s="179" t="s">
        <v>528</v>
      </c>
      <c r="X299" s="12">
        <v>46032.53125</v>
      </c>
      <c r="Y299" s="12" t="s">
        <v>529</v>
      </c>
      <c r="AB299" s="12" t="s">
        <v>525</v>
      </c>
      <c r="AC299" s="12" t="s">
        <v>526</v>
      </c>
    </row>
    <row r="300" spans="1:29">
      <c r="A300" s="12" t="s">
        <v>39</v>
      </c>
      <c r="B300" s="12" t="s">
        <v>1</v>
      </c>
      <c r="C300" s="12" t="s">
        <v>36</v>
      </c>
      <c r="D300" s="12">
        <v>13</v>
      </c>
      <c r="E300" s="12">
        <v>43</v>
      </c>
      <c r="F300" s="12">
        <v>14</v>
      </c>
      <c r="G300" s="12">
        <v>823</v>
      </c>
      <c r="H300" s="121">
        <v>13.716666666666667</v>
      </c>
      <c r="I300" s="179" t="s">
        <v>602</v>
      </c>
      <c r="J300" s="179">
        <v>1</v>
      </c>
      <c r="M300" s="179">
        <v>46032.533333333333</v>
      </c>
      <c r="N300" s="179" t="s">
        <v>528</v>
      </c>
      <c r="S300" s="179">
        <v>0</v>
      </c>
      <c r="W300" s="179" t="s">
        <v>528</v>
      </c>
      <c r="X300" s="12">
        <v>46032.53402777778</v>
      </c>
      <c r="Y300" s="12" t="s">
        <v>529</v>
      </c>
      <c r="AB300" s="12" t="s">
        <v>525</v>
      </c>
      <c r="AC300" s="12" t="s">
        <v>526</v>
      </c>
    </row>
    <row r="301" spans="1:29">
      <c r="A301" s="12" t="s">
        <v>374</v>
      </c>
      <c r="B301" s="12" t="s">
        <v>1</v>
      </c>
      <c r="C301" s="12" t="s">
        <v>240</v>
      </c>
      <c r="D301" s="12">
        <v>202</v>
      </c>
      <c r="E301" s="12">
        <v>54</v>
      </c>
      <c r="F301" s="12">
        <v>203</v>
      </c>
      <c r="G301" s="12">
        <v>12174</v>
      </c>
      <c r="H301" s="121">
        <v>202.9</v>
      </c>
      <c r="I301" s="179" t="s">
        <v>613</v>
      </c>
      <c r="J301" s="179">
        <v>1</v>
      </c>
      <c r="M301" s="179">
        <v>46032.640277777777</v>
      </c>
      <c r="N301" s="179" t="s">
        <v>528</v>
      </c>
      <c r="S301" s="179">
        <v>0</v>
      </c>
      <c r="W301" s="179" t="s">
        <v>528</v>
      </c>
      <c r="X301" s="12">
        <v>46032.640972222223</v>
      </c>
      <c r="Y301" s="12" t="s">
        <v>529</v>
      </c>
      <c r="AB301" s="12" t="s">
        <v>525</v>
      </c>
      <c r="AC301" s="12" t="s">
        <v>526</v>
      </c>
    </row>
    <row r="302" spans="1:29">
      <c r="A302" s="12" t="s">
        <v>442</v>
      </c>
      <c r="B302" s="12" t="s">
        <v>1</v>
      </c>
      <c r="C302" s="12" t="s">
        <v>197</v>
      </c>
      <c r="D302" s="12">
        <v>7</v>
      </c>
      <c r="E302" s="12">
        <v>64</v>
      </c>
      <c r="F302" s="12">
        <v>8</v>
      </c>
      <c r="G302" s="12">
        <v>484</v>
      </c>
      <c r="H302" s="121">
        <v>8.0666666666666664</v>
      </c>
      <c r="I302" s="179" t="s">
        <v>606</v>
      </c>
      <c r="J302" s="179">
        <v>1</v>
      </c>
      <c r="M302" s="179">
        <v>46032.648611111108</v>
      </c>
      <c r="N302" s="179" t="s">
        <v>523</v>
      </c>
      <c r="S302" s="179">
        <v>0</v>
      </c>
      <c r="W302" s="179" t="s">
        <v>523</v>
      </c>
      <c r="X302" s="12">
        <v>46032.649305555555</v>
      </c>
      <c r="Y302" s="12" t="s">
        <v>524</v>
      </c>
      <c r="AB302" s="12" t="s">
        <v>525</v>
      </c>
      <c r="AC302" s="12" t="s">
        <v>526</v>
      </c>
    </row>
    <row r="303" spans="1:29">
      <c r="A303" s="12" t="s">
        <v>447</v>
      </c>
      <c r="B303" s="12" t="s">
        <v>1</v>
      </c>
      <c r="C303" s="12" t="s">
        <v>197</v>
      </c>
      <c r="D303" s="12">
        <v>3</v>
      </c>
      <c r="E303" s="12">
        <v>32</v>
      </c>
      <c r="F303" s="12">
        <v>4</v>
      </c>
      <c r="G303" s="12">
        <v>212</v>
      </c>
      <c r="H303" s="107">
        <v>3.5333333333333332</v>
      </c>
      <c r="I303" s="179" t="s">
        <v>578</v>
      </c>
      <c r="J303" s="179">
        <v>1</v>
      </c>
      <c r="M303" s="179">
        <v>46032.65</v>
      </c>
      <c r="N303" s="179" t="s">
        <v>523</v>
      </c>
      <c r="S303" s="179">
        <v>0</v>
      </c>
      <c r="W303" s="179" t="s">
        <v>523</v>
      </c>
      <c r="X303" s="12">
        <v>46032.65</v>
      </c>
      <c r="Y303" s="12" t="s">
        <v>524</v>
      </c>
      <c r="AB303" s="12" t="s">
        <v>525</v>
      </c>
      <c r="AC303" s="12" t="s">
        <v>526</v>
      </c>
    </row>
    <row r="304" spans="1:29">
      <c r="A304" s="12" t="s">
        <v>464</v>
      </c>
      <c r="B304" s="12" t="s">
        <v>1</v>
      </c>
      <c r="C304" s="12" t="s">
        <v>197</v>
      </c>
      <c r="D304" s="12">
        <v>27</v>
      </c>
      <c r="E304" s="12">
        <v>61</v>
      </c>
      <c r="F304" s="12">
        <v>28</v>
      </c>
      <c r="G304" s="12">
        <v>1681</v>
      </c>
      <c r="H304" s="107">
        <v>28.016666666666666</v>
      </c>
      <c r="I304" s="179" t="s">
        <v>608</v>
      </c>
      <c r="J304" s="179">
        <v>1</v>
      </c>
      <c r="M304" s="179">
        <v>46032.650694444441</v>
      </c>
      <c r="N304" s="179" t="s">
        <v>523</v>
      </c>
      <c r="S304" s="179">
        <v>0</v>
      </c>
      <c r="W304" s="179" t="s">
        <v>523</v>
      </c>
      <c r="X304" s="12">
        <v>46032.651388888888</v>
      </c>
      <c r="Y304" s="12" t="s">
        <v>524</v>
      </c>
      <c r="AB304" s="12" t="s">
        <v>525</v>
      </c>
      <c r="AC304" s="12" t="s">
        <v>526</v>
      </c>
    </row>
    <row r="305" spans="1:29">
      <c r="A305" s="12" t="s">
        <v>470</v>
      </c>
      <c r="B305" s="12" t="s">
        <v>1</v>
      </c>
      <c r="C305" s="12" t="s">
        <v>197</v>
      </c>
      <c r="D305" s="12">
        <v>22</v>
      </c>
      <c r="E305" s="12">
        <v>18</v>
      </c>
      <c r="F305" s="12">
        <v>23</v>
      </c>
      <c r="G305" s="12">
        <v>1338</v>
      </c>
      <c r="H305" s="107">
        <v>22.3</v>
      </c>
      <c r="I305" s="179" t="s">
        <v>608</v>
      </c>
      <c r="J305" s="179">
        <v>6</v>
      </c>
      <c r="M305" s="179">
        <v>46032.652083333334</v>
      </c>
      <c r="N305" s="179" t="s">
        <v>523</v>
      </c>
      <c r="S305" s="179">
        <v>0</v>
      </c>
      <c r="W305" s="179" t="s">
        <v>523</v>
      </c>
      <c r="X305" s="12">
        <v>46032.652083333334</v>
      </c>
      <c r="Y305" s="12" t="s">
        <v>524</v>
      </c>
      <c r="AB305" s="12" t="s">
        <v>525</v>
      </c>
      <c r="AC305" s="12" t="s">
        <v>526</v>
      </c>
    </row>
  </sheetData>
  <autoFilter ref="A1:AC305" xr:uid="{FCC411A8-FF9B-4E67-A325-E7C5C30ADC88}"/>
  <phoneticPr fontId="4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2C290-78F1-460F-BE7B-01246AA1145F}">
  <dimension ref="A1:D75"/>
  <sheetViews>
    <sheetView workbookViewId="0">
      <selection activeCell="F72" sqref="F72"/>
    </sheetView>
  </sheetViews>
  <sheetFormatPr defaultRowHeight="14.45"/>
  <cols>
    <col min="1" max="1" width="16.7109375" customWidth="1"/>
    <col min="2" max="2" width="13.85546875" customWidth="1"/>
    <col min="3" max="3" width="10.42578125" customWidth="1"/>
  </cols>
  <sheetData>
    <row r="1" spans="1:4">
      <c r="A1" s="180"/>
      <c r="B1" s="180" t="s">
        <v>490</v>
      </c>
      <c r="C1" s="180"/>
      <c r="D1" s="180"/>
    </row>
    <row r="2" spans="1:4">
      <c r="A2" s="181" t="s">
        <v>614</v>
      </c>
      <c r="B2" s="181" t="s">
        <v>615</v>
      </c>
      <c r="C2" s="181" t="s">
        <v>616</v>
      </c>
      <c r="D2" s="181" t="s">
        <v>617</v>
      </c>
    </row>
    <row r="3" spans="1:4">
      <c r="A3" s="180" t="s">
        <v>618</v>
      </c>
      <c r="B3" s="180">
        <v>2</v>
      </c>
      <c r="C3" s="180">
        <v>20</v>
      </c>
      <c r="D3" s="180">
        <f>B3*60+C3</f>
        <v>140</v>
      </c>
    </row>
    <row r="4" spans="1:4">
      <c r="A4" s="180" t="s">
        <v>619</v>
      </c>
      <c r="B4" s="180">
        <v>1</v>
      </c>
      <c r="C4" s="180">
        <v>10</v>
      </c>
      <c r="D4" s="180">
        <f t="shared" ref="D4:D66" si="0">B4*60+C4</f>
        <v>70</v>
      </c>
    </row>
    <row r="5" spans="1:4">
      <c r="A5" s="180" t="s">
        <v>620</v>
      </c>
      <c r="B5" s="180">
        <v>2</v>
      </c>
      <c r="C5" s="180">
        <v>19</v>
      </c>
      <c r="D5" s="180">
        <f t="shared" si="0"/>
        <v>139</v>
      </c>
    </row>
    <row r="6" spans="1:4">
      <c r="A6" s="180" t="s">
        <v>621</v>
      </c>
      <c r="B6" s="180">
        <v>2</v>
      </c>
      <c r="C6" s="180">
        <v>20</v>
      </c>
      <c r="D6" s="180">
        <f t="shared" si="0"/>
        <v>140</v>
      </c>
    </row>
    <row r="7" spans="1:4">
      <c r="A7" s="180" t="s">
        <v>622</v>
      </c>
      <c r="B7" s="180">
        <v>4</v>
      </c>
      <c r="C7" s="180">
        <v>12</v>
      </c>
      <c r="D7" s="180">
        <f t="shared" si="0"/>
        <v>252</v>
      </c>
    </row>
    <row r="8" spans="1:4">
      <c r="A8" s="180" t="s">
        <v>623</v>
      </c>
      <c r="B8" s="180">
        <v>0</v>
      </c>
      <c r="C8" s="180">
        <v>64</v>
      </c>
      <c r="D8" s="180">
        <f t="shared" si="0"/>
        <v>64</v>
      </c>
    </row>
    <row r="9" spans="1:4">
      <c r="A9" s="180" t="s">
        <v>624</v>
      </c>
      <c r="B9" s="180">
        <v>0</v>
      </c>
      <c r="C9" s="180">
        <v>57</v>
      </c>
      <c r="D9" s="180">
        <f t="shared" si="0"/>
        <v>57</v>
      </c>
    </row>
    <row r="10" spans="1:4">
      <c r="A10" s="180" t="s">
        <v>180</v>
      </c>
      <c r="B10" s="180">
        <v>1</v>
      </c>
      <c r="C10" s="180">
        <v>39</v>
      </c>
      <c r="D10" s="180">
        <f t="shared" si="0"/>
        <v>99</v>
      </c>
    </row>
    <row r="11" spans="1:4">
      <c r="A11" s="180" t="s">
        <v>625</v>
      </c>
      <c r="B11" s="180">
        <v>1</v>
      </c>
      <c r="C11" s="180">
        <v>51</v>
      </c>
      <c r="D11" s="180">
        <f t="shared" si="0"/>
        <v>111</v>
      </c>
    </row>
    <row r="12" spans="1:4">
      <c r="A12" s="180" t="s">
        <v>170</v>
      </c>
      <c r="B12" s="180">
        <v>2</v>
      </c>
      <c r="C12" s="180">
        <v>9</v>
      </c>
      <c r="D12" s="180">
        <f t="shared" si="0"/>
        <v>129</v>
      </c>
    </row>
    <row r="13" spans="1:4">
      <c r="A13" s="180" t="s">
        <v>626</v>
      </c>
      <c r="B13" s="180">
        <v>0</v>
      </c>
      <c r="C13" s="180">
        <v>35</v>
      </c>
      <c r="D13" s="180">
        <f t="shared" si="0"/>
        <v>35</v>
      </c>
    </row>
    <row r="14" spans="1:4">
      <c r="A14" s="180" t="s">
        <v>627</v>
      </c>
      <c r="B14" s="180">
        <v>0</v>
      </c>
      <c r="C14" s="180">
        <v>39</v>
      </c>
      <c r="D14" s="180">
        <f t="shared" si="0"/>
        <v>39</v>
      </c>
    </row>
    <row r="15" spans="1:4">
      <c r="A15" s="180" t="s">
        <v>163</v>
      </c>
      <c r="B15" s="180">
        <v>2</v>
      </c>
      <c r="C15" s="180">
        <v>20</v>
      </c>
      <c r="D15" s="180">
        <f t="shared" si="0"/>
        <v>140</v>
      </c>
    </row>
    <row r="16" spans="1:4">
      <c r="A16" s="180" t="s">
        <v>628</v>
      </c>
      <c r="B16" s="180">
        <v>0</v>
      </c>
      <c r="C16" s="180">
        <v>53</v>
      </c>
      <c r="D16" s="180">
        <f t="shared" si="0"/>
        <v>53</v>
      </c>
    </row>
    <row r="17" spans="1:4">
      <c r="A17" s="180" t="s">
        <v>184</v>
      </c>
      <c r="B17" s="180">
        <v>1</v>
      </c>
      <c r="C17" s="180">
        <v>19</v>
      </c>
      <c r="D17" s="180">
        <f t="shared" si="0"/>
        <v>79</v>
      </c>
    </row>
    <row r="18" spans="1:4">
      <c r="A18" s="180" t="s">
        <v>191</v>
      </c>
      <c r="B18" s="180">
        <v>1</v>
      </c>
      <c r="C18" s="180">
        <v>7</v>
      </c>
      <c r="D18" s="180">
        <f t="shared" si="0"/>
        <v>67</v>
      </c>
    </row>
    <row r="19" spans="1:4">
      <c r="A19" s="180" t="s">
        <v>629</v>
      </c>
      <c r="B19" s="180">
        <v>0</v>
      </c>
      <c r="C19" s="180">
        <v>28</v>
      </c>
      <c r="D19" s="180">
        <f t="shared" si="0"/>
        <v>28</v>
      </c>
    </row>
    <row r="20" spans="1:4">
      <c r="A20" s="180" t="s">
        <v>172</v>
      </c>
      <c r="B20" s="180">
        <v>1</v>
      </c>
      <c r="C20" s="180">
        <v>52</v>
      </c>
      <c r="D20" s="180">
        <f t="shared" si="0"/>
        <v>112</v>
      </c>
    </row>
    <row r="21" spans="1:4">
      <c r="A21" s="180" t="s">
        <v>630</v>
      </c>
      <c r="B21" s="180">
        <v>3</v>
      </c>
      <c r="C21" s="180">
        <v>0</v>
      </c>
      <c r="D21" s="180">
        <f t="shared" si="0"/>
        <v>180</v>
      </c>
    </row>
    <row r="22" spans="1:4">
      <c r="A22" s="180" t="s">
        <v>171</v>
      </c>
      <c r="B22" s="180">
        <v>2</v>
      </c>
      <c r="C22" s="180">
        <v>18</v>
      </c>
      <c r="D22" s="180">
        <f t="shared" si="0"/>
        <v>138</v>
      </c>
    </row>
    <row r="23" spans="1:4">
      <c r="A23" s="180" t="s">
        <v>631</v>
      </c>
      <c r="B23" s="180">
        <v>0</v>
      </c>
      <c r="C23" s="180">
        <v>64</v>
      </c>
      <c r="D23" s="180">
        <f t="shared" si="0"/>
        <v>64</v>
      </c>
    </row>
    <row r="24" spans="1:4">
      <c r="A24" s="180" t="s">
        <v>167</v>
      </c>
      <c r="B24" s="180">
        <v>2</v>
      </c>
      <c r="C24" s="180">
        <v>31</v>
      </c>
      <c r="D24" s="180">
        <f t="shared" si="0"/>
        <v>151</v>
      </c>
    </row>
    <row r="25" spans="1:4">
      <c r="A25" s="180" t="s">
        <v>632</v>
      </c>
      <c r="B25" s="180">
        <v>4</v>
      </c>
      <c r="C25" s="180">
        <v>22</v>
      </c>
      <c r="D25" s="180">
        <f t="shared" si="0"/>
        <v>262</v>
      </c>
    </row>
    <row r="26" spans="1:4">
      <c r="A26" s="180" t="s">
        <v>633</v>
      </c>
      <c r="B26" s="180">
        <v>2</v>
      </c>
      <c r="C26" s="180">
        <v>12</v>
      </c>
      <c r="D26" s="180">
        <f t="shared" si="0"/>
        <v>132</v>
      </c>
    </row>
    <row r="27" spans="1:4">
      <c r="A27" s="180" t="s">
        <v>634</v>
      </c>
      <c r="B27" s="180">
        <v>0</v>
      </c>
      <c r="C27" s="180">
        <v>49</v>
      </c>
      <c r="D27" s="180">
        <f t="shared" si="0"/>
        <v>49</v>
      </c>
    </row>
    <row r="28" spans="1:4">
      <c r="A28" s="180" t="s">
        <v>635</v>
      </c>
      <c r="B28" s="180">
        <v>1</v>
      </c>
      <c r="C28" s="180">
        <v>12</v>
      </c>
      <c r="D28" s="180">
        <f t="shared" si="0"/>
        <v>72</v>
      </c>
    </row>
    <row r="29" spans="1:4">
      <c r="A29" s="180" t="s">
        <v>636</v>
      </c>
      <c r="B29" s="180">
        <v>2</v>
      </c>
      <c r="C29" s="180">
        <v>51</v>
      </c>
      <c r="D29" s="180">
        <f t="shared" si="0"/>
        <v>171</v>
      </c>
    </row>
    <row r="30" spans="1:4">
      <c r="A30" s="180" t="s">
        <v>637</v>
      </c>
      <c r="B30" s="180">
        <v>1</v>
      </c>
      <c r="C30" s="180">
        <v>14</v>
      </c>
      <c r="D30" s="180">
        <f t="shared" si="0"/>
        <v>74</v>
      </c>
    </row>
    <row r="31" spans="1:4">
      <c r="A31" s="180" t="s">
        <v>175</v>
      </c>
      <c r="B31" s="180">
        <v>11</v>
      </c>
      <c r="C31" s="180">
        <v>21</v>
      </c>
      <c r="D31" s="180">
        <f t="shared" si="0"/>
        <v>681</v>
      </c>
    </row>
    <row r="32" spans="1:4">
      <c r="A32" s="180" t="s">
        <v>638</v>
      </c>
      <c r="B32" s="180">
        <v>0</v>
      </c>
      <c r="C32" s="180">
        <v>27</v>
      </c>
      <c r="D32" s="180">
        <f t="shared" si="0"/>
        <v>27</v>
      </c>
    </row>
    <row r="33" spans="1:4">
      <c r="A33" s="180" t="s">
        <v>639</v>
      </c>
      <c r="B33" s="180">
        <v>5</v>
      </c>
      <c r="C33" s="180">
        <v>11</v>
      </c>
      <c r="D33" s="180">
        <f t="shared" si="0"/>
        <v>311</v>
      </c>
    </row>
    <row r="34" spans="1:4">
      <c r="A34" s="180" t="s">
        <v>640</v>
      </c>
      <c r="B34" s="180">
        <v>3</v>
      </c>
      <c r="C34" s="180">
        <v>0</v>
      </c>
      <c r="D34" s="180">
        <f t="shared" si="0"/>
        <v>180</v>
      </c>
    </row>
    <row r="35" spans="1:4">
      <c r="A35" s="180" t="s">
        <v>641</v>
      </c>
      <c r="B35" s="180">
        <v>0</v>
      </c>
      <c r="C35" s="180">
        <v>41</v>
      </c>
      <c r="D35" s="180">
        <f t="shared" si="0"/>
        <v>41</v>
      </c>
    </row>
    <row r="36" spans="1:4">
      <c r="A36" s="180" t="s">
        <v>642</v>
      </c>
      <c r="B36" s="180">
        <v>0</v>
      </c>
      <c r="C36" s="180">
        <v>62</v>
      </c>
      <c r="D36" s="180">
        <f t="shared" si="0"/>
        <v>62</v>
      </c>
    </row>
    <row r="37" spans="1:4">
      <c r="A37" s="180" t="s">
        <v>169</v>
      </c>
      <c r="B37" s="180">
        <v>4</v>
      </c>
      <c r="C37" s="180">
        <v>16</v>
      </c>
      <c r="D37" s="180">
        <f t="shared" si="0"/>
        <v>256</v>
      </c>
    </row>
    <row r="38" spans="1:4">
      <c r="A38" s="180" t="s">
        <v>643</v>
      </c>
      <c r="B38" s="180">
        <v>0</v>
      </c>
      <c r="C38" s="180">
        <v>60</v>
      </c>
      <c r="D38" s="180">
        <f t="shared" si="0"/>
        <v>60</v>
      </c>
    </row>
    <row r="39" spans="1:4">
      <c r="A39" s="180" t="s">
        <v>179</v>
      </c>
      <c r="B39" s="180">
        <v>5</v>
      </c>
      <c r="C39" s="180">
        <v>50</v>
      </c>
      <c r="D39" s="180">
        <f t="shared" si="0"/>
        <v>350</v>
      </c>
    </row>
    <row r="40" spans="1:4">
      <c r="A40" s="180" t="s">
        <v>644</v>
      </c>
      <c r="B40" s="180">
        <v>0</v>
      </c>
      <c r="C40" s="180">
        <v>64</v>
      </c>
      <c r="D40" s="180">
        <f t="shared" si="0"/>
        <v>64</v>
      </c>
    </row>
    <row r="41" spans="1:4">
      <c r="A41" s="180" t="s">
        <v>645</v>
      </c>
      <c r="B41" s="180">
        <v>2</v>
      </c>
      <c r="C41" s="180">
        <v>20</v>
      </c>
      <c r="D41" s="180">
        <f t="shared" si="0"/>
        <v>140</v>
      </c>
    </row>
    <row r="42" spans="1:4">
      <c r="A42" s="180" t="s">
        <v>168</v>
      </c>
      <c r="B42" s="180">
        <v>0</v>
      </c>
      <c r="C42" s="180">
        <v>38</v>
      </c>
      <c r="D42" s="180">
        <f t="shared" si="0"/>
        <v>38</v>
      </c>
    </row>
    <row r="43" spans="1:4">
      <c r="A43" s="180" t="s">
        <v>646</v>
      </c>
      <c r="B43" s="180">
        <v>0</v>
      </c>
      <c r="C43" s="180">
        <v>59</v>
      </c>
      <c r="D43" s="180">
        <f t="shared" si="0"/>
        <v>59</v>
      </c>
    </row>
    <row r="44" spans="1:4">
      <c r="A44" s="180" t="s">
        <v>647</v>
      </c>
      <c r="B44" s="180">
        <v>2</v>
      </c>
      <c r="C44" s="180">
        <v>7</v>
      </c>
      <c r="D44" s="180">
        <f t="shared" si="0"/>
        <v>127</v>
      </c>
    </row>
    <row r="45" spans="1:4">
      <c r="A45" s="180" t="s">
        <v>648</v>
      </c>
      <c r="B45" s="180">
        <v>0</v>
      </c>
      <c r="C45" s="180">
        <v>27</v>
      </c>
      <c r="D45" s="180">
        <f t="shared" si="0"/>
        <v>27</v>
      </c>
    </row>
    <row r="46" spans="1:4">
      <c r="A46" s="180" t="s">
        <v>649</v>
      </c>
      <c r="B46" s="180">
        <v>0</v>
      </c>
      <c r="C46" s="180">
        <v>20</v>
      </c>
      <c r="D46" s="180">
        <f t="shared" si="0"/>
        <v>20</v>
      </c>
    </row>
    <row r="47" spans="1:4">
      <c r="A47" s="180" t="s">
        <v>650</v>
      </c>
      <c r="B47" s="180">
        <v>5</v>
      </c>
      <c r="C47" s="180">
        <v>11</v>
      </c>
      <c r="D47" s="180">
        <f t="shared" si="0"/>
        <v>311</v>
      </c>
    </row>
    <row r="48" spans="1:4">
      <c r="A48" s="180" t="s">
        <v>651</v>
      </c>
      <c r="B48" s="180">
        <v>0</v>
      </c>
      <c r="C48" s="180">
        <v>19</v>
      </c>
      <c r="D48" s="180">
        <f t="shared" si="0"/>
        <v>19</v>
      </c>
    </row>
    <row r="49" spans="1:4">
      <c r="A49" s="180" t="s">
        <v>652</v>
      </c>
      <c r="B49" s="180">
        <v>0</v>
      </c>
      <c r="C49" s="180">
        <v>24</v>
      </c>
      <c r="D49" s="180">
        <f t="shared" si="0"/>
        <v>24</v>
      </c>
    </row>
    <row r="50" spans="1:4">
      <c r="A50" s="180" t="s">
        <v>653</v>
      </c>
      <c r="B50" s="180">
        <v>4</v>
      </c>
      <c r="C50" s="180">
        <v>45</v>
      </c>
      <c r="D50" s="180">
        <f t="shared" si="0"/>
        <v>285</v>
      </c>
    </row>
    <row r="51" spans="1:4">
      <c r="A51" s="180" t="s">
        <v>654</v>
      </c>
      <c r="B51" s="180">
        <v>2</v>
      </c>
      <c r="C51" s="180">
        <v>10</v>
      </c>
      <c r="D51" s="180">
        <f t="shared" si="0"/>
        <v>130</v>
      </c>
    </row>
    <row r="52" spans="1:4">
      <c r="A52" s="180" t="s">
        <v>655</v>
      </c>
      <c r="B52" s="180">
        <v>1</v>
      </c>
      <c r="C52" s="180">
        <v>47</v>
      </c>
      <c r="D52" s="180">
        <f t="shared" si="0"/>
        <v>107</v>
      </c>
    </row>
    <row r="53" spans="1:4">
      <c r="A53" s="180" t="s">
        <v>176</v>
      </c>
      <c r="B53" s="180">
        <v>0</v>
      </c>
      <c r="C53" s="180">
        <v>55</v>
      </c>
      <c r="D53" s="180">
        <f t="shared" si="0"/>
        <v>55</v>
      </c>
    </row>
    <row r="54" spans="1:4">
      <c r="A54" s="180" t="s">
        <v>656</v>
      </c>
      <c r="B54" s="180">
        <v>1</v>
      </c>
      <c r="C54" s="180">
        <v>10</v>
      </c>
      <c r="D54" s="180">
        <f t="shared" si="0"/>
        <v>70</v>
      </c>
    </row>
    <row r="55" spans="1:4">
      <c r="A55" s="180" t="s">
        <v>657</v>
      </c>
      <c r="B55" s="180">
        <v>0</v>
      </c>
      <c r="C55" s="180">
        <v>53</v>
      </c>
      <c r="D55" s="180">
        <f t="shared" si="0"/>
        <v>53</v>
      </c>
    </row>
    <row r="56" spans="1:4">
      <c r="A56" s="180" t="s">
        <v>658</v>
      </c>
      <c r="B56" s="180">
        <v>0</v>
      </c>
      <c r="C56" s="180">
        <v>30</v>
      </c>
      <c r="D56" s="180">
        <f t="shared" si="0"/>
        <v>30</v>
      </c>
    </row>
    <row r="57" spans="1:4">
      <c r="A57" s="180" t="s">
        <v>659</v>
      </c>
      <c r="B57" s="180">
        <v>0</v>
      </c>
      <c r="C57" s="180">
        <v>34</v>
      </c>
      <c r="D57" s="180">
        <f t="shared" si="0"/>
        <v>34</v>
      </c>
    </row>
    <row r="58" spans="1:4">
      <c r="A58" s="180" t="s">
        <v>660</v>
      </c>
      <c r="B58" s="180">
        <v>0</v>
      </c>
      <c r="C58" s="180">
        <v>15</v>
      </c>
      <c r="D58" s="180">
        <f t="shared" si="0"/>
        <v>15</v>
      </c>
    </row>
    <row r="59" spans="1:4">
      <c r="A59" s="180" t="s">
        <v>661</v>
      </c>
      <c r="B59" s="180">
        <v>0</v>
      </c>
      <c r="C59" s="180">
        <v>44</v>
      </c>
      <c r="D59" s="180">
        <f t="shared" si="0"/>
        <v>44</v>
      </c>
    </row>
    <row r="60" spans="1:4">
      <c r="A60" s="180" t="s">
        <v>662</v>
      </c>
      <c r="B60" s="180">
        <v>0</v>
      </c>
      <c r="C60" s="180">
        <v>31</v>
      </c>
      <c r="D60" s="180">
        <f t="shared" si="0"/>
        <v>31</v>
      </c>
    </row>
    <row r="61" spans="1:4">
      <c r="A61" s="180" t="s">
        <v>663</v>
      </c>
      <c r="B61" s="180">
        <v>0</v>
      </c>
      <c r="C61" s="180">
        <v>12</v>
      </c>
      <c r="D61" s="180">
        <f t="shared" si="0"/>
        <v>12</v>
      </c>
    </row>
    <row r="62" spans="1:4">
      <c r="A62" s="180" t="s">
        <v>664</v>
      </c>
      <c r="B62" s="180">
        <v>0</v>
      </c>
      <c r="C62" s="180">
        <v>48</v>
      </c>
      <c r="D62" s="180">
        <f t="shared" si="0"/>
        <v>48</v>
      </c>
    </row>
    <row r="63" spans="1:4">
      <c r="A63" s="180" t="s">
        <v>665</v>
      </c>
      <c r="B63" s="180">
        <v>0</v>
      </c>
      <c r="C63" s="180">
        <v>25</v>
      </c>
      <c r="D63" s="180">
        <f t="shared" si="0"/>
        <v>25</v>
      </c>
    </row>
    <row r="64" spans="1:4">
      <c r="A64" s="180" t="s">
        <v>666</v>
      </c>
      <c r="B64" s="180">
        <v>3</v>
      </c>
      <c r="C64" s="180">
        <v>11</v>
      </c>
      <c r="D64" s="180">
        <f t="shared" si="0"/>
        <v>191</v>
      </c>
    </row>
    <row r="65" spans="1:4">
      <c r="A65" s="180" t="s">
        <v>667</v>
      </c>
      <c r="B65" s="180">
        <v>2</v>
      </c>
      <c r="C65" s="180">
        <v>20</v>
      </c>
      <c r="D65" s="180">
        <f t="shared" si="0"/>
        <v>140</v>
      </c>
    </row>
    <row r="66" spans="1:4">
      <c r="A66" s="180" t="s">
        <v>188</v>
      </c>
      <c r="B66" s="180">
        <v>1</v>
      </c>
      <c r="C66" s="180">
        <v>14</v>
      </c>
      <c r="D66" s="180">
        <f t="shared" si="0"/>
        <v>74</v>
      </c>
    </row>
    <row r="67" spans="1:4">
      <c r="A67" s="180"/>
      <c r="B67" s="180"/>
      <c r="C67" s="180"/>
      <c r="D67" s="181">
        <f>SUM(D3:D66)</f>
        <v>7188</v>
      </c>
    </row>
    <row r="68" spans="1:4">
      <c r="A68" s="180"/>
      <c r="B68" s="180"/>
      <c r="C68" s="180"/>
      <c r="D68" s="190">
        <f>D67/60</f>
        <v>119.8</v>
      </c>
    </row>
    <row r="69" spans="1:4">
      <c r="A69" s="180" t="s">
        <v>161</v>
      </c>
      <c r="B69" s="180">
        <v>30</v>
      </c>
      <c r="C69" s="180"/>
      <c r="D69" s="180"/>
    </row>
    <row r="70" spans="1:4">
      <c r="A70" s="180" t="s">
        <v>183</v>
      </c>
      <c r="B70" s="180">
        <v>20</v>
      </c>
      <c r="C70" s="180"/>
      <c r="D70" s="180"/>
    </row>
    <row r="71" spans="1:4">
      <c r="A71" s="180" t="s">
        <v>187</v>
      </c>
      <c r="B71" s="180">
        <v>9</v>
      </c>
      <c r="C71" s="180"/>
      <c r="D71" s="180"/>
    </row>
    <row r="72" spans="1:4">
      <c r="A72" s="180" t="s">
        <v>192</v>
      </c>
      <c r="B72" s="180">
        <v>21</v>
      </c>
      <c r="C72" s="180"/>
      <c r="D72" s="180"/>
    </row>
    <row r="73" spans="1:4">
      <c r="A73" s="180"/>
      <c r="B73" s="181">
        <f>SUM(B69:B72)</f>
        <v>80</v>
      </c>
      <c r="C73" s="180"/>
      <c r="D73" s="180"/>
    </row>
    <row r="74" spans="1:4">
      <c r="A74" s="180"/>
      <c r="B74" s="180"/>
      <c r="C74" s="180"/>
      <c r="D74" s="180"/>
    </row>
    <row r="75" spans="1:4">
      <c r="A75" s="180" t="s">
        <v>668</v>
      </c>
      <c r="B75" s="180"/>
      <c r="C75" s="191">
        <f>D68+B73</f>
        <v>199.8</v>
      </c>
      <c r="D75" s="180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56018-4D81-476D-B29E-AE3FD6679A6B}">
  <sheetPr codeName="Sheet2" filterMode="1">
    <tabColor rgb="FF00B0F0"/>
  </sheetPr>
  <dimension ref="A1:AE487"/>
  <sheetViews>
    <sheetView topLeftCell="J1" zoomScale="95" zoomScaleNormal="95" workbookViewId="0">
      <pane ySplit="1" topLeftCell="A7" activePane="bottomLeft" state="frozen"/>
      <selection pane="bottomLeft" activeCell="A475" sqref="A475"/>
    </sheetView>
  </sheetViews>
  <sheetFormatPr defaultColWidth="9.28515625" defaultRowHeight="13.9"/>
  <cols>
    <col min="1" max="1" width="17.140625" style="1" customWidth="1"/>
    <col min="2" max="2" width="9.28515625" style="1" bestFit="1" customWidth="1"/>
    <col min="3" max="3" width="20" style="1" customWidth="1"/>
    <col min="4" max="4" width="21.28515625" style="1" customWidth="1"/>
    <col min="5" max="5" width="12.85546875" style="1" customWidth="1"/>
    <col min="6" max="6" width="13.7109375" style="1" customWidth="1"/>
    <col min="7" max="7" width="12.140625" style="1" customWidth="1"/>
    <col min="8" max="8" width="43.7109375" style="1" customWidth="1"/>
    <col min="9" max="9" width="11.42578125" style="1" customWidth="1"/>
    <col min="10" max="10" width="12.28515625" style="1" customWidth="1"/>
    <col min="11" max="11" width="50.5703125" style="1" customWidth="1"/>
    <col min="12" max="12" width="10.85546875" style="1" customWidth="1"/>
    <col min="13" max="13" width="35.140625" style="1" customWidth="1"/>
    <col min="14" max="14" width="12" style="1" customWidth="1"/>
    <col min="15" max="15" width="5.42578125" style="1" customWidth="1"/>
    <col min="16" max="16" width="9.28515625" style="1" customWidth="1"/>
    <col min="17" max="17" width="10.42578125" style="1" customWidth="1"/>
    <col min="18" max="18" width="14.28515625" style="1" customWidth="1"/>
    <col min="19" max="19" width="11.7109375" style="1" customWidth="1"/>
    <col min="20" max="20" width="17" style="1" customWidth="1"/>
    <col min="21" max="21" width="6" style="1" customWidth="1"/>
    <col min="22" max="22" width="17" style="1" customWidth="1"/>
    <col min="23" max="23" width="24.28515625" style="1" customWidth="1"/>
    <col min="24" max="24" width="8.7109375" style="1" customWidth="1"/>
    <col min="25" max="25" width="14.28515625" style="1" customWidth="1"/>
    <col min="26" max="26" width="20.7109375" style="1" customWidth="1"/>
    <col min="27" max="27" width="54.28515625" style="1" customWidth="1"/>
    <col min="28" max="28" width="44.7109375" style="1" customWidth="1"/>
    <col min="29" max="29" width="14.7109375" style="1" customWidth="1"/>
    <col min="30" max="30" width="20.7109375" style="1" customWidth="1"/>
    <col min="31" max="31" width="22.85546875" style="1" customWidth="1"/>
    <col min="32" max="16384" width="9.28515625" style="1"/>
  </cols>
  <sheetData>
    <row r="1" spans="1:31" s="110" customFormat="1">
      <c r="A1" s="109" t="s">
        <v>669</v>
      </c>
      <c r="B1" s="109" t="s">
        <v>670</v>
      </c>
      <c r="C1" s="109" t="s">
        <v>671</v>
      </c>
      <c r="D1" s="109" t="s">
        <v>672</v>
      </c>
      <c r="E1" s="109" t="s">
        <v>673</v>
      </c>
      <c r="F1" s="109" t="s">
        <v>674</v>
      </c>
      <c r="G1" s="109" t="s">
        <v>675</v>
      </c>
      <c r="H1" s="109" t="s">
        <v>497</v>
      </c>
      <c r="I1" s="109" t="s">
        <v>504</v>
      </c>
      <c r="J1" s="108" t="s">
        <v>676</v>
      </c>
      <c r="K1" s="108" t="s">
        <v>677</v>
      </c>
      <c r="L1" s="109" t="s">
        <v>678</v>
      </c>
      <c r="M1" s="109" t="s">
        <v>679</v>
      </c>
      <c r="N1" s="109" t="s">
        <v>680</v>
      </c>
      <c r="O1" s="109" t="s">
        <v>499</v>
      </c>
      <c r="P1" s="109" t="s">
        <v>500</v>
      </c>
      <c r="Q1" s="109" t="s">
        <v>501</v>
      </c>
      <c r="R1" s="109" t="s">
        <v>681</v>
      </c>
      <c r="S1" s="109" t="s">
        <v>682</v>
      </c>
      <c r="T1" s="109"/>
      <c r="U1" s="109" t="s">
        <v>683</v>
      </c>
      <c r="V1" s="109" t="s">
        <v>684</v>
      </c>
      <c r="W1" s="109" t="s">
        <v>685</v>
      </c>
      <c r="X1" s="109" t="s">
        <v>686</v>
      </c>
      <c r="Y1" s="109" t="s">
        <v>687</v>
      </c>
      <c r="Z1" s="109" t="s">
        <v>688</v>
      </c>
      <c r="AA1" s="109" t="s">
        <v>689</v>
      </c>
      <c r="AB1" s="109" t="s">
        <v>690</v>
      </c>
      <c r="AC1" s="109" t="s">
        <v>691</v>
      </c>
      <c r="AD1" s="109" t="s">
        <v>692</v>
      </c>
      <c r="AE1" s="109" t="s">
        <v>693</v>
      </c>
    </row>
    <row r="2" spans="1:31" ht="27.6" hidden="1">
      <c r="A2" s="183" t="s">
        <v>694</v>
      </c>
      <c r="B2" s="183" t="s">
        <v>36</v>
      </c>
      <c r="C2" s="183" t="s">
        <v>36</v>
      </c>
      <c r="D2" s="184" t="s">
        <v>695</v>
      </c>
      <c r="E2" s="183" t="s">
        <v>696</v>
      </c>
      <c r="F2" s="183" t="s">
        <v>697</v>
      </c>
      <c r="G2" s="183" t="s">
        <v>698</v>
      </c>
      <c r="H2" s="183" t="s">
        <v>1</v>
      </c>
      <c r="I2" s="183" t="s">
        <v>699</v>
      </c>
      <c r="J2" s="188">
        <v>46279</v>
      </c>
      <c r="K2" s="183" t="s">
        <v>700</v>
      </c>
      <c r="L2" s="183" t="s">
        <v>35</v>
      </c>
      <c r="M2" s="183" t="s">
        <v>701</v>
      </c>
      <c r="N2" s="185">
        <v>17</v>
      </c>
      <c r="O2" s="186">
        <v>53</v>
      </c>
      <c r="P2" s="185">
        <v>53.4</v>
      </c>
      <c r="Q2" s="185">
        <v>54</v>
      </c>
      <c r="R2" s="183" t="s">
        <v>702</v>
      </c>
      <c r="S2" s="185">
        <v>3233.4</v>
      </c>
      <c r="T2" s="189">
        <f>S2/60</f>
        <v>53.89</v>
      </c>
      <c r="U2" s="183" t="s">
        <v>703</v>
      </c>
      <c r="V2" s="183" t="s">
        <v>704</v>
      </c>
      <c r="W2" s="183" t="s">
        <v>705</v>
      </c>
      <c r="X2" s="183"/>
      <c r="Y2" s="183"/>
      <c r="Z2" s="183" t="s">
        <v>706</v>
      </c>
      <c r="AA2" s="183" t="s">
        <v>707</v>
      </c>
      <c r="AB2" s="183" t="s">
        <v>708</v>
      </c>
      <c r="AC2" s="183"/>
      <c r="AD2" s="183" t="s">
        <v>709</v>
      </c>
      <c r="AE2" s="183" t="s">
        <v>710</v>
      </c>
    </row>
    <row r="3" spans="1:31" ht="27.6" hidden="1">
      <c r="A3" s="183" t="s">
        <v>694</v>
      </c>
      <c r="B3" s="183" t="s">
        <v>36</v>
      </c>
      <c r="C3" s="183" t="s">
        <v>36</v>
      </c>
      <c r="D3" s="184" t="s">
        <v>695</v>
      </c>
      <c r="E3" s="183" t="s">
        <v>696</v>
      </c>
      <c r="F3" s="183" t="s">
        <v>697</v>
      </c>
      <c r="G3" s="183" t="s">
        <v>698</v>
      </c>
      <c r="H3" s="183" t="s">
        <v>1</v>
      </c>
      <c r="I3" s="183" t="s">
        <v>711</v>
      </c>
      <c r="J3" s="188">
        <v>46279</v>
      </c>
      <c r="K3" s="183" t="s">
        <v>712</v>
      </c>
      <c r="L3" s="183" t="s">
        <v>37</v>
      </c>
      <c r="M3" s="183" t="s">
        <v>713</v>
      </c>
      <c r="N3" s="185">
        <v>17</v>
      </c>
      <c r="O3" s="186">
        <v>18</v>
      </c>
      <c r="P3" s="185">
        <v>39.9</v>
      </c>
      <c r="Q3" s="185">
        <v>19</v>
      </c>
      <c r="R3" s="183" t="s">
        <v>702</v>
      </c>
      <c r="S3" s="185">
        <v>1119.9000000000001</v>
      </c>
      <c r="T3" s="189">
        <f t="shared" ref="T3:T66" si="0">S3/60</f>
        <v>18.665000000000003</v>
      </c>
      <c r="U3" s="183" t="s">
        <v>703</v>
      </c>
      <c r="V3" s="183" t="s">
        <v>704</v>
      </c>
      <c r="W3" s="183" t="s">
        <v>714</v>
      </c>
      <c r="X3" s="183"/>
      <c r="Y3" s="183"/>
      <c r="Z3" s="183" t="s">
        <v>715</v>
      </c>
      <c r="AA3" s="183" t="s">
        <v>716</v>
      </c>
      <c r="AB3" s="183"/>
      <c r="AC3" s="183"/>
      <c r="AD3" s="183" t="s">
        <v>717</v>
      </c>
      <c r="AE3" s="183" t="s">
        <v>710</v>
      </c>
    </row>
    <row r="4" spans="1:31" ht="27.6" hidden="1">
      <c r="A4" s="183" t="s">
        <v>694</v>
      </c>
      <c r="B4" s="183" t="s">
        <v>36</v>
      </c>
      <c r="C4" s="183" t="s">
        <v>36</v>
      </c>
      <c r="D4" s="184" t="s">
        <v>695</v>
      </c>
      <c r="E4" s="183" t="s">
        <v>696</v>
      </c>
      <c r="F4" s="183" t="s">
        <v>697</v>
      </c>
      <c r="G4" s="183" t="s">
        <v>698</v>
      </c>
      <c r="H4" s="183" t="s">
        <v>1</v>
      </c>
      <c r="I4" s="183" t="s">
        <v>718</v>
      </c>
      <c r="J4" s="188">
        <v>46279</v>
      </c>
      <c r="K4" s="183" t="s">
        <v>719</v>
      </c>
      <c r="L4" s="183" t="s">
        <v>38</v>
      </c>
      <c r="M4" s="183" t="s">
        <v>720</v>
      </c>
      <c r="N4" s="185">
        <v>17</v>
      </c>
      <c r="O4" s="186">
        <v>12</v>
      </c>
      <c r="P4" s="185">
        <v>2.2999999999999998</v>
      </c>
      <c r="Q4" s="185">
        <v>13</v>
      </c>
      <c r="R4" s="183" t="s">
        <v>702</v>
      </c>
      <c r="S4" s="185">
        <v>722.3</v>
      </c>
      <c r="T4" s="189">
        <f t="shared" si="0"/>
        <v>12.038333333333332</v>
      </c>
      <c r="U4" s="183" t="s">
        <v>703</v>
      </c>
      <c r="V4" s="183" t="s">
        <v>704</v>
      </c>
      <c r="W4" s="183" t="s">
        <v>721</v>
      </c>
      <c r="X4" s="183"/>
      <c r="Y4" s="183"/>
      <c r="Z4" s="183" t="s">
        <v>715</v>
      </c>
      <c r="AA4" s="183" t="s">
        <v>716</v>
      </c>
      <c r="AB4" s="183"/>
      <c r="AC4" s="183"/>
      <c r="AD4" s="183" t="s">
        <v>722</v>
      </c>
      <c r="AE4" s="183" t="s">
        <v>710</v>
      </c>
    </row>
    <row r="5" spans="1:31" ht="27.6" hidden="1">
      <c r="A5" s="183" t="s">
        <v>694</v>
      </c>
      <c r="B5" s="183" t="s">
        <v>36</v>
      </c>
      <c r="C5" s="183" t="s">
        <v>36</v>
      </c>
      <c r="D5" s="184" t="s">
        <v>695</v>
      </c>
      <c r="E5" s="183" t="s">
        <v>696</v>
      </c>
      <c r="F5" s="183" t="s">
        <v>697</v>
      </c>
      <c r="G5" s="183" t="s">
        <v>698</v>
      </c>
      <c r="H5" s="183" t="s">
        <v>1</v>
      </c>
      <c r="I5" s="183" t="s">
        <v>723</v>
      </c>
      <c r="J5" s="188">
        <v>46279</v>
      </c>
      <c r="K5" s="183" t="s">
        <v>724</v>
      </c>
      <c r="L5" s="183" t="s">
        <v>39</v>
      </c>
      <c r="M5" s="183" t="s">
        <v>725</v>
      </c>
      <c r="N5" s="185">
        <v>17</v>
      </c>
      <c r="O5" s="186">
        <v>13</v>
      </c>
      <c r="P5" s="185">
        <v>39.4</v>
      </c>
      <c r="Q5" s="185">
        <v>14</v>
      </c>
      <c r="R5" s="183" t="s">
        <v>702</v>
      </c>
      <c r="S5" s="185">
        <v>819.4</v>
      </c>
      <c r="T5" s="189">
        <f t="shared" si="0"/>
        <v>13.656666666666666</v>
      </c>
      <c r="U5" s="183" t="s">
        <v>703</v>
      </c>
      <c r="V5" s="183" t="s">
        <v>704</v>
      </c>
      <c r="W5" s="183" t="s">
        <v>726</v>
      </c>
      <c r="X5" s="183"/>
      <c r="Y5" s="183"/>
      <c r="Z5" s="183" t="s">
        <v>715</v>
      </c>
      <c r="AA5" s="183" t="s">
        <v>716</v>
      </c>
      <c r="AB5" s="183"/>
      <c r="AC5" s="183"/>
      <c r="AD5" s="183" t="s">
        <v>727</v>
      </c>
      <c r="AE5" s="183" t="s">
        <v>710</v>
      </c>
    </row>
    <row r="6" spans="1:31" ht="27.6" hidden="1">
      <c r="A6" s="183" t="s">
        <v>694</v>
      </c>
      <c r="B6" s="183" t="s">
        <v>36</v>
      </c>
      <c r="C6" s="183" t="s">
        <v>36</v>
      </c>
      <c r="D6" s="184" t="s">
        <v>728</v>
      </c>
      <c r="E6" s="183" t="s">
        <v>696</v>
      </c>
      <c r="F6" s="183" t="s">
        <v>697</v>
      </c>
      <c r="G6" s="183" t="s">
        <v>698</v>
      </c>
      <c r="H6" s="183" t="s">
        <v>4</v>
      </c>
      <c r="I6" s="183" t="s">
        <v>729</v>
      </c>
      <c r="J6" s="188">
        <v>46070</v>
      </c>
      <c r="K6" s="183" t="s">
        <v>730</v>
      </c>
      <c r="L6" s="183" t="s">
        <v>40</v>
      </c>
      <c r="M6" s="183" t="s">
        <v>731</v>
      </c>
      <c r="N6" s="185">
        <v>226</v>
      </c>
      <c r="O6" s="186">
        <v>1</v>
      </c>
      <c r="P6" s="185">
        <v>0</v>
      </c>
      <c r="Q6" s="185">
        <v>1</v>
      </c>
      <c r="R6" s="183" t="s">
        <v>702</v>
      </c>
      <c r="S6" s="185">
        <v>60</v>
      </c>
      <c r="T6" s="189">
        <f t="shared" si="0"/>
        <v>1</v>
      </c>
      <c r="U6" s="183" t="s">
        <v>703</v>
      </c>
      <c r="V6" s="183" t="s">
        <v>704</v>
      </c>
      <c r="W6" s="183" t="s">
        <v>732</v>
      </c>
      <c r="X6" s="183"/>
      <c r="Y6" s="183"/>
      <c r="Z6" s="183" t="s">
        <v>733</v>
      </c>
      <c r="AA6" s="183" t="s">
        <v>734</v>
      </c>
      <c r="AB6" s="183"/>
      <c r="AC6" s="183"/>
      <c r="AD6" s="183" t="s">
        <v>735</v>
      </c>
      <c r="AE6" s="183" t="s">
        <v>736</v>
      </c>
    </row>
    <row r="7" spans="1:31" ht="27.6">
      <c r="A7" s="183" t="s">
        <v>694</v>
      </c>
      <c r="B7" s="183" t="s">
        <v>36</v>
      </c>
      <c r="C7" s="183" t="s">
        <v>36</v>
      </c>
      <c r="D7" s="184" t="s">
        <v>728</v>
      </c>
      <c r="E7" s="183" t="s">
        <v>696</v>
      </c>
      <c r="F7" s="183" t="s">
        <v>697</v>
      </c>
      <c r="G7" s="183" t="s">
        <v>698</v>
      </c>
      <c r="H7" s="183" t="s">
        <v>4</v>
      </c>
      <c r="I7" s="183" t="s">
        <v>729</v>
      </c>
      <c r="J7" s="188">
        <v>46287</v>
      </c>
      <c r="K7" s="183" t="s">
        <v>737</v>
      </c>
      <c r="L7" s="183" t="s">
        <v>41</v>
      </c>
      <c r="M7" s="183" t="s">
        <v>738</v>
      </c>
      <c r="N7" s="185">
        <v>9</v>
      </c>
      <c r="O7" s="186">
        <v>3</v>
      </c>
      <c r="P7" s="185">
        <v>26</v>
      </c>
      <c r="Q7" s="185">
        <v>4</v>
      </c>
      <c r="R7" s="183" t="s">
        <v>702</v>
      </c>
      <c r="S7" s="185">
        <v>206</v>
      </c>
      <c r="T7" s="189">
        <f t="shared" si="0"/>
        <v>3.4333333333333331</v>
      </c>
      <c r="U7" s="183" t="s">
        <v>703</v>
      </c>
      <c r="V7" s="183" t="s">
        <v>704</v>
      </c>
      <c r="W7" s="183" t="s">
        <v>739</v>
      </c>
      <c r="X7" s="183"/>
      <c r="Y7" s="183"/>
      <c r="Z7" s="183" t="s">
        <v>733</v>
      </c>
      <c r="AA7" s="183" t="s">
        <v>734</v>
      </c>
      <c r="AB7" s="183"/>
      <c r="AC7" s="183"/>
      <c r="AD7" s="183" t="s">
        <v>740</v>
      </c>
      <c r="AE7" s="183" t="s">
        <v>741</v>
      </c>
    </row>
    <row r="8" spans="1:31" ht="27.6">
      <c r="A8" s="183" t="s">
        <v>694</v>
      </c>
      <c r="B8" s="183" t="s">
        <v>36</v>
      </c>
      <c r="C8" s="183" t="s">
        <v>36</v>
      </c>
      <c r="D8" s="184" t="s">
        <v>728</v>
      </c>
      <c r="E8" s="183" t="s">
        <v>696</v>
      </c>
      <c r="F8" s="183" t="s">
        <v>697</v>
      </c>
      <c r="G8" s="183" t="s">
        <v>698</v>
      </c>
      <c r="H8" s="183" t="s">
        <v>4</v>
      </c>
      <c r="I8" s="183" t="s">
        <v>729</v>
      </c>
      <c r="J8" s="188">
        <v>46287</v>
      </c>
      <c r="K8" s="183" t="s">
        <v>742</v>
      </c>
      <c r="L8" s="183" t="s">
        <v>42</v>
      </c>
      <c r="M8" s="183" t="s">
        <v>743</v>
      </c>
      <c r="N8" s="185">
        <v>9</v>
      </c>
      <c r="O8" s="186">
        <v>10</v>
      </c>
      <c r="P8" s="185">
        <v>28</v>
      </c>
      <c r="Q8" s="185">
        <v>11</v>
      </c>
      <c r="R8" s="183" t="s">
        <v>702</v>
      </c>
      <c r="S8" s="185">
        <v>628</v>
      </c>
      <c r="T8" s="189">
        <f t="shared" si="0"/>
        <v>10.466666666666667</v>
      </c>
      <c r="U8" s="183" t="s">
        <v>703</v>
      </c>
      <c r="V8" s="183" t="s">
        <v>704</v>
      </c>
      <c r="W8" s="183" t="s">
        <v>744</v>
      </c>
      <c r="X8" s="183"/>
      <c r="Y8" s="183"/>
      <c r="Z8" s="183" t="s">
        <v>733</v>
      </c>
      <c r="AA8" s="183" t="s">
        <v>734</v>
      </c>
      <c r="AB8" s="183"/>
      <c r="AC8" s="183"/>
      <c r="AD8" s="183" t="s">
        <v>745</v>
      </c>
      <c r="AE8" s="183" t="s">
        <v>741</v>
      </c>
    </row>
    <row r="9" spans="1:31" ht="27.6">
      <c r="A9" s="183" t="s">
        <v>694</v>
      </c>
      <c r="B9" s="183" t="s">
        <v>36</v>
      </c>
      <c r="C9" s="183" t="s">
        <v>36</v>
      </c>
      <c r="D9" s="184" t="s">
        <v>728</v>
      </c>
      <c r="E9" s="183" t="s">
        <v>696</v>
      </c>
      <c r="F9" s="183" t="s">
        <v>697</v>
      </c>
      <c r="G9" s="183" t="s">
        <v>698</v>
      </c>
      <c r="H9" s="183" t="s">
        <v>4</v>
      </c>
      <c r="I9" s="183" t="s">
        <v>729</v>
      </c>
      <c r="J9" s="188">
        <v>46287</v>
      </c>
      <c r="K9" s="183" t="s">
        <v>746</v>
      </c>
      <c r="L9" s="183" t="s">
        <v>43</v>
      </c>
      <c r="M9" s="183" t="s">
        <v>747</v>
      </c>
      <c r="N9" s="185">
        <v>9</v>
      </c>
      <c r="O9" s="186">
        <v>4</v>
      </c>
      <c r="P9" s="185">
        <v>29</v>
      </c>
      <c r="Q9" s="185">
        <v>5</v>
      </c>
      <c r="R9" s="183" t="s">
        <v>702</v>
      </c>
      <c r="S9" s="185">
        <v>269</v>
      </c>
      <c r="T9" s="189">
        <f t="shared" si="0"/>
        <v>4.4833333333333334</v>
      </c>
      <c r="U9" s="183" t="s">
        <v>703</v>
      </c>
      <c r="V9" s="183" t="s">
        <v>704</v>
      </c>
      <c r="W9" s="183" t="s">
        <v>748</v>
      </c>
      <c r="X9" s="183"/>
      <c r="Y9" s="183"/>
      <c r="Z9" s="183" t="s">
        <v>733</v>
      </c>
      <c r="AA9" s="183" t="s">
        <v>734</v>
      </c>
      <c r="AB9" s="183"/>
      <c r="AC9" s="183"/>
      <c r="AD9" s="183" t="s">
        <v>749</v>
      </c>
      <c r="AE9" s="183" t="s">
        <v>741</v>
      </c>
    </row>
    <row r="10" spans="1:31" ht="27.6">
      <c r="A10" s="183" t="s">
        <v>694</v>
      </c>
      <c r="B10" s="183" t="s">
        <v>36</v>
      </c>
      <c r="C10" s="183" t="s">
        <v>36</v>
      </c>
      <c r="D10" s="184" t="s">
        <v>728</v>
      </c>
      <c r="E10" s="183" t="s">
        <v>696</v>
      </c>
      <c r="F10" s="183" t="s">
        <v>697</v>
      </c>
      <c r="G10" s="183" t="s">
        <v>698</v>
      </c>
      <c r="H10" s="183" t="s">
        <v>4</v>
      </c>
      <c r="I10" s="183" t="s">
        <v>729</v>
      </c>
      <c r="J10" s="188">
        <v>46287</v>
      </c>
      <c r="K10" s="183" t="s">
        <v>750</v>
      </c>
      <c r="L10" s="183" t="s">
        <v>44</v>
      </c>
      <c r="M10" s="183" t="s">
        <v>751</v>
      </c>
      <c r="N10" s="185">
        <v>9</v>
      </c>
      <c r="O10" s="186">
        <v>6</v>
      </c>
      <c r="P10" s="185">
        <v>36</v>
      </c>
      <c r="Q10" s="185">
        <v>7</v>
      </c>
      <c r="R10" s="183" t="s">
        <v>702</v>
      </c>
      <c r="S10" s="185">
        <v>396</v>
      </c>
      <c r="T10" s="189">
        <f t="shared" si="0"/>
        <v>6.6</v>
      </c>
      <c r="U10" s="183" t="s">
        <v>703</v>
      </c>
      <c r="V10" s="183" t="s">
        <v>704</v>
      </c>
      <c r="W10" s="183" t="s">
        <v>752</v>
      </c>
      <c r="X10" s="183"/>
      <c r="Y10" s="183"/>
      <c r="Z10" s="183" t="s">
        <v>733</v>
      </c>
      <c r="AA10" s="183" t="s">
        <v>734</v>
      </c>
      <c r="AB10" s="183"/>
      <c r="AC10" s="183"/>
      <c r="AD10" s="183" t="s">
        <v>753</v>
      </c>
      <c r="AE10" s="183" t="s">
        <v>741</v>
      </c>
    </row>
    <row r="11" spans="1:31" ht="27.6">
      <c r="A11" s="183" t="s">
        <v>694</v>
      </c>
      <c r="B11" s="183" t="s">
        <v>36</v>
      </c>
      <c r="C11" s="183" t="s">
        <v>36</v>
      </c>
      <c r="D11" s="184" t="s">
        <v>728</v>
      </c>
      <c r="E11" s="183" t="s">
        <v>696</v>
      </c>
      <c r="F11" s="183" t="s">
        <v>697</v>
      </c>
      <c r="G11" s="183" t="s">
        <v>698</v>
      </c>
      <c r="H11" s="183" t="s">
        <v>4</v>
      </c>
      <c r="I11" s="183" t="s">
        <v>729</v>
      </c>
      <c r="J11" s="188">
        <v>46287</v>
      </c>
      <c r="K11" s="183" t="s">
        <v>754</v>
      </c>
      <c r="L11" s="183" t="s">
        <v>45</v>
      </c>
      <c r="M11" s="183" t="s">
        <v>755</v>
      </c>
      <c r="N11" s="185">
        <v>9</v>
      </c>
      <c r="O11" s="186">
        <v>25</v>
      </c>
      <c r="P11" s="185">
        <v>9</v>
      </c>
      <c r="Q11" s="185">
        <v>26</v>
      </c>
      <c r="R11" s="183" t="s">
        <v>702</v>
      </c>
      <c r="S11" s="185">
        <v>1509</v>
      </c>
      <c r="T11" s="189">
        <f t="shared" si="0"/>
        <v>25.15</v>
      </c>
      <c r="U11" s="183" t="s">
        <v>703</v>
      </c>
      <c r="V11" s="183" t="s">
        <v>704</v>
      </c>
      <c r="W11" s="183" t="s">
        <v>756</v>
      </c>
      <c r="X11" s="183"/>
      <c r="Y11" s="183"/>
      <c r="Z11" s="183" t="s">
        <v>733</v>
      </c>
      <c r="AA11" s="183" t="s">
        <v>734</v>
      </c>
      <c r="AB11" s="183"/>
      <c r="AC11" s="183"/>
      <c r="AD11" s="183" t="s">
        <v>757</v>
      </c>
      <c r="AE11" s="183" t="s">
        <v>741</v>
      </c>
    </row>
    <row r="12" spans="1:31" ht="27.6">
      <c r="A12" s="183" t="s">
        <v>694</v>
      </c>
      <c r="B12" s="183" t="s">
        <v>36</v>
      </c>
      <c r="C12" s="183" t="s">
        <v>36</v>
      </c>
      <c r="D12" s="184" t="s">
        <v>728</v>
      </c>
      <c r="E12" s="183" t="s">
        <v>696</v>
      </c>
      <c r="F12" s="183" t="s">
        <v>697</v>
      </c>
      <c r="G12" s="183" t="s">
        <v>698</v>
      </c>
      <c r="H12" s="183" t="s">
        <v>4</v>
      </c>
      <c r="I12" s="183" t="s">
        <v>729</v>
      </c>
      <c r="J12" s="188">
        <v>46287</v>
      </c>
      <c r="K12" s="183" t="s">
        <v>758</v>
      </c>
      <c r="L12" s="183" t="s">
        <v>46</v>
      </c>
      <c r="M12" s="183" t="s">
        <v>759</v>
      </c>
      <c r="N12" s="185">
        <v>9</v>
      </c>
      <c r="O12" s="186">
        <v>21</v>
      </c>
      <c r="P12" s="185">
        <v>24</v>
      </c>
      <c r="Q12" s="185">
        <v>22</v>
      </c>
      <c r="R12" s="183" t="s">
        <v>702</v>
      </c>
      <c r="S12" s="185">
        <v>1284</v>
      </c>
      <c r="T12" s="189">
        <f t="shared" si="0"/>
        <v>21.4</v>
      </c>
      <c r="U12" s="183" t="s">
        <v>703</v>
      </c>
      <c r="V12" s="183" t="s">
        <v>704</v>
      </c>
      <c r="W12" s="183" t="s">
        <v>760</v>
      </c>
      <c r="X12" s="183"/>
      <c r="Y12" s="183"/>
      <c r="Z12" s="183" t="s">
        <v>733</v>
      </c>
      <c r="AA12" s="183" t="s">
        <v>734</v>
      </c>
      <c r="AB12" s="183"/>
      <c r="AC12" s="183"/>
      <c r="AD12" s="183" t="s">
        <v>761</v>
      </c>
      <c r="AE12" s="183" t="s">
        <v>741</v>
      </c>
    </row>
    <row r="13" spans="1:31" ht="27.6">
      <c r="A13" s="183" t="s">
        <v>694</v>
      </c>
      <c r="B13" s="183" t="s">
        <v>36</v>
      </c>
      <c r="C13" s="183" t="s">
        <v>36</v>
      </c>
      <c r="D13" s="184" t="s">
        <v>728</v>
      </c>
      <c r="E13" s="183" t="s">
        <v>696</v>
      </c>
      <c r="F13" s="183" t="s">
        <v>697</v>
      </c>
      <c r="G13" s="183" t="s">
        <v>698</v>
      </c>
      <c r="H13" s="183" t="s">
        <v>4</v>
      </c>
      <c r="I13" s="183" t="s">
        <v>729</v>
      </c>
      <c r="J13" s="188">
        <v>46287</v>
      </c>
      <c r="K13" s="183" t="s">
        <v>762</v>
      </c>
      <c r="L13" s="183" t="s">
        <v>47</v>
      </c>
      <c r="M13" s="183" t="s">
        <v>763</v>
      </c>
      <c r="N13" s="185">
        <v>9</v>
      </c>
      <c r="O13" s="186">
        <v>6</v>
      </c>
      <c r="P13" s="185">
        <v>29</v>
      </c>
      <c r="Q13" s="185">
        <v>7</v>
      </c>
      <c r="R13" s="183" t="s">
        <v>702</v>
      </c>
      <c r="S13" s="185">
        <v>389</v>
      </c>
      <c r="T13" s="189">
        <f t="shared" si="0"/>
        <v>6.4833333333333334</v>
      </c>
      <c r="U13" s="183" t="s">
        <v>703</v>
      </c>
      <c r="V13" s="183" t="s">
        <v>704</v>
      </c>
      <c r="W13" s="183" t="s">
        <v>764</v>
      </c>
      <c r="X13" s="183"/>
      <c r="Y13" s="183"/>
      <c r="Z13" s="183" t="s">
        <v>733</v>
      </c>
      <c r="AA13" s="183" t="s">
        <v>734</v>
      </c>
      <c r="AB13" s="183" t="s">
        <v>765</v>
      </c>
      <c r="AC13" s="183"/>
      <c r="AD13" s="183" t="s">
        <v>766</v>
      </c>
      <c r="AE13" s="183" t="s">
        <v>741</v>
      </c>
    </row>
    <row r="14" spans="1:31" ht="27.6">
      <c r="A14" s="183" t="s">
        <v>694</v>
      </c>
      <c r="B14" s="183" t="s">
        <v>36</v>
      </c>
      <c r="C14" s="183" t="s">
        <v>36</v>
      </c>
      <c r="D14" s="184" t="s">
        <v>728</v>
      </c>
      <c r="E14" s="183" t="s">
        <v>696</v>
      </c>
      <c r="F14" s="183" t="s">
        <v>697</v>
      </c>
      <c r="G14" s="183" t="s">
        <v>698</v>
      </c>
      <c r="H14" s="183" t="s">
        <v>4</v>
      </c>
      <c r="I14" s="183" t="s">
        <v>729</v>
      </c>
      <c r="J14" s="188">
        <v>46287</v>
      </c>
      <c r="K14" s="183" t="s">
        <v>767</v>
      </c>
      <c r="L14" s="183" t="s">
        <v>48</v>
      </c>
      <c r="M14" s="183" t="s">
        <v>768</v>
      </c>
      <c r="N14" s="185">
        <v>9</v>
      </c>
      <c r="O14" s="186">
        <v>10</v>
      </c>
      <c r="P14" s="185">
        <v>12</v>
      </c>
      <c r="Q14" s="185">
        <v>11</v>
      </c>
      <c r="R14" s="183" t="s">
        <v>702</v>
      </c>
      <c r="S14" s="185">
        <v>612</v>
      </c>
      <c r="T14" s="189">
        <f t="shared" si="0"/>
        <v>10.199999999999999</v>
      </c>
      <c r="U14" s="183" t="s">
        <v>703</v>
      </c>
      <c r="V14" s="183" t="s">
        <v>704</v>
      </c>
      <c r="W14" s="183" t="s">
        <v>769</v>
      </c>
      <c r="X14" s="183"/>
      <c r="Y14" s="183"/>
      <c r="Z14" s="183" t="s">
        <v>733</v>
      </c>
      <c r="AA14" s="183" t="s">
        <v>734</v>
      </c>
      <c r="AB14" s="183"/>
      <c r="AC14" s="183"/>
      <c r="AD14" s="183" t="s">
        <v>770</v>
      </c>
      <c r="AE14" s="183" t="s">
        <v>741</v>
      </c>
    </row>
    <row r="15" spans="1:31" ht="27.6">
      <c r="A15" s="183" t="s">
        <v>694</v>
      </c>
      <c r="B15" s="183" t="s">
        <v>36</v>
      </c>
      <c r="C15" s="183" t="s">
        <v>36</v>
      </c>
      <c r="D15" s="184" t="s">
        <v>728</v>
      </c>
      <c r="E15" s="183" t="s">
        <v>696</v>
      </c>
      <c r="F15" s="183" t="s">
        <v>697</v>
      </c>
      <c r="G15" s="183" t="s">
        <v>698</v>
      </c>
      <c r="H15" s="183" t="s">
        <v>4</v>
      </c>
      <c r="I15" s="183" t="s">
        <v>729</v>
      </c>
      <c r="J15" s="188">
        <v>46287</v>
      </c>
      <c r="K15" s="183" t="s">
        <v>771</v>
      </c>
      <c r="L15" s="183" t="s">
        <v>49</v>
      </c>
      <c r="M15" s="183" t="s">
        <v>772</v>
      </c>
      <c r="N15" s="185">
        <v>9</v>
      </c>
      <c r="O15" s="186">
        <v>16</v>
      </c>
      <c r="P15" s="185">
        <v>25</v>
      </c>
      <c r="Q15" s="185">
        <v>17</v>
      </c>
      <c r="R15" s="183" t="s">
        <v>702</v>
      </c>
      <c r="S15" s="185">
        <v>985</v>
      </c>
      <c r="T15" s="189">
        <f t="shared" si="0"/>
        <v>16.416666666666668</v>
      </c>
      <c r="U15" s="183" t="s">
        <v>703</v>
      </c>
      <c r="V15" s="183" t="s">
        <v>704</v>
      </c>
      <c r="W15" s="183" t="s">
        <v>773</v>
      </c>
      <c r="X15" s="183"/>
      <c r="Y15" s="183"/>
      <c r="Z15" s="183" t="s">
        <v>733</v>
      </c>
      <c r="AA15" s="183" t="s">
        <v>734</v>
      </c>
      <c r="AB15" s="183"/>
      <c r="AC15" s="183"/>
      <c r="AD15" s="183" t="s">
        <v>774</v>
      </c>
      <c r="AE15" s="183" t="s">
        <v>741</v>
      </c>
    </row>
    <row r="16" spans="1:31" ht="27.6">
      <c r="A16" s="183" t="s">
        <v>694</v>
      </c>
      <c r="B16" s="183" t="s">
        <v>36</v>
      </c>
      <c r="C16" s="183" t="s">
        <v>36</v>
      </c>
      <c r="D16" s="184" t="s">
        <v>728</v>
      </c>
      <c r="E16" s="183" t="s">
        <v>696</v>
      </c>
      <c r="F16" s="183" t="s">
        <v>697</v>
      </c>
      <c r="G16" s="183" t="s">
        <v>698</v>
      </c>
      <c r="H16" s="183" t="s">
        <v>4</v>
      </c>
      <c r="I16" s="183" t="s">
        <v>729</v>
      </c>
      <c r="J16" s="188">
        <v>46287</v>
      </c>
      <c r="K16" s="183" t="s">
        <v>775</v>
      </c>
      <c r="L16" s="183" t="s">
        <v>50</v>
      </c>
      <c r="M16" s="183" t="s">
        <v>776</v>
      </c>
      <c r="N16" s="185">
        <v>9</v>
      </c>
      <c r="O16" s="186">
        <v>6</v>
      </c>
      <c r="P16" s="185">
        <v>15</v>
      </c>
      <c r="Q16" s="185">
        <v>7</v>
      </c>
      <c r="R16" s="183" t="s">
        <v>702</v>
      </c>
      <c r="S16" s="185">
        <v>375</v>
      </c>
      <c r="T16" s="189">
        <f t="shared" si="0"/>
        <v>6.25</v>
      </c>
      <c r="U16" s="183" t="s">
        <v>703</v>
      </c>
      <c r="V16" s="183" t="s">
        <v>704</v>
      </c>
      <c r="W16" s="183" t="s">
        <v>777</v>
      </c>
      <c r="X16" s="183"/>
      <c r="Y16" s="183"/>
      <c r="Z16" s="183" t="s">
        <v>733</v>
      </c>
      <c r="AA16" s="183" t="s">
        <v>734</v>
      </c>
      <c r="AB16" s="183"/>
      <c r="AC16" s="183"/>
      <c r="AD16" s="183" t="s">
        <v>778</v>
      </c>
      <c r="AE16" s="183" t="s">
        <v>741</v>
      </c>
    </row>
    <row r="17" spans="1:31" ht="27.6" hidden="1">
      <c r="A17" s="183" t="s">
        <v>694</v>
      </c>
      <c r="B17" s="183" t="s">
        <v>36</v>
      </c>
      <c r="C17" s="183" t="s">
        <v>36</v>
      </c>
      <c r="D17" s="184" t="s">
        <v>728</v>
      </c>
      <c r="E17" s="183" t="s">
        <v>696</v>
      </c>
      <c r="F17" s="183" t="s">
        <v>697</v>
      </c>
      <c r="G17" s="183" t="s">
        <v>698</v>
      </c>
      <c r="H17" s="183" t="s">
        <v>1</v>
      </c>
      <c r="I17" s="183" t="s">
        <v>779</v>
      </c>
      <c r="J17" s="188">
        <v>46276</v>
      </c>
      <c r="K17" s="183" t="s">
        <v>780</v>
      </c>
      <c r="L17" s="183" t="s">
        <v>51</v>
      </c>
      <c r="M17" s="183" t="s">
        <v>781</v>
      </c>
      <c r="N17" s="185">
        <v>20</v>
      </c>
      <c r="O17" s="186">
        <v>12</v>
      </c>
      <c r="P17" s="185">
        <v>54.4</v>
      </c>
      <c r="Q17" s="185">
        <v>14</v>
      </c>
      <c r="R17" s="183" t="s">
        <v>702</v>
      </c>
      <c r="S17" s="185">
        <v>774.4</v>
      </c>
      <c r="T17" s="189">
        <f t="shared" si="0"/>
        <v>12.906666666666666</v>
      </c>
      <c r="U17" s="183" t="s">
        <v>703</v>
      </c>
      <c r="V17" s="183" t="s">
        <v>704</v>
      </c>
      <c r="W17" s="183" t="s">
        <v>782</v>
      </c>
      <c r="X17" s="183"/>
      <c r="Y17" s="183"/>
      <c r="Z17" s="183" t="s">
        <v>783</v>
      </c>
      <c r="AA17" s="183" t="s">
        <v>784</v>
      </c>
      <c r="AB17" s="183"/>
      <c r="AC17" s="183"/>
      <c r="AD17" s="183" t="s">
        <v>785</v>
      </c>
      <c r="AE17" s="183" t="s">
        <v>710</v>
      </c>
    </row>
    <row r="18" spans="1:31" ht="27.6" hidden="1">
      <c r="A18" s="183" t="s">
        <v>694</v>
      </c>
      <c r="B18" s="183" t="s">
        <v>36</v>
      </c>
      <c r="C18" s="183" t="s">
        <v>36</v>
      </c>
      <c r="D18" s="184" t="s">
        <v>728</v>
      </c>
      <c r="E18" s="183" t="s">
        <v>696</v>
      </c>
      <c r="F18" s="183" t="s">
        <v>697</v>
      </c>
      <c r="G18" s="183" t="s">
        <v>698</v>
      </c>
      <c r="H18" s="183" t="s">
        <v>1</v>
      </c>
      <c r="I18" s="183" t="s">
        <v>786</v>
      </c>
      <c r="J18" s="188">
        <v>46279</v>
      </c>
      <c r="K18" s="183" t="s">
        <v>787</v>
      </c>
      <c r="L18" s="183" t="s">
        <v>52</v>
      </c>
      <c r="M18" s="183" t="s">
        <v>162</v>
      </c>
      <c r="N18" s="185">
        <v>17</v>
      </c>
      <c r="O18" s="186">
        <v>15</v>
      </c>
      <c r="P18" s="185">
        <v>14.6</v>
      </c>
      <c r="Q18" s="185">
        <v>16</v>
      </c>
      <c r="R18" s="183" t="s">
        <v>702</v>
      </c>
      <c r="S18" s="185">
        <v>914.6</v>
      </c>
      <c r="T18" s="189">
        <f t="shared" si="0"/>
        <v>15.243333333333334</v>
      </c>
      <c r="U18" s="183" t="s">
        <v>703</v>
      </c>
      <c r="V18" s="183" t="s">
        <v>704</v>
      </c>
      <c r="W18" s="183" t="s">
        <v>788</v>
      </c>
      <c r="X18" s="183"/>
      <c r="Y18" s="183"/>
      <c r="Z18" s="183" t="s">
        <v>715</v>
      </c>
      <c r="AA18" s="183" t="s">
        <v>716</v>
      </c>
      <c r="AB18" s="183"/>
      <c r="AC18" s="183"/>
      <c r="AD18" s="183" t="s">
        <v>789</v>
      </c>
      <c r="AE18" s="183" t="s">
        <v>741</v>
      </c>
    </row>
    <row r="19" spans="1:31" ht="27.6">
      <c r="A19" s="183" t="s">
        <v>694</v>
      </c>
      <c r="B19" s="183" t="s">
        <v>36</v>
      </c>
      <c r="C19" s="183" t="s">
        <v>36</v>
      </c>
      <c r="D19" s="184" t="s">
        <v>728</v>
      </c>
      <c r="E19" s="183" t="s">
        <v>696</v>
      </c>
      <c r="F19" s="183" t="s">
        <v>697</v>
      </c>
      <c r="G19" s="183" t="s">
        <v>698</v>
      </c>
      <c r="H19" s="183" t="s">
        <v>5</v>
      </c>
      <c r="I19" s="183" t="s">
        <v>729</v>
      </c>
      <c r="J19" s="188">
        <v>46287</v>
      </c>
      <c r="K19" s="183" t="s">
        <v>790</v>
      </c>
      <c r="L19" s="183" t="s">
        <v>53</v>
      </c>
      <c r="M19" s="183" t="s">
        <v>791</v>
      </c>
      <c r="N19" s="185">
        <v>9</v>
      </c>
      <c r="O19" s="186">
        <v>26</v>
      </c>
      <c r="P19" s="185">
        <v>37</v>
      </c>
      <c r="Q19" s="185">
        <v>27</v>
      </c>
      <c r="R19" s="183" t="s">
        <v>702</v>
      </c>
      <c r="S19" s="185">
        <v>1597</v>
      </c>
      <c r="T19" s="189">
        <f t="shared" si="0"/>
        <v>26.616666666666667</v>
      </c>
      <c r="U19" s="183" t="s">
        <v>703</v>
      </c>
      <c r="V19" s="183" t="s">
        <v>704</v>
      </c>
      <c r="W19" s="183" t="s">
        <v>792</v>
      </c>
      <c r="X19" s="183"/>
      <c r="Y19" s="183"/>
      <c r="Z19" s="183" t="s">
        <v>733</v>
      </c>
      <c r="AA19" s="183" t="s">
        <v>734</v>
      </c>
      <c r="AB19" s="183"/>
      <c r="AC19" s="183"/>
      <c r="AD19" s="183" t="s">
        <v>793</v>
      </c>
      <c r="AE19" s="183" t="s">
        <v>741</v>
      </c>
    </row>
    <row r="20" spans="1:31" ht="27.6" hidden="1">
      <c r="A20" s="183" t="s">
        <v>694</v>
      </c>
      <c r="B20" s="183" t="s">
        <v>36</v>
      </c>
      <c r="C20" s="183" t="s">
        <v>36</v>
      </c>
      <c r="D20" s="184" t="s">
        <v>794</v>
      </c>
      <c r="E20" s="183" t="s">
        <v>696</v>
      </c>
      <c r="F20" s="183" t="s">
        <v>795</v>
      </c>
      <c r="G20" s="183" t="s">
        <v>698</v>
      </c>
      <c r="H20" s="183" t="s">
        <v>4</v>
      </c>
      <c r="I20" s="183" t="s">
        <v>729</v>
      </c>
      <c r="J20" s="188">
        <v>45671</v>
      </c>
      <c r="K20" s="183" t="s">
        <v>796</v>
      </c>
      <c r="L20" s="183" t="s">
        <v>54</v>
      </c>
      <c r="M20" s="183" t="s">
        <v>797</v>
      </c>
      <c r="N20" s="185">
        <v>625</v>
      </c>
      <c r="O20" s="186">
        <v>0</v>
      </c>
      <c r="P20" s="185">
        <v>57</v>
      </c>
      <c r="Q20" s="185">
        <v>1</v>
      </c>
      <c r="R20" s="183" t="s">
        <v>702</v>
      </c>
      <c r="S20" s="185">
        <v>57</v>
      </c>
      <c r="T20" s="189">
        <f t="shared" si="0"/>
        <v>0.95</v>
      </c>
      <c r="U20" s="183" t="s">
        <v>703</v>
      </c>
      <c r="V20" s="183" t="s">
        <v>704</v>
      </c>
      <c r="W20" s="183" t="s">
        <v>798</v>
      </c>
      <c r="X20" s="183"/>
      <c r="Y20" s="183"/>
      <c r="Z20" s="183" t="s">
        <v>733</v>
      </c>
      <c r="AA20" s="183" t="s">
        <v>734</v>
      </c>
      <c r="AB20" s="183"/>
      <c r="AC20" s="183"/>
      <c r="AD20" s="183" t="s">
        <v>799</v>
      </c>
      <c r="AE20" s="183" t="s">
        <v>800</v>
      </c>
    </row>
    <row r="21" spans="1:31" ht="27.6" hidden="1">
      <c r="A21" s="183" t="s">
        <v>694</v>
      </c>
      <c r="B21" s="183" t="s">
        <v>36</v>
      </c>
      <c r="C21" s="183" t="s">
        <v>36</v>
      </c>
      <c r="D21" s="184" t="s">
        <v>794</v>
      </c>
      <c r="E21" s="183" t="s">
        <v>696</v>
      </c>
      <c r="F21" s="183" t="s">
        <v>697</v>
      </c>
      <c r="G21" s="183" t="s">
        <v>698</v>
      </c>
      <c r="H21" s="183" t="s">
        <v>4</v>
      </c>
      <c r="I21" s="183" t="s">
        <v>729</v>
      </c>
      <c r="J21" s="188">
        <v>46294</v>
      </c>
      <c r="K21" s="183" t="s">
        <v>801</v>
      </c>
      <c r="L21" s="183" t="s">
        <v>55</v>
      </c>
      <c r="M21" s="183" t="s">
        <v>802</v>
      </c>
      <c r="N21" s="185">
        <v>2</v>
      </c>
      <c r="O21" s="186">
        <v>55</v>
      </c>
      <c r="P21" s="185">
        <v>0</v>
      </c>
      <c r="Q21" s="185">
        <v>55</v>
      </c>
      <c r="R21" s="183" t="s">
        <v>702</v>
      </c>
      <c r="S21" s="185">
        <v>3300</v>
      </c>
      <c r="T21" s="189">
        <f t="shared" si="0"/>
        <v>55</v>
      </c>
      <c r="U21" s="183" t="s">
        <v>703</v>
      </c>
      <c r="V21" s="183" t="s">
        <v>526</v>
      </c>
      <c r="W21" s="183"/>
      <c r="X21" s="183"/>
      <c r="Y21" s="183"/>
      <c r="Z21" s="183" t="s">
        <v>803</v>
      </c>
      <c r="AA21" s="183" t="s">
        <v>804</v>
      </c>
      <c r="AB21" s="183"/>
      <c r="AC21" s="183"/>
      <c r="AD21" s="183" t="s">
        <v>805</v>
      </c>
      <c r="AE21" s="183" t="s">
        <v>806</v>
      </c>
    </row>
    <row r="22" spans="1:31" ht="27.6" hidden="1">
      <c r="A22" s="183" t="s">
        <v>694</v>
      </c>
      <c r="B22" s="183" t="s">
        <v>36</v>
      </c>
      <c r="C22" s="183" t="s">
        <v>36</v>
      </c>
      <c r="D22" s="184" t="s">
        <v>794</v>
      </c>
      <c r="E22" s="183" t="s">
        <v>696</v>
      </c>
      <c r="F22" s="183" t="s">
        <v>697</v>
      </c>
      <c r="G22" s="183" t="s">
        <v>698</v>
      </c>
      <c r="H22" s="183" t="s">
        <v>1</v>
      </c>
      <c r="I22" s="183" t="s">
        <v>807</v>
      </c>
      <c r="J22" s="188">
        <v>46252</v>
      </c>
      <c r="K22" s="183" t="s">
        <v>808</v>
      </c>
      <c r="L22" s="183" t="s">
        <v>56</v>
      </c>
      <c r="M22" s="183" t="s">
        <v>809</v>
      </c>
      <c r="N22" s="185">
        <v>44</v>
      </c>
      <c r="O22" s="186">
        <v>14</v>
      </c>
      <c r="P22" s="185">
        <v>47.5</v>
      </c>
      <c r="Q22" s="185">
        <v>15</v>
      </c>
      <c r="R22" s="183" t="s">
        <v>702</v>
      </c>
      <c r="S22" s="185">
        <v>887.5</v>
      </c>
      <c r="T22" s="189">
        <f t="shared" si="0"/>
        <v>14.791666666666666</v>
      </c>
      <c r="U22" s="183" t="s">
        <v>703</v>
      </c>
      <c r="V22" s="183" t="s">
        <v>526</v>
      </c>
      <c r="W22" s="183"/>
      <c r="X22" s="183"/>
      <c r="Y22" s="183"/>
      <c r="Z22" s="183" t="s">
        <v>733</v>
      </c>
      <c r="AA22" s="183" t="s">
        <v>734</v>
      </c>
      <c r="AB22" s="183"/>
      <c r="AC22" s="183"/>
      <c r="AD22" s="183" t="s">
        <v>810</v>
      </c>
      <c r="AE22" s="183" t="s">
        <v>800</v>
      </c>
    </row>
    <row r="23" spans="1:31" ht="27.6" hidden="1">
      <c r="A23" s="183" t="s">
        <v>694</v>
      </c>
      <c r="B23" s="183" t="s">
        <v>58</v>
      </c>
      <c r="C23" s="183" t="s">
        <v>58</v>
      </c>
      <c r="D23" s="184" t="s">
        <v>811</v>
      </c>
      <c r="E23" s="183" t="s">
        <v>696</v>
      </c>
      <c r="F23" s="183" t="s">
        <v>697</v>
      </c>
      <c r="G23" s="183" t="s">
        <v>698</v>
      </c>
      <c r="H23" s="183" t="s">
        <v>4</v>
      </c>
      <c r="I23" s="183" t="s">
        <v>729</v>
      </c>
      <c r="J23" s="188">
        <v>46049</v>
      </c>
      <c r="K23" s="183" t="s">
        <v>812</v>
      </c>
      <c r="L23" s="183" t="s">
        <v>57</v>
      </c>
      <c r="M23" s="183" t="s">
        <v>813</v>
      </c>
      <c r="N23" s="185">
        <v>247</v>
      </c>
      <c r="O23" s="186">
        <v>0</v>
      </c>
      <c r="P23" s="185">
        <v>7</v>
      </c>
      <c r="Q23" s="185">
        <v>1</v>
      </c>
      <c r="R23" s="183" t="s">
        <v>702</v>
      </c>
      <c r="S23" s="185">
        <v>7</v>
      </c>
      <c r="T23" s="189">
        <f t="shared" si="0"/>
        <v>0.11666666666666667</v>
      </c>
      <c r="U23" s="183" t="s">
        <v>703</v>
      </c>
      <c r="V23" s="183" t="s">
        <v>704</v>
      </c>
      <c r="W23" s="183" t="s">
        <v>814</v>
      </c>
      <c r="X23" s="183"/>
      <c r="Y23" s="183"/>
      <c r="Z23" s="183" t="s">
        <v>733</v>
      </c>
      <c r="AA23" s="183" t="s">
        <v>734</v>
      </c>
      <c r="AB23" s="183" t="s">
        <v>815</v>
      </c>
      <c r="AC23" s="183"/>
      <c r="AD23" s="183" t="s">
        <v>816</v>
      </c>
      <c r="AE23" s="183" t="s">
        <v>736</v>
      </c>
    </row>
    <row r="24" spans="1:31" ht="27.6" hidden="1">
      <c r="A24" s="183" t="s">
        <v>694</v>
      </c>
      <c r="B24" s="183" t="s">
        <v>58</v>
      </c>
      <c r="C24" s="183" t="s">
        <v>58</v>
      </c>
      <c r="D24" s="184" t="s">
        <v>817</v>
      </c>
      <c r="E24" s="183" t="s">
        <v>696</v>
      </c>
      <c r="F24" s="183" t="s">
        <v>697</v>
      </c>
      <c r="G24" s="183" t="s">
        <v>698</v>
      </c>
      <c r="H24" s="183" t="s">
        <v>1</v>
      </c>
      <c r="I24" s="183" t="s">
        <v>818</v>
      </c>
      <c r="J24" s="188">
        <v>46255</v>
      </c>
      <c r="K24" s="183" t="s">
        <v>819</v>
      </c>
      <c r="L24" s="183" t="s">
        <v>59</v>
      </c>
      <c r="M24" s="183" t="s">
        <v>820</v>
      </c>
      <c r="N24" s="185">
        <v>41</v>
      </c>
      <c r="O24" s="186">
        <v>79</v>
      </c>
      <c r="P24" s="185">
        <v>30</v>
      </c>
      <c r="Q24" s="185">
        <v>80</v>
      </c>
      <c r="R24" s="183" t="s">
        <v>702</v>
      </c>
      <c r="S24" s="185">
        <v>4770</v>
      </c>
      <c r="T24" s="189">
        <f t="shared" si="0"/>
        <v>79.5</v>
      </c>
      <c r="U24" s="183" t="s">
        <v>703</v>
      </c>
      <c r="V24" s="183" t="s">
        <v>526</v>
      </c>
      <c r="W24" s="183"/>
      <c r="X24" s="183"/>
      <c r="Y24" s="183"/>
      <c r="Z24" s="183" t="s">
        <v>733</v>
      </c>
      <c r="AA24" s="183" t="s">
        <v>734</v>
      </c>
      <c r="AB24" s="183" t="s">
        <v>821</v>
      </c>
      <c r="AC24" s="183"/>
      <c r="AD24" s="183" t="s">
        <v>822</v>
      </c>
      <c r="AE24" s="183" t="s">
        <v>736</v>
      </c>
    </row>
    <row r="25" spans="1:31" ht="27.6" hidden="1">
      <c r="A25" s="183" t="s">
        <v>694</v>
      </c>
      <c r="B25" s="183" t="s">
        <v>58</v>
      </c>
      <c r="C25" s="183" t="s">
        <v>58</v>
      </c>
      <c r="D25" s="184" t="s">
        <v>817</v>
      </c>
      <c r="E25" s="183" t="s">
        <v>696</v>
      </c>
      <c r="F25" s="183" t="s">
        <v>697</v>
      </c>
      <c r="G25" s="183" t="s">
        <v>698</v>
      </c>
      <c r="H25" s="183" t="s">
        <v>1</v>
      </c>
      <c r="I25" s="183" t="s">
        <v>823</v>
      </c>
      <c r="J25" s="188">
        <v>46279</v>
      </c>
      <c r="K25" s="183" t="s">
        <v>824</v>
      </c>
      <c r="L25" s="183" t="s">
        <v>39</v>
      </c>
      <c r="M25" s="183" t="s">
        <v>725</v>
      </c>
      <c r="N25" s="185">
        <v>17</v>
      </c>
      <c r="O25" s="186">
        <v>40</v>
      </c>
      <c r="P25" s="185">
        <v>8.1</v>
      </c>
      <c r="Q25" s="185">
        <v>41</v>
      </c>
      <c r="R25" s="183" t="s">
        <v>702</v>
      </c>
      <c r="S25" s="185">
        <v>2408.1</v>
      </c>
      <c r="T25" s="189">
        <f t="shared" si="0"/>
        <v>40.134999999999998</v>
      </c>
      <c r="U25" s="183" t="s">
        <v>703</v>
      </c>
      <c r="V25" s="183" t="s">
        <v>526</v>
      </c>
      <c r="W25" s="183"/>
      <c r="X25" s="183"/>
      <c r="Y25" s="183"/>
      <c r="Z25" s="183" t="s">
        <v>715</v>
      </c>
      <c r="AA25" s="183" t="s">
        <v>716</v>
      </c>
      <c r="AB25" s="183"/>
      <c r="AC25" s="183"/>
      <c r="AD25" s="183" t="s">
        <v>825</v>
      </c>
      <c r="AE25" s="183" t="s">
        <v>710</v>
      </c>
    </row>
    <row r="26" spans="1:31" ht="27.6" hidden="1">
      <c r="A26" s="183" t="s">
        <v>694</v>
      </c>
      <c r="B26" s="183" t="s">
        <v>58</v>
      </c>
      <c r="C26" s="183" t="s">
        <v>58</v>
      </c>
      <c r="D26" s="184" t="s">
        <v>817</v>
      </c>
      <c r="E26" s="183" t="s">
        <v>696</v>
      </c>
      <c r="F26" s="183" t="s">
        <v>697</v>
      </c>
      <c r="G26" s="183" t="s">
        <v>698</v>
      </c>
      <c r="H26" s="183" t="s">
        <v>1</v>
      </c>
      <c r="I26" s="183" t="s">
        <v>826</v>
      </c>
      <c r="J26" s="188">
        <v>46275</v>
      </c>
      <c r="K26" s="183" t="s">
        <v>827</v>
      </c>
      <c r="L26" s="183" t="s">
        <v>60</v>
      </c>
      <c r="M26" s="183" t="s">
        <v>828</v>
      </c>
      <c r="N26" s="185">
        <v>21</v>
      </c>
      <c r="O26" s="186">
        <v>17</v>
      </c>
      <c r="P26" s="185">
        <v>30.8</v>
      </c>
      <c r="Q26" s="185">
        <v>18</v>
      </c>
      <c r="R26" s="183" t="s">
        <v>702</v>
      </c>
      <c r="S26" s="185">
        <v>1050.8</v>
      </c>
      <c r="T26" s="189">
        <f t="shared" si="0"/>
        <v>17.513333333333332</v>
      </c>
      <c r="U26" s="183" t="s">
        <v>703</v>
      </c>
      <c r="V26" s="183" t="s">
        <v>526</v>
      </c>
      <c r="W26" s="183"/>
      <c r="X26" s="183"/>
      <c r="Y26" s="183"/>
      <c r="Z26" s="183" t="s">
        <v>733</v>
      </c>
      <c r="AA26" s="183" t="s">
        <v>734</v>
      </c>
      <c r="AB26" s="183"/>
      <c r="AC26" s="183"/>
      <c r="AD26" s="183" t="s">
        <v>829</v>
      </c>
      <c r="AE26" s="183" t="s">
        <v>736</v>
      </c>
    </row>
    <row r="27" spans="1:31" ht="27.6" hidden="1">
      <c r="A27" s="183" t="s">
        <v>694</v>
      </c>
      <c r="B27" s="183" t="s">
        <v>58</v>
      </c>
      <c r="C27" s="183" t="s">
        <v>58</v>
      </c>
      <c r="D27" s="184" t="s">
        <v>830</v>
      </c>
      <c r="E27" s="183" t="s">
        <v>696</v>
      </c>
      <c r="F27" s="183" t="s">
        <v>697</v>
      </c>
      <c r="G27" s="183" t="s">
        <v>698</v>
      </c>
      <c r="H27" s="183" t="s">
        <v>4</v>
      </c>
      <c r="I27" s="183" t="s">
        <v>729</v>
      </c>
      <c r="J27" s="188">
        <v>46042</v>
      </c>
      <c r="K27" s="183" t="s">
        <v>831</v>
      </c>
      <c r="L27" s="183" t="s">
        <v>61</v>
      </c>
      <c r="M27" s="183" t="s">
        <v>832</v>
      </c>
      <c r="N27" s="185">
        <v>254</v>
      </c>
      <c r="O27" s="186">
        <v>2</v>
      </c>
      <c r="P27" s="185">
        <v>11</v>
      </c>
      <c r="Q27" s="185">
        <v>2</v>
      </c>
      <c r="R27" s="183" t="s">
        <v>702</v>
      </c>
      <c r="S27" s="185">
        <v>131</v>
      </c>
      <c r="T27" s="189">
        <f t="shared" si="0"/>
        <v>2.1833333333333331</v>
      </c>
      <c r="U27" s="183" t="s">
        <v>703</v>
      </c>
      <c r="V27" s="183" t="s">
        <v>704</v>
      </c>
      <c r="W27" s="183" t="s">
        <v>833</v>
      </c>
      <c r="X27" s="183"/>
      <c r="Y27" s="183"/>
      <c r="Z27" s="183" t="s">
        <v>733</v>
      </c>
      <c r="AA27" s="183" t="s">
        <v>734</v>
      </c>
      <c r="AB27" s="183"/>
      <c r="AC27" s="183"/>
      <c r="AD27" s="183" t="s">
        <v>834</v>
      </c>
      <c r="AE27" s="183" t="s">
        <v>741</v>
      </c>
    </row>
    <row r="28" spans="1:31" ht="27.6" hidden="1">
      <c r="A28" s="183" t="s">
        <v>694</v>
      </c>
      <c r="B28" s="183" t="s">
        <v>58</v>
      </c>
      <c r="C28" s="183" t="s">
        <v>58</v>
      </c>
      <c r="D28" s="184" t="s">
        <v>830</v>
      </c>
      <c r="E28" s="183" t="s">
        <v>696</v>
      </c>
      <c r="F28" s="183" t="s">
        <v>697</v>
      </c>
      <c r="G28" s="183" t="s">
        <v>698</v>
      </c>
      <c r="H28" s="183" t="s">
        <v>4</v>
      </c>
      <c r="I28" s="183" t="s">
        <v>729</v>
      </c>
      <c r="J28" s="188">
        <v>46058</v>
      </c>
      <c r="K28" s="183" t="s">
        <v>835</v>
      </c>
      <c r="L28" s="183" t="s">
        <v>62</v>
      </c>
      <c r="M28" s="183" t="s">
        <v>836</v>
      </c>
      <c r="N28" s="185">
        <v>238</v>
      </c>
      <c r="O28" s="186">
        <v>1</v>
      </c>
      <c r="P28" s="185">
        <v>13</v>
      </c>
      <c r="Q28" s="185">
        <v>1</v>
      </c>
      <c r="R28" s="183" t="s">
        <v>702</v>
      </c>
      <c r="S28" s="185">
        <v>73</v>
      </c>
      <c r="T28" s="189">
        <f t="shared" si="0"/>
        <v>1.2166666666666666</v>
      </c>
      <c r="U28" s="183" t="s">
        <v>703</v>
      </c>
      <c r="V28" s="183" t="s">
        <v>704</v>
      </c>
      <c r="W28" s="183" t="s">
        <v>837</v>
      </c>
      <c r="X28" s="183"/>
      <c r="Y28" s="183"/>
      <c r="Z28" s="183" t="s">
        <v>733</v>
      </c>
      <c r="AA28" s="183" t="s">
        <v>734</v>
      </c>
      <c r="AB28" s="183"/>
      <c r="AC28" s="183"/>
      <c r="AD28" s="183" t="s">
        <v>838</v>
      </c>
      <c r="AE28" s="183" t="s">
        <v>741</v>
      </c>
    </row>
    <row r="29" spans="1:31" ht="27.6" hidden="1">
      <c r="A29" s="183" t="s">
        <v>694</v>
      </c>
      <c r="B29" s="183" t="s">
        <v>58</v>
      </c>
      <c r="C29" s="183" t="s">
        <v>58</v>
      </c>
      <c r="D29" s="184" t="s">
        <v>830</v>
      </c>
      <c r="E29" s="183" t="s">
        <v>696</v>
      </c>
      <c r="F29" s="183" t="s">
        <v>697</v>
      </c>
      <c r="G29" s="183" t="s">
        <v>698</v>
      </c>
      <c r="H29" s="183" t="s">
        <v>4</v>
      </c>
      <c r="I29" s="183" t="s">
        <v>729</v>
      </c>
      <c r="J29" s="188">
        <v>46077</v>
      </c>
      <c r="K29" s="183" t="s">
        <v>839</v>
      </c>
      <c r="L29" s="183" t="s">
        <v>63</v>
      </c>
      <c r="M29" s="183" t="s">
        <v>840</v>
      </c>
      <c r="N29" s="185">
        <v>219</v>
      </c>
      <c r="O29" s="186">
        <v>0</v>
      </c>
      <c r="P29" s="185">
        <v>11</v>
      </c>
      <c r="Q29" s="185">
        <v>1</v>
      </c>
      <c r="R29" s="183" t="s">
        <v>702</v>
      </c>
      <c r="S29" s="185">
        <v>11</v>
      </c>
      <c r="T29" s="189">
        <f t="shared" si="0"/>
        <v>0.18333333333333332</v>
      </c>
      <c r="U29" s="183" t="s">
        <v>703</v>
      </c>
      <c r="V29" s="183" t="s">
        <v>704</v>
      </c>
      <c r="W29" s="183" t="s">
        <v>841</v>
      </c>
      <c r="X29" s="183"/>
      <c r="Y29" s="183"/>
      <c r="Z29" s="183" t="s">
        <v>733</v>
      </c>
      <c r="AA29" s="183" t="s">
        <v>734</v>
      </c>
      <c r="AB29" s="183"/>
      <c r="AC29" s="183"/>
      <c r="AD29" s="183" t="s">
        <v>842</v>
      </c>
      <c r="AE29" s="183" t="s">
        <v>741</v>
      </c>
    </row>
    <row r="30" spans="1:31" ht="27.6" hidden="1">
      <c r="A30" s="183" t="s">
        <v>694</v>
      </c>
      <c r="B30" s="183" t="s">
        <v>58</v>
      </c>
      <c r="C30" s="183" t="s">
        <v>58</v>
      </c>
      <c r="D30" s="184" t="s">
        <v>830</v>
      </c>
      <c r="E30" s="183" t="s">
        <v>696</v>
      </c>
      <c r="F30" s="183" t="s">
        <v>697</v>
      </c>
      <c r="G30" s="183" t="s">
        <v>698</v>
      </c>
      <c r="H30" s="183" t="s">
        <v>4</v>
      </c>
      <c r="I30" s="183" t="s">
        <v>729</v>
      </c>
      <c r="J30" s="188">
        <v>46091</v>
      </c>
      <c r="K30" s="183" t="s">
        <v>843</v>
      </c>
      <c r="L30" s="183" t="s">
        <v>64</v>
      </c>
      <c r="M30" s="183" t="s">
        <v>763</v>
      </c>
      <c r="N30" s="185">
        <v>205</v>
      </c>
      <c r="O30" s="186">
        <v>0</v>
      </c>
      <c r="P30" s="185">
        <v>2</v>
      </c>
      <c r="Q30" s="185">
        <v>0</v>
      </c>
      <c r="R30" s="183" t="s">
        <v>702</v>
      </c>
      <c r="S30" s="185">
        <v>2</v>
      </c>
      <c r="T30" s="189">
        <f t="shared" si="0"/>
        <v>3.3333333333333333E-2</v>
      </c>
      <c r="U30" s="183" t="s">
        <v>703</v>
      </c>
      <c r="V30" s="183" t="s">
        <v>704</v>
      </c>
      <c r="W30" s="183" t="s">
        <v>844</v>
      </c>
      <c r="X30" s="183"/>
      <c r="Y30" s="183"/>
      <c r="Z30" s="183" t="s">
        <v>733</v>
      </c>
      <c r="AA30" s="183" t="s">
        <v>734</v>
      </c>
      <c r="AB30" s="183" t="s">
        <v>821</v>
      </c>
      <c r="AC30" s="183"/>
      <c r="AD30" s="183" t="s">
        <v>845</v>
      </c>
      <c r="AE30" s="183" t="s">
        <v>741</v>
      </c>
    </row>
    <row r="31" spans="1:31" ht="27.6" hidden="1">
      <c r="A31" s="183" t="s">
        <v>694</v>
      </c>
      <c r="B31" s="183" t="s">
        <v>58</v>
      </c>
      <c r="C31" s="183" t="s">
        <v>58</v>
      </c>
      <c r="D31" s="184" t="s">
        <v>830</v>
      </c>
      <c r="E31" s="183" t="s">
        <v>696</v>
      </c>
      <c r="F31" s="183" t="s">
        <v>697</v>
      </c>
      <c r="G31" s="183" t="s">
        <v>698</v>
      </c>
      <c r="H31" s="183" t="s">
        <v>4</v>
      </c>
      <c r="I31" s="183" t="s">
        <v>729</v>
      </c>
      <c r="J31" s="188">
        <v>46091</v>
      </c>
      <c r="K31" s="183" t="s">
        <v>846</v>
      </c>
      <c r="L31" s="183" t="s">
        <v>65</v>
      </c>
      <c r="M31" s="183" t="s">
        <v>847</v>
      </c>
      <c r="N31" s="185">
        <v>205</v>
      </c>
      <c r="O31" s="186">
        <v>0</v>
      </c>
      <c r="P31" s="185">
        <v>14</v>
      </c>
      <c r="Q31" s="185">
        <v>1</v>
      </c>
      <c r="R31" s="183" t="s">
        <v>702</v>
      </c>
      <c r="S31" s="185">
        <v>14</v>
      </c>
      <c r="T31" s="189">
        <f t="shared" si="0"/>
        <v>0.23333333333333334</v>
      </c>
      <c r="U31" s="183" t="s">
        <v>703</v>
      </c>
      <c r="V31" s="183" t="s">
        <v>704</v>
      </c>
      <c r="W31" s="183" t="s">
        <v>848</v>
      </c>
      <c r="X31" s="183"/>
      <c r="Y31" s="183"/>
      <c r="Z31" s="183" t="s">
        <v>733</v>
      </c>
      <c r="AA31" s="183" t="s">
        <v>734</v>
      </c>
      <c r="AB31" s="183" t="s">
        <v>821</v>
      </c>
      <c r="AC31" s="183"/>
      <c r="AD31" s="183" t="s">
        <v>849</v>
      </c>
      <c r="AE31" s="183" t="s">
        <v>736</v>
      </c>
    </row>
    <row r="32" spans="1:31" ht="27.6" hidden="1">
      <c r="A32" s="183" t="s">
        <v>694</v>
      </c>
      <c r="B32" s="183" t="s">
        <v>58</v>
      </c>
      <c r="C32" s="183" t="s">
        <v>58</v>
      </c>
      <c r="D32" s="184" t="s">
        <v>830</v>
      </c>
      <c r="E32" s="183" t="s">
        <v>696</v>
      </c>
      <c r="F32" s="183" t="s">
        <v>697</v>
      </c>
      <c r="G32" s="183" t="s">
        <v>698</v>
      </c>
      <c r="H32" s="183" t="s">
        <v>4</v>
      </c>
      <c r="I32" s="183" t="s">
        <v>729</v>
      </c>
      <c r="J32" s="188">
        <v>46105</v>
      </c>
      <c r="K32" s="183" t="s">
        <v>850</v>
      </c>
      <c r="L32" s="183" t="s">
        <v>66</v>
      </c>
      <c r="M32" s="183" t="s">
        <v>851</v>
      </c>
      <c r="N32" s="185">
        <v>191</v>
      </c>
      <c r="O32" s="186">
        <v>0</v>
      </c>
      <c r="P32" s="185">
        <v>3</v>
      </c>
      <c r="Q32" s="185">
        <v>1</v>
      </c>
      <c r="R32" s="183" t="s">
        <v>702</v>
      </c>
      <c r="S32" s="185">
        <v>3</v>
      </c>
      <c r="T32" s="189">
        <f t="shared" si="0"/>
        <v>0.05</v>
      </c>
      <c r="U32" s="183" t="s">
        <v>703</v>
      </c>
      <c r="V32" s="183" t="s">
        <v>704</v>
      </c>
      <c r="W32" s="183" t="s">
        <v>852</v>
      </c>
      <c r="X32" s="183"/>
      <c r="Y32" s="183"/>
      <c r="Z32" s="183" t="s">
        <v>733</v>
      </c>
      <c r="AA32" s="183" t="s">
        <v>734</v>
      </c>
      <c r="AB32" s="183"/>
      <c r="AC32" s="183"/>
      <c r="AD32" s="183" t="s">
        <v>853</v>
      </c>
      <c r="AE32" s="183" t="s">
        <v>741</v>
      </c>
    </row>
    <row r="33" spans="1:31" ht="27.6">
      <c r="A33" s="183" t="s">
        <v>694</v>
      </c>
      <c r="B33" s="183" t="s">
        <v>58</v>
      </c>
      <c r="C33" s="183" t="s">
        <v>58</v>
      </c>
      <c r="D33" s="184" t="s">
        <v>830</v>
      </c>
      <c r="E33" s="183" t="s">
        <v>696</v>
      </c>
      <c r="F33" s="183" t="s">
        <v>697</v>
      </c>
      <c r="G33" s="183" t="s">
        <v>698</v>
      </c>
      <c r="H33" s="183" t="s">
        <v>4</v>
      </c>
      <c r="I33" s="183" t="s">
        <v>729</v>
      </c>
      <c r="J33" s="188">
        <v>46287</v>
      </c>
      <c r="K33" s="183" t="s">
        <v>854</v>
      </c>
      <c r="L33" s="183" t="s">
        <v>41</v>
      </c>
      <c r="M33" s="183" t="s">
        <v>738</v>
      </c>
      <c r="N33" s="185">
        <v>9</v>
      </c>
      <c r="O33" s="186">
        <v>8</v>
      </c>
      <c r="P33" s="185">
        <v>53</v>
      </c>
      <c r="Q33" s="185">
        <v>9</v>
      </c>
      <c r="R33" s="183" t="s">
        <v>702</v>
      </c>
      <c r="S33" s="185">
        <v>533</v>
      </c>
      <c r="T33" s="189">
        <f t="shared" si="0"/>
        <v>8.8833333333333329</v>
      </c>
      <c r="U33" s="183" t="s">
        <v>703</v>
      </c>
      <c r="V33" s="183" t="s">
        <v>704</v>
      </c>
      <c r="W33" s="183" t="s">
        <v>855</v>
      </c>
      <c r="X33" s="183"/>
      <c r="Y33" s="183"/>
      <c r="Z33" s="183" t="s">
        <v>733</v>
      </c>
      <c r="AA33" s="183" t="s">
        <v>734</v>
      </c>
      <c r="AB33" s="183"/>
      <c r="AC33" s="183"/>
      <c r="AD33" s="183" t="s">
        <v>856</v>
      </c>
      <c r="AE33" s="183" t="s">
        <v>741</v>
      </c>
    </row>
    <row r="34" spans="1:31" ht="27.6">
      <c r="A34" s="183" t="s">
        <v>694</v>
      </c>
      <c r="B34" s="183" t="s">
        <v>58</v>
      </c>
      <c r="C34" s="183" t="s">
        <v>58</v>
      </c>
      <c r="D34" s="184" t="s">
        <v>830</v>
      </c>
      <c r="E34" s="183" t="s">
        <v>696</v>
      </c>
      <c r="F34" s="183" t="s">
        <v>697</v>
      </c>
      <c r="G34" s="183" t="s">
        <v>698</v>
      </c>
      <c r="H34" s="183" t="s">
        <v>4</v>
      </c>
      <c r="I34" s="183" t="s">
        <v>729</v>
      </c>
      <c r="J34" s="188">
        <v>46287</v>
      </c>
      <c r="K34" s="183" t="s">
        <v>857</v>
      </c>
      <c r="L34" s="183" t="s">
        <v>67</v>
      </c>
      <c r="M34" s="183" t="s">
        <v>858</v>
      </c>
      <c r="N34" s="185">
        <v>9</v>
      </c>
      <c r="O34" s="186">
        <v>3</v>
      </c>
      <c r="P34" s="185">
        <v>4</v>
      </c>
      <c r="Q34" s="185">
        <v>3</v>
      </c>
      <c r="R34" s="183" t="s">
        <v>702</v>
      </c>
      <c r="S34" s="185">
        <v>184</v>
      </c>
      <c r="T34" s="189">
        <f t="shared" si="0"/>
        <v>3.0666666666666669</v>
      </c>
      <c r="U34" s="183" t="s">
        <v>703</v>
      </c>
      <c r="V34" s="183" t="s">
        <v>704</v>
      </c>
      <c r="W34" s="183" t="s">
        <v>859</v>
      </c>
      <c r="X34" s="183"/>
      <c r="Y34" s="183"/>
      <c r="Z34" s="183" t="s">
        <v>733</v>
      </c>
      <c r="AA34" s="183" t="s">
        <v>734</v>
      </c>
      <c r="AB34" s="183"/>
      <c r="AC34" s="183"/>
      <c r="AD34" s="183" t="s">
        <v>860</v>
      </c>
      <c r="AE34" s="183" t="s">
        <v>741</v>
      </c>
    </row>
    <row r="35" spans="1:31" ht="27.6">
      <c r="A35" s="183" t="s">
        <v>694</v>
      </c>
      <c r="B35" s="183" t="s">
        <v>58</v>
      </c>
      <c r="C35" s="183" t="s">
        <v>58</v>
      </c>
      <c r="D35" s="184" t="s">
        <v>830</v>
      </c>
      <c r="E35" s="183" t="s">
        <v>696</v>
      </c>
      <c r="F35" s="183" t="s">
        <v>697</v>
      </c>
      <c r="G35" s="183" t="s">
        <v>698</v>
      </c>
      <c r="H35" s="183" t="s">
        <v>4</v>
      </c>
      <c r="I35" s="183" t="s">
        <v>729</v>
      </c>
      <c r="J35" s="188">
        <v>46287</v>
      </c>
      <c r="K35" s="183" t="s">
        <v>861</v>
      </c>
      <c r="L35" s="183" t="s">
        <v>68</v>
      </c>
      <c r="M35" s="183" t="s">
        <v>862</v>
      </c>
      <c r="N35" s="185">
        <v>9</v>
      </c>
      <c r="O35" s="186">
        <v>36</v>
      </c>
      <c r="P35" s="185">
        <v>22</v>
      </c>
      <c r="Q35" s="185">
        <v>37</v>
      </c>
      <c r="R35" s="183" t="s">
        <v>702</v>
      </c>
      <c r="S35" s="185">
        <v>2182</v>
      </c>
      <c r="T35" s="189">
        <f t="shared" si="0"/>
        <v>36.366666666666667</v>
      </c>
      <c r="U35" s="183" t="s">
        <v>703</v>
      </c>
      <c r="V35" s="183" t="s">
        <v>704</v>
      </c>
      <c r="W35" s="183" t="s">
        <v>863</v>
      </c>
      <c r="X35" s="183"/>
      <c r="Y35" s="183"/>
      <c r="Z35" s="183" t="s">
        <v>733</v>
      </c>
      <c r="AA35" s="183" t="s">
        <v>734</v>
      </c>
      <c r="AB35" s="183"/>
      <c r="AC35" s="183"/>
      <c r="AD35" s="183" t="s">
        <v>864</v>
      </c>
      <c r="AE35" s="183" t="s">
        <v>741</v>
      </c>
    </row>
    <row r="36" spans="1:31" ht="27.6">
      <c r="A36" s="183" t="s">
        <v>694</v>
      </c>
      <c r="B36" s="183" t="s">
        <v>58</v>
      </c>
      <c r="C36" s="183" t="s">
        <v>58</v>
      </c>
      <c r="D36" s="184" t="s">
        <v>830</v>
      </c>
      <c r="E36" s="183" t="s">
        <v>696</v>
      </c>
      <c r="F36" s="183" t="s">
        <v>697</v>
      </c>
      <c r="G36" s="183" t="s">
        <v>698</v>
      </c>
      <c r="H36" s="183" t="s">
        <v>4</v>
      </c>
      <c r="I36" s="183" t="s">
        <v>729</v>
      </c>
      <c r="J36" s="188">
        <v>46287</v>
      </c>
      <c r="K36" s="183" t="s">
        <v>865</v>
      </c>
      <c r="L36" s="183" t="s">
        <v>69</v>
      </c>
      <c r="M36" s="183" t="s">
        <v>866</v>
      </c>
      <c r="N36" s="185">
        <v>9</v>
      </c>
      <c r="O36" s="186">
        <v>3</v>
      </c>
      <c r="P36" s="185">
        <v>21</v>
      </c>
      <c r="Q36" s="185">
        <v>4</v>
      </c>
      <c r="R36" s="183" t="s">
        <v>702</v>
      </c>
      <c r="S36" s="185">
        <v>201</v>
      </c>
      <c r="T36" s="189">
        <f t="shared" si="0"/>
        <v>3.35</v>
      </c>
      <c r="U36" s="183" t="s">
        <v>703</v>
      </c>
      <c r="V36" s="183" t="s">
        <v>704</v>
      </c>
      <c r="W36" s="183" t="s">
        <v>867</v>
      </c>
      <c r="X36" s="183"/>
      <c r="Y36" s="183"/>
      <c r="Z36" s="183" t="s">
        <v>733</v>
      </c>
      <c r="AA36" s="183" t="s">
        <v>734</v>
      </c>
      <c r="AB36" s="183"/>
      <c r="AC36" s="183"/>
      <c r="AD36" s="183" t="s">
        <v>868</v>
      </c>
      <c r="AE36" s="183" t="s">
        <v>741</v>
      </c>
    </row>
    <row r="37" spans="1:31" ht="27.6">
      <c r="A37" s="183" t="s">
        <v>694</v>
      </c>
      <c r="B37" s="183" t="s">
        <v>58</v>
      </c>
      <c r="C37" s="183" t="s">
        <v>58</v>
      </c>
      <c r="D37" s="184" t="s">
        <v>830</v>
      </c>
      <c r="E37" s="183" t="s">
        <v>696</v>
      </c>
      <c r="F37" s="183" t="s">
        <v>697</v>
      </c>
      <c r="G37" s="183" t="s">
        <v>698</v>
      </c>
      <c r="H37" s="183" t="s">
        <v>4</v>
      </c>
      <c r="I37" s="183" t="s">
        <v>729</v>
      </c>
      <c r="J37" s="188">
        <v>46287</v>
      </c>
      <c r="K37" s="183" t="s">
        <v>869</v>
      </c>
      <c r="L37" s="183" t="s">
        <v>70</v>
      </c>
      <c r="M37" s="183" t="s">
        <v>870</v>
      </c>
      <c r="N37" s="185">
        <v>9</v>
      </c>
      <c r="O37" s="186">
        <v>12</v>
      </c>
      <c r="P37" s="185">
        <v>26</v>
      </c>
      <c r="Q37" s="185">
        <v>13</v>
      </c>
      <c r="R37" s="183" t="s">
        <v>702</v>
      </c>
      <c r="S37" s="185">
        <v>746</v>
      </c>
      <c r="T37" s="189">
        <f t="shared" si="0"/>
        <v>12.433333333333334</v>
      </c>
      <c r="U37" s="183" t="s">
        <v>703</v>
      </c>
      <c r="V37" s="183" t="s">
        <v>704</v>
      </c>
      <c r="W37" s="183" t="s">
        <v>871</v>
      </c>
      <c r="X37" s="183"/>
      <c r="Y37" s="183"/>
      <c r="Z37" s="183" t="s">
        <v>733</v>
      </c>
      <c r="AA37" s="183" t="s">
        <v>734</v>
      </c>
      <c r="AB37" s="183"/>
      <c r="AC37" s="183"/>
      <c r="AD37" s="183" t="s">
        <v>872</v>
      </c>
      <c r="AE37" s="183" t="s">
        <v>741</v>
      </c>
    </row>
    <row r="38" spans="1:31" ht="27.6">
      <c r="A38" s="183" t="s">
        <v>694</v>
      </c>
      <c r="B38" s="183" t="s">
        <v>58</v>
      </c>
      <c r="C38" s="183" t="s">
        <v>58</v>
      </c>
      <c r="D38" s="184" t="s">
        <v>830</v>
      </c>
      <c r="E38" s="183" t="s">
        <v>696</v>
      </c>
      <c r="F38" s="183" t="s">
        <v>697</v>
      </c>
      <c r="G38" s="183" t="s">
        <v>698</v>
      </c>
      <c r="H38" s="183" t="s">
        <v>4</v>
      </c>
      <c r="I38" s="183" t="s">
        <v>729</v>
      </c>
      <c r="J38" s="188">
        <v>46287</v>
      </c>
      <c r="K38" s="183" t="s">
        <v>873</v>
      </c>
      <c r="L38" s="183" t="s">
        <v>71</v>
      </c>
      <c r="M38" s="183" t="s">
        <v>874</v>
      </c>
      <c r="N38" s="185">
        <v>9</v>
      </c>
      <c r="O38" s="186">
        <v>10</v>
      </c>
      <c r="P38" s="185">
        <v>11</v>
      </c>
      <c r="Q38" s="185">
        <v>11</v>
      </c>
      <c r="R38" s="183" t="s">
        <v>702</v>
      </c>
      <c r="S38" s="185">
        <v>611</v>
      </c>
      <c r="T38" s="189">
        <f t="shared" si="0"/>
        <v>10.183333333333334</v>
      </c>
      <c r="U38" s="183" t="s">
        <v>703</v>
      </c>
      <c r="V38" s="183" t="s">
        <v>704</v>
      </c>
      <c r="W38" s="183" t="s">
        <v>875</v>
      </c>
      <c r="X38" s="183"/>
      <c r="Y38" s="183"/>
      <c r="Z38" s="183" t="s">
        <v>733</v>
      </c>
      <c r="AA38" s="183" t="s">
        <v>734</v>
      </c>
      <c r="AB38" s="183"/>
      <c r="AC38" s="183"/>
      <c r="AD38" s="183" t="s">
        <v>876</v>
      </c>
      <c r="AE38" s="183" t="s">
        <v>741</v>
      </c>
    </row>
    <row r="39" spans="1:31" ht="27.6">
      <c r="A39" s="183" t="s">
        <v>694</v>
      </c>
      <c r="B39" s="183" t="s">
        <v>58</v>
      </c>
      <c r="C39" s="183" t="s">
        <v>58</v>
      </c>
      <c r="D39" s="184" t="s">
        <v>830</v>
      </c>
      <c r="E39" s="183" t="s">
        <v>696</v>
      </c>
      <c r="F39" s="183" t="s">
        <v>697</v>
      </c>
      <c r="G39" s="183" t="s">
        <v>698</v>
      </c>
      <c r="H39" s="183" t="s">
        <v>4</v>
      </c>
      <c r="I39" s="183" t="s">
        <v>729</v>
      </c>
      <c r="J39" s="188">
        <v>46287</v>
      </c>
      <c r="K39" s="183" t="s">
        <v>877</v>
      </c>
      <c r="L39" s="183" t="s">
        <v>43</v>
      </c>
      <c r="M39" s="183" t="s">
        <v>747</v>
      </c>
      <c r="N39" s="185">
        <v>9</v>
      </c>
      <c r="O39" s="186">
        <v>7</v>
      </c>
      <c r="P39" s="185">
        <v>31</v>
      </c>
      <c r="Q39" s="185">
        <v>8</v>
      </c>
      <c r="R39" s="183" t="s">
        <v>702</v>
      </c>
      <c r="S39" s="185">
        <v>451</v>
      </c>
      <c r="T39" s="189">
        <f t="shared" si="0"/>
        <v>7.5166666666666666</v>
      </c>
      <c r="U39" s="183" t="s">
        <v>703</v>
      </c>
      <c r="V39" s="183" t="s">
        <v>704</v>
      </c>
      <c r="W39" s="183" t="s">
        <v>878</v>
      </c>
      <c r="X39" s="183"/>
      <c r="Y39" s="183"/>
      <c r="Z39" s="183" t="s">
        <v>733</v>
      </c>
      <c r="AA39" s="183" t="s">
        <v>734</v>
      </c>
      <c r="AB39" s="183"/>
      <c r="AC39" s="183"/>
      <c r="AD39" s="183" t="s">
        <v>879</v>
      </c>
      <c r="AE39" s="183" t="s">
        <v>741</v>
      </c>
    </row>
    <row r="40" spans="1:31" ht="27.6">
      <c r="A40" s="183" t="s">
        <v>694</v>
      </c>
      <c r="B40" s="183" t="s">
        <v>58</v>
      </c>
      <c r="C40" s="183" t="s">
        <v>58</v>
      </c>
      <c r="D40" s="184" t="s">
        <v>830</v>
      </c>
      <c r="E40" s="183" t="s">
        <v>696</v>
      </c>
      <c r="F40" s="183" t="s">
        <v>697</v>
      </c>
      <c r="G40" s="183" t="s">
        <v>698</v>
      </c>
      <c r="H40" s="183" t="s">
        <v>4</v>
      </c>
      <c r="I40" s="183" t="s">
        <v>729</v>
      </c>
      <c r="J40" s="188">
        <v>46287</v>
      </c>
      <c r="K40" s="183" t="s">
        <v>880</v>
      </c>
      <c r="L40" s="183" t="s">
        <v>72</v>
      </c>
      <c r="M40" s="183" t="s">
        <v>881</v>
      </c>
      <c r="N40" s="185">
        <v>9</v>
      </c>
      <c r="O40" s="186">
        <v>22</v>
      </c>
      <c r="P40" s="185">
        <v>51</v>
      </c>
      <c r="Q40" s="185">
        <v>23</v>
      </c>
      <c r="R40" s="183" t="s">
        <v>702</v>
      </c>
      <c r="S40" s="185">
        <v>1371</v>
      </c>
      <c r="T40" s="189">
        <f t="shared" si="0"/>
        <v>22.85</v>
      </c>
      <c r="U40" s="183" t="s">
        <v>703</v>
      </c>
      <c r="V40" s="183" t="s">
        <v>704</v>
      </c>
      <c r="W40" s="183" t="s">
        <v>882</v>
      </c>
      <c r="X40" s="183"/>
      <c r="Y40" s="183"/>
      <c r="Z40" s="183" t="s">
        <v>733</v>
      </c>
      <c r="AA40" s="183" t="s">
        <v>734</v>
      </c>
      <c r="AB40" s="183"/>
      <c r="AC40" s="183"/>
      <c r="AD40" s="183" t="s">
        <v>883</v>
      </c>
      <c r="AE40" s="183" t="s">
        <v>741</v>
      </c>
    </row>
    <row r="41" spans="1:31" ht="27.6">
      <c r="A41" s="183" t="s">
        <v>694</v>
      </c>
      <c r="B41" s="183" t="s">
        <v>58</v>
      </c>
      <c r="C41" s="183" t="s">
        <v>58</v>
      </c>
      <c r="D41" s="184" t="s">
        <v>830</v>
      </c>
      <c r="E41" s="183" t="s">
        <v>696</v>
      </c>
      <c r="F41" s="183" t="s">
        <v>697</v>
      </c>
      <c r="G41" s="183" t="s">
        <v>698</v>
      </c>
      <c r="H41" s="183" t="s">
        <v>4</v>
      </c>
      <c r="I41" s="183" t="s">
        <v>729</v>
      </c>
      <c r="J41" s="188">
        <v>46287</v>
      </c>
      <c r="K41" s="183" t="s">
        <v>884</v>
      </c>
      <c r="L41" s="183" t="s">
        <v>73</v>
      </c>
      <c r="M41" s="183" t="s">
        <v>885</v>
      </c>
      <c r="N41" s="185">
        <v>9</v>
      </c>
      <c r="O41" s="186">
        <v>30</v>
      </c>
      <c r="P41" s="185">
        <v>49</v>
      </c>
      <c r="Q41" s="185">
        <v>31</v>
      </c>
      <c r="R41" s="183" t="s">
        <v>702</v>
      </c>
      <c r="S41" s="185">
        <v>1849</v>
      </c>
      <c r="T41" s="189">
        <f t="shared" si="0"/>
        <v>30.816666666666666</v>
      </c>
      <c r="U41" s="183" t="s">
        <v>703</v>
      </c>
      <c r="V41" s="183" t="s">
        <v>704</v>
      </c>
      <c r="W41" s="183" t="s">
        <v>886</v>
      </c>
      <c r="X41" s="183"/>
      <c r="Y41" s="183"/>
      <c r="Z41" s="183" t="s">
        <v>733</v>
      </c>
      <c r="AA41" s="183" t="s">
        <v>734</v>
      </c>
      <c r="AB41" s="183"/>
      <c r="AC41" s="183"/>
      <c r="AD41" s="183" t="s">
        <v>887</v>
      </c>
      <c r="AE41" s="183" t="s">
        <v>741</v>
      </c>
    </row>
    <row r="42" spans="1:31" ht="27.6">
      <c r="A42" s="183" t="s">
        <v>694</v>
      </c>
      <c r="B42" s="183" t="s">
        <v>58</v>
      </c>
      <c r="C42" s="183" t="s">
        <v>58</v>
      </c>
      <c r="D42" s="184" t="s">
        <v>830</v>
      </c>
      <c r="E42" s="183" t="s">
        <v>696</v>
      </c>
      <c r="F42" s="183" t="s">
        <v>697</v>
      </c>
      <c r="G42" s="183" t="s">
        <v>698</v>
      </c>
      <c r="H42" s="183" t="s">
        <v>4</v>
      </c>
      <c r="I42" s="183" t="s">
        <v>729</v>
      </c>
      <c r="J42" s="188">
        <v>46287</v>
      </c>
      <c r="K42" s="183" t="s">
        <v>888</v>
      </c>
      <c r="L42" s="183" t="s">
        <v>74</v>
      </c>
      <c r="M42" s="183" t="s">
        <v>889</v>
      </c>
      <c r="N42" s="185">
        <v>9</v>
      </c>
      <c r="O42" s="186">
        <v>29</v>
      </c>
      <c r="P42" s="185">
        <v>1</v>
      </c>
      <c r="Q42" s="185">
        <v>29</v>
      </c>
      <c r="R42" s="183" t="s">
        <v>702</v>
      </c>
      <c r="S42" s="185">
        <v>1741</v>
      </c>
      <c r="T42" s="189">
        <f t="shared" si="0"/>
        <v>29.016666666666666</v>
      </c>
      <c r="U42" s="183" t="s">
        <v>703</v>
      </c>
      <c r="V42" s="183" t="s">
        <v>704</v>
      </c>
      <c r="W42" s="183" t="s">
        <v>890</v>
      </c>
      <c r="X42" s="183"/>
      <c r="Y42" s="183"/>
      <c r="Z42" s="183" t="s">
        <v>733</v>
      </c>
      <c r="AA42" s="183" t="s">
        <v>734</v>
      </c>
      <c r="AB42" s="183"/>
      <c r="AC42" s="183"/>
      <c r="AD42" s="183" t="s">
        <v>891</v>
      </c>
      <c r="AE42" s="183" t="s">
        <v>741</v>
      </c>
    </row>
    <row r="43" spans="1:31" ht="27.6">
      <c r="A43" s="183" t="s">
        <v>694</v>
      </c>
      <c r="B43" s="183" t="s">
        <v>58</v>
      </c>
      <c r="C43" s="183" t="s">
        <v>58</v>
      </c>
      <c r="D43" s="184" t="s">
        <v>830</v>
      </c>
      <c r="E43" s="183" t="s">
        <v>696</v>
      </c>
      <c r="F43" s="183" t="s">
        <v>697</v>
      </c>
      <c r="G43" s="183" t="s">
        <v>698</v>
      </c>
      <c r="H43" s="183" t="s">
        <v>4</v>
      </c>
      <c r="I43" s="183" t="s">
        <v>729</v>
      </c>
      <c r="J43" s="188">
        <v>46287</v>
      </c>
      <c r="K43" s="183" t="s">
        <v>892</v>
      </c>
      <c r="L43" s="183" t="s">
        <v>75</v>
      </c>
      <c r="M43" s="183" t="s">
        <v>893</v>
      </c>
      <c r="N43" s="185">
        <v>9</v>
      </c>
      <c r="O43" s="186">
        <v>22</v>
      </c>
      <c r="P43" s="185">
        <v>20</v>
      </c>
      <c r="Q43" s="185">
        <v>23</v>
      </c>
      <c r="R43" s="183" t="s">
        <v>702</v>
      </c>
      <c r="S43" s="185">
        <v>1340</v>
      </c>
      <c r="T43" s="189">
        <f t="shared" si="0"/>
        <v>22.333333333333332</v>
      </c>
      <c r="U43" s="183" t="s">
        <v>703</v>
      </c>
      <c r="V43" s="183" t="s">
        <v>704</v>
      </c>
      <c r="W43" s="183" t="s">
        <v>894</v>
      </c>
      <c r="X43" s="183"/>
      <c r="Y43" s="183"/>
      <c r="Z43" s="183" t="s">
        <v>733</v>
      </c>
      <c r="AA43" s="183" t="s">
        <v>734</v>
      </c>
      <c r="AB43" s="183"/>
      <c r="AC43" s="183"/>
      <c r="AD43" s="183" t="s">
        <v>895</v>
      </c>
      <c r="AE43" s="183" t="s">
        <v>741</v>
      </c>
    </row>
    <row r="44" spans="1:31" ht="27.6">
      <c r="A44" s="183" t="s">
        <v>694</v>
      </c>
      <c r="B44" s="183" t="s">
        <v>58</v>
      </c>
      <c r="C44" s="183" t="s">
        <v>58</v>
      </c>
      <c r="D44" s="184" t="s">
        <v>830</v>
      </c>
      <c r="E44" s="183" t="s">
        <v>696</v>
      </c>
      <c r="F44" s="183" t="s">
        <v>697</v>
      </c>
      <c r="G44" s="183" t="s">
        <v>698</v>
      </c>
      <c r="H44" s="183" t="s">
        <v>4</v>
      </c>
      <c r="I44" s="183" t="s">
        <v>729</v>
      </c>
      <c r="J44" s="188">
        <v>46287</v>
      </c>
      <c r="K44" s="183" t="s">
        <v>896</v>
      </c>
      <c r="L44" s="183" t="s">
        <v>76</v>
      </c>
      <c r="M44" s="183" t="s">
        <v>897</v>
      </c>
      <c r="N44" s="185">
        <v>9</v>
      </c>
      <c r="O44" s="186">
        <v>12</v>
      </c>
      <c r="P44" s="185">
        <v>35</v>
      </c>
      <c r="Q44" s="185">
        <v>13</v>
      </c>
      <c r="R44" s="183" t="s">
        <v>702</v>
      </c>
      <c r="S44" s="185">
        <v>755</v>
      </c>
      <c r="T44" s="189">
        <f t="shared" si="0"/>
        <v>12.583333333333334</v>
      </c>
      <c r="U44" s="183" t="s">
        <v>703</v>
      </c>
      <c r="V44" s="183" t="s">
        <v>704</v>
      </c>
      <c r="W44" s="183" t="s">
        <v>898</v>
      </c>
      <c r="X44" s="183"/>
      <c r="Y44" s="183"/>
      <c r="Z44" s="183" t="s">
        <v>733</v>
      </c>
      <c r="AA44" s="183" t="s">
        <v>734</v>
      </c>
      <c r="AB44" s="183"/>
      <c r="AC44" s="183"/>
      <c r="AD44" s="183" t="s">
        <v>899</v>
      </c>
      <c r="AE44" s="183" t="s">
        <v>741</v>
      </c>
    </row>
    <row r="45" spans="1:31" ht="27.6">
      <c r="A45" s="183" t="s">
        <v>694</v>
      </c>
      <c r="B45" s="183" t="s">
        <v>58</v>
      </c>
      <c r="C45" s="183" t="s">
        <v>58</v>
      </c>
      <c r="D45" s="184" t="s">
        <v>830</v>
      </c>
      <c r="E45" s="183" t="s">
        <v>696</v>
      </c>
      <c r="F45" s="183" t="s">
        <v>697</v>
      </c>
      <c r="G45" s="183" t="s">
        <v>698</v>
      </c>
      <c r="H45" s="183" t="s">
        <v>4</v>
      </c>
      <c r="I45" s="183" t="s">
        <v>729</v>
      </c>
      <c r="J45" s="188">
        <v>46287</v>
      </c>
      <c r="K45" s="183" t="s">
        <v>900</v>
      </c>
      <c r="L45" s="183" t="s">
        <v>77</v>
      </c>
      <c r="M45" s="183" t="s">
        <v>901</v>
      </c>
      <c r="N45" s="185">
        <v>9</v>
      </c>
      <c r="O45" s="186">
        <v>38</v>
      </c>
      <c r="P45" s="185">
        <v>20</v>
      </c>
      <c r="Q45" s="185">
        <v>39</v>
      </c>
      <c r="R45" s="183" t="s">
        <v>702</v>
      </c>
      <c r="S45" s="185">
        <v>2300</v>
      </c>
      <c r="T45" s="189">
        <f t="shared" si="0"/>
        <v>38.333333333333336</v>
      </c>
      <c r="U45" s="183" t="s">
        <v>703</v>
      </c>
      <c r="V45" s="183" t="s">
        <v>704</v>
      </c>
      <c r="W45" s="183" t="s">
        <v>902</v>
      </c>
      <c r="X45" s="183"/>
      <c r="Y45" s="183"/>
      <c r="Z45" s="183" t="s">
        <v>733</v>
      </c>
      <c r="AA45" s="183" t="s">
        <v>734</v>
      </c>
      <c r="AB45" s="183"/>
      <c r="AC45" s="183"/>
      <c r="AD45" s="183" t="s">
        <v>903</v>
      </c>
      <c r="AE45" s="183" t="s">
        <v>741</v>
      </c>
    </row>
    <row r="46" spans="1:31" ht="27.6">
      <c r="A46" s="183" t="s">
        <v>694</v>
      </c>
      <c r="B46" s="183" t="s">
        <v>58</v>
      </c>
      <c r="C46" s="183" t="s">
        <v>58</v>
      </c>
      <c r="D46" s="184" t="s">
        <v>830</v>
      </c>
      <c r="E46" s="183" t="s">
        <v>696</v>
      </c>
      <c r="F46" s="183" t="s">
        <v>697</v>
      </c>
      <c r="G46" s="183" t="s">
        <v>698</v>
      </c>
      <c r="H46" s="183" t="s">
        <v>4</v>
      </c>
      <c r="I46" s="183" t="s">
        <v>729</v>
      </c>
      <c r="J46" s="188">
        <v>46287</v>
      </c>
      <c r="K46" s="183" t="s">
        <v>904</v>
      </c>
      <c r="L46" s="183" t="s">
        <v>78</v>
      </c>
      <c r="M46" s="183" t="s">
        <v>905</v>
      </c>
      <c r="N46" s="185">
        <v>9</v>
      </c>
      <c r="O46" s="186">
        <v>60</v>
      </c>
      <c r="P46" s="185">
        <v>38</v>
      </c>
      <c r="Q46" s="185">
        <v>61</v>
      </c>
      <c r="R46" s="183" t="s">
        <v>702</v>
      </c>
      <c r="S46" s="185">
        <v>3638</v>
      </c>
      <c r="T46" s="189">
        <f t="shared" si="0"/>
        <v>60.633333333333333</v>
      </c>
      <c r="U46" s="183" t="s">
        <v>703</v>
      </c>
      <c r="V46" s="183" t="s">
        <v>704</v>
      </c>
      <c r="W46" s="183" t="s">
        <v>906</v>
      </c>
      <c r="X46" s="183"/>
      <c r="Y46" s="183"/>
      <c r="Z46" s="183" t="s">
        <v>733</v>
      </c>
      <c r="AA46" s="183" t="s">
        <v>734</v>
      </c>
      <c r="AB46" s="183"/>
      <c r="AC46" s="183"/>
      <c r="AD46" s="183" t="s">
        <v>907</v>
      </c>
      <c r="AE46" s="183" t="s">
        <v>741</v>
      </c>
    </row>
    <row r="47" spans="1:31" ht="27.6">
      <c r="A47" s="183" t="s">
        <v>694</v>
      </c>
      <c r="B47" s="183" t="s">
        <v>58</v>
      </c>
      <c r="C47" s="183" t="s">
        <v>58</v>
      </c>
      <c r="D47" s="184" t="s">
        <v>830</v>
      </c>
      <c r="E47" s="183" t="s">
        <v>696</v>
      </c>
      <c r="F47" s="183" t="s">
        <v>697</v>
      </c>
      <c r="G47" s="183" t="s">
        <v>698</v>
      </c>
      <c r="H47" s="183" t="s">
        <v>4</v>
      </c>
      <c r="I47" s="183" t="s">
        <v>729</v>
      </c>
      <c r="J47" s="188">
        <v>46287</v>
      </c>
      <c r="K47" s="183" t="s">
        <v>908</v>
      </c>
      <c r="L47" s="183" t="s">
        <v>79</v>
      </c>
      <c r="M47" s="183" t="s">
        <v>909</v>
      </c>
      <c r="N47" s="185">
        <v>9</v>
      </c>
      <c r="O47" s="186">
        <v>55</v>
      </c>
      <c r="P47" s="185">
        <v>3</v>
      </c>
      <c r="Q47" s="185">
        <v>55</v>
      </c>
      <c r="R47" s="183" t="s">
        <v>702</v>
      </c>
      <c r="S47" s="185">
        <v>3303</v>
      </c>
      <c r="T47" s="189">
        <f t="shared" si="0"/>
        <v>55.05</v>
      </c>
      <c r="U47" s="183" t="s">
        <v>703</v>
      </c>
      <c r="V47" s="183" t="s">
        <v>704</v>
      </c>
      <c r="W47" s="183" t="s">
        <v>910</v>
      </c>
      <c r="X47" s="183"/>
      <c r="Y47" s="183"/>
      <c r="Z47" s="183" t="s">
        <v>733</v>
      </c>
      <c r="AA47" s="183" t="s">
        <v>734</v>
      </c>
      <c r="AB47" s="183"/>
      <c r="AC47" s="183"/>
      <c r="AD47" s="183" t="s">
        <v>911</v>
      </c>
      <c r="AE47" s="183" t="s">
        <v>741</v>
      </c>
    </row>
    <row r="48" spans="1:31" ht="27.6">
      <c r="A48" s="183" t="s">
        <v>694</v>
      </c>
      <c r="B48" s="183" t="s">
        <v>58</v>
      </c>
      <c r="C48" s="183" t="s">
        <v>58</v>
      </c>
      <c r="D48" s="184" t="s">
        <v>830</v>
      </c>
      <c r="E48" s="183" t="s">
        <v>696</v>
      </c>
      <c r="F48" s="183" t="s">
        <v>697</v>
      </c>
      <c r="G48" s="183" t="s">
        <v>698</v>
      </c>
      <c r="H48" s="183" t="s">
        <v>4</v>
      </c>
      <c r="I48" s="183" t="s">
        <v>729</v>
      </c>
      <c r="J48" s="188">
        <v>46287</v>
      </c>
      <c r="K48" s="183" t="s">
        <v>912</v>
      </c>
      <c r="L48" s="183" t="s">
        <v>80</v>
      </c>
      <c r="M48" s="183" t="s">
        <v>913</v>
      </c>
      <c r="N48" s="185">
        <v>9</v>
      </c>
      <c r="O48" s="186">
        <v>22</v>
      </c>
      <c r="P48" s="185">
        <v>24</v>
      </c>
      <c r="Q48" s="185">
        <v>23</v>
      </c>
      <c r="R48" s="183" t="s">
        <v>702</v>
      </c>
      <c r="S48" s="185">
        <v>1344</v>
      </c>
      <c r="T48" s="189">
        <f t="shared" si="0"/>
        <v>22.4</v>
      </c>
      <c r="U48" s="183" t="s">
        <v>703</v>
      </c>
      <c r="V48" s="183" t="s">
        <v>704</v>
      </c>
      <c r="W48" s="183" t="s">
        <v>914</v>
      </c>
      <c r="X48" s="183"/>
      <c r="Y48" s="183"/>
      <c r="Z48" s="183" t="s">
        <v>733</v>
      </c>
      <c r="AA48" s="183" t="s">
        <v>734</v>
      </c>
      <c r="AB48" s="183"/>
      <c r="AC48" s="183"/>
      <c r="AD48" s="183" t="s">
        <v>915</v>
      </c>
      <c r="AE48" s="183" t="s">
        <v>741</v>
      </c>
    </row>
    <row r="49" spans="1:31" ht="27.6">
      <c r="A49" s="183" t="s">
        <v>694</v>
      </c>
      <c r="B49" s="183" t="s">
        <v>58</v>
      </c>
      <c r="C49" s="183" t="s">
        <v>58</v>
      </c>
      <c r="D49" s="184" t="s">
        <v>830</v>
      </c>
      <c r="E49" s="183" t="s">
        <v>696</v>
      </c>
      <c r="F49" s="183" t="s">
        <v>697</v>
      </c>
      <c r="G49" s="183" t="s">
        <v>698</v>
      </c>
      <c r="H49" s="183" t="s">
        <v>4</v>
      </c>
      <c r="I49" s="183" t="s">
        <v>729</v>
      </c>
      <c r="J49" s="188">
        <v>46287</v>
      </c>
      <c r="K49" s="183" t="s">
        <v>916</v>
      </c>
      <c r="L49" s="183" t="s">
        <v>46</v>
      </c>
      <c r="M49" s="183" t="s">
        <v>917</v>
      </c>
      <c r="N49" s="185">
        <v>9</v>
      </c>
      <c r="O49" s="186">
        <v>57</v>
      </c>
      <c r="P49" s="185">
        <v>0</v>
      </c>
      <c r="Q49" s="185">
        <v>58</v>
      </c>
      <c r="R49" s="183" t="s">
        <v>702</v>
      </c>
      <c r="S49" s="185">
        <v>3420</v>
      </c>
      <c r="T49" s="189">
        <f t="shared" si="0"/>
        <v>57</v>
      </c>
      <c r="U49" s="183" t="s">
        <v>703</v>
      </c>
      <c r="V49" s="183" t="s">
        <v>704</v>
      </c>
      <c r="W49" s="183" t="s">
        <v>918</v>
      </c>
      <c r="X49" s="183"/>
      <c r="Y49" s="183"/>
      <c r="Z49" s="183" t="s">
        <v>733</v>
      </c>
      <c r="AA49" s="183" t="s">
        <v>734</v>
      </c>
      <c r="AB49" s="183"/>
      <c r="AC49" s="183"/>
      <c r="AD49" s="183" t="s">
        <v>919</v>
      </c>
      <c r="AE49" s="183" t="s">
        <v>741</v>
      </c>
    </row>
    <row r="50" spans="1:31" ht="27.6">
      <c r="A50" s="183" t="s">
        <v>694</v>
      </c>
      <c r="B50" s="183" t="s">
        <v>58</v>
      </c>
      <c r="C50" s="183" t="s">
        <v>58</v>
      </c>
      <c r="D50" s="184" t="s">
        <v>830</v>
      </c>
      <c r="E50" s="183" t="s">
        <v>696</v>
      </c>
      <c r="F50" s="183" t="s">
        <v>697</v>
      </c>
      <c r="G50" s="183" t="s">
        <v>698</v>
      </c>
      <c r="H50" s="183" t="s">
        <v>4</v>
      </c>
      <c r="I50" s="183" t="s">
        <v>729</v>
      </c>
      <c r="J50" s="188">
        <v>46287</v>
      </c>
      <c r="K50" s="183" t="s">
        <v>920</v>
      </c>
      <c r="L50" s="183" t="s">
        <v>81</v>
      </c>
      <c r="M50" s="183" t="s">
        <v>921</v>
      </c>
      <c r="N50" s="185">
        <v>9</v>
      </c>
      <c r="O50" s="186">
        <v>90</v>
      </c>
      <c r="P50" s="185">
        <v>29</v>
      </c>
      <c r="Q50" s="185">
        <v>91</v>
      </c>
      <c r="R50" s="183" t="s">
        <v>702</v>
      </c>
      <c r="S50" s="185">
        <v>5429</v>
      </c>
      <c r="T50" s="189">
        <f t="shared" si="0"/>
        <v>90.483333333333334</v>
      </c>
      <c r="U50" s="183" t="s">
        <v>703</v>
      </c>
      <c r="V50" s="183" t="s">
        <v>704</v>
      </c>
      <c r="W50" s="183" t="s">
        <v>922</v>
      </c>
      <c r="X50" s="183"/>
      <c r="Y50" s="183"/>
      <c r="Z50" s="183" t="s">
        <v>733</v>
      </c>
      <c r="AA50" s="183" t="s">
        <v>734</v>
      </c>
      <c r="AB50" s="183"/>
      <c r="AC50" s="183"/>
      <c r="AD50" s="183" t="s">
        <v>923</v>
      </c>
      <c r="AE50" s="183" t="s">
        <v>741</v>
      </c>
    </row>
    <row r="51" spans="1:31" ht="27.6">
      <c r="A51" s="183" t="s">
        <v>694</v>
      </c>
      <c r="B51" s="183" t="s">
        <v>58</v>
      </c>
      <c r="C51" s="183" t="s">
        <v>58</v>
      </c>
      <c r="D51" s="184" t="s">
        <v>830</v>
      </c>
      <c r="E51" s="183" t="s">
        <v>696</v>
      </c>
      <c r="F51" s="183" t="s">
        <v>697</v>
      </c>
      <c r="G51" s="183" t="s">
        <v>698</v>
      </c>
      <c r="H51" s="183" t="s">
        <v>4</v>
      </c>
      <c r="I51" s="183" t="s">
        <v>729</v>
      </c>
      <c r="J51" s="188">
        <v>46287</v>
      </c>
      <c r="K51" s="183" t="s">
        <v>924</v>
      </c>
      <c r="L51" s="183" t="s">
        <v>82</v>
      </c>
      <c r="M51" s="183" t="s">
        <v>763</v>
      </c>
      <c r="N51" s="185">
        <v>9</v>
      </c>
      <c r="O51" s="186">
        <v>5</v>
      </c>
      <c r="P51" s="185">
        <v>22</v>
      </c>
      <c r="Q51" s="185">
        <v>6</v>
      </c>
      <c r="R51" s="183" t="s">
        <v>702</v>
      </c>
      <c r="S51" s="185">
        <v>322</v>
      </c>
      <c r="T51" s="189">
        <f t="shared" si="0"/>
        <v>5.3666666666666663</v>
      </c>
      <c r="U51" s="183" t="s">
        <v>703</v>
      </c>
      <c r="V51" s="183" t="s">
        <v>704</v>
      </c>
      <c r="W51" s="183" t="s">
        <v>925</v>
      </c>
      <c r="X51" s="183"/>
      <c r="Y51" s="183"/>
      <c r="Z51" s="183" t="s">
        <v>733</v>
      </c>
      <c r="AA51" s="183" t="s">
        <v>734</v>
      </c>
      <c r="AB51" s="183"/>
      <c r="AC51" s="183"/>
      <c r="AD51" s="183" t="s">
        <v>926</v>
      </c>
      <c r="AE51" s="183" t="s">
        <v>741</v>
      </c>
    </row>
    <row r="52" spans="1:31" ht="27.6">
      <c r="A52" s="183" t="s">
        <v>694</v>
      </c>
      <c r="B52" s="183" t="s">
        <v>58</v>
      </c>
      <c r="C52" s="183" t="s">
        <v>58</v>
      </c>
      <c r="D52" s="184" t="s">
        <v>830</v>
      </c>
      <c r="E52" s="183" t="s">
        <v>696</v>
      </c>
      <c r="F52" s="183" t="s">
        <v>697</v>
      </c>
      <c r="G52" s="183" t="s">
        <v>698</v>
      </c>
      <c r="H52" s="183" t="s">
        <v>4</v>
      </c>
      <c r="I52" s="183" t="s">
        <v>729</v>
      </c>
      <c r="J52" s="188">
        <v>46287</v>
      </c>
      <c r="K52" s="183" t="s">
        <v>927</v>
      </c>
      <c r="L52" s="183" t="s">
        <v>83</v>
      </c>
      <c r="M52" s="183" t="s">
        <v>763</v>
      </c>
      <c r="N52" s="185">
        <v>9</v>
      </c>
      <c r="O52" s="186">
        <v>9</v>
      </c>
      <c r="P52" s="185">
        <v>41</v>
      </c>
      <c r="Q52" s="185">
        <v>10</v>
      </c>
      <c r="R52" s="183" t="s">
        <v>702</v>
      </c>
      <c r="S52" s="185">
        <v>581</v>
      </c>
      <c r="T52" s="189">
        <f t="shared" si="0"/>
        <v>9.6833333333333336</v>
      </c>
      <c r="U52" s="183" t="s">
        <v>703</v>
      </c>
      <c r="V52" s="183" t="s">
        <v>704</v>
      </c>
      <c r="W52" s="183" t="s">
        <v>928</v>
      </c>
      <c r="X52" s="183"/>
      <c r="Y52" s="183"/>
      <c r="Z52" s="183" t="s">
        <v>733</v>
      </c>
      <c r="AA52" s="183" t="s">
        <v>734</v>
      </c>
      <c r="AB52" s="183"/>
      <c r="AC52" s="183"/>
      <c r="AD52" s="183" t="s">
        <v>929</v>
      </c>
      <c r="AE52" s="183" t="s">
        <v>741</v>
      </c>
    </row>
    <row r="53" spans="1:31" ht="27.6">
      <c r="A53" s="183" t="s">
        <v>694</v>
      </c>
      <c r="B53" s="183" t="s">
        <v>58</v>
      </c>
      <c r="C53" s="183" t="s">
        <v>58</v>
      </c>
      <c r="D53" s="184" t="s">
        <v>830</v>
      </c>
      <c r="E53" s="183" t="s">
        <v>696</v>
      </c>
      <c r="F53" s="183" t="s">
        <v>697</v>
      </c>
      <c r="G53" s="183" t="s">
        <v>698</v>
      </c>
      <c r="H53" s="183" t="s">
        <v>4</v>
      </c>
      <c r="I53" s="183" t="s">
        <v>729</v>
      </c>
      <c r="J53" s="188">
        <v>46287</v>
      </c>
      <c r="K53" s="183" t="s">
        <v>930</v>
      </c>
      <c r="L53" s="183" t="s">
        <v>84</v>
      </c>
      <c r="M53" s="183" t="s">
        <v>931</v>
      </c>
      <c r="N53" s="185">
        <v>9</v>
      </c>
      <c r="O53" s="186">
        <v>3</v>
      </c>
      <c r="P53" s="185">
        <v>56</v>
      </c>
      <c r="Q53" s="185">
        <v>4</v>
      </c>
      <c r="R53" s="183" t="s">
        <v>702</v>
      </c>
      <c r="S53" s="185">
        <v>236</v>
      </c>
      <c r="T53" s="189">
        <f t="shared" si="0"/>
        <v>3.9333333333333331</v>
      </c>
      <c r="U53" s="183" t="s">
        <v>703</v>
      </c>
      <c r="V53" s="183" t="s">
        <v>704</v>
      </c>
      <c r="W53" s="183" t="s">
        <v>932</v>
      </c>
      <c r="X53" s="183"/>
      <c r="Y53" s="183"/>
      <c r="Z53" s="183" t="s">
        <v>733</v>
      </c>
      <c r="AA53" s="183" t="s">
        <v>734</v>
      </c>
      <c r="AB53" s="183"/>
      <c r="AC53" s="183"/>
      <c r="AD53" s="183" t="s">
        <v>933</v>
      </c>
      <c r="AE53" s="183" t="s">
        <v>741</v>
      </c>
    </row>
    <row r="54" spans="1:31" ht="27.6">
      <c r="A54" s="183" t="s">
        <v>694</v>
      </c>
      <c r="B54" s="183" t="s">
        <v>58</v>
      </c>
      <c r="C54" s="183" t="s">
        <v>58</v>
      </c>
      <c r="D54" s="184" t="s">
        <v>830</v>
      </c>
      <c r="E54" s="183" t="s">
        <v>696</v>
      </c>
      <c r="F54" s="183" t="s">
        <v>697</v>
      </c>
      <c r="G54" s="183" t="s">
        <v>698</v>
      </c>
      <c r="H54" s="183" t="s">
        <v>4</v>
      </c>
      <c r="I54" s="183" t="s">
        <v>729</v>
      </c>
      <c r="J54" s="188">
        <v>46287</v>
      </c>
      <c r="K54" s="183" t="s">
        <v>934</v>
      </c>
      <c r="L54" s="183" t="s">
        <v>85</v>
      </c>
      <c r="M54" s="183" t="s">
        <v>935</v>
      </c>
      <c r="N54" s="185">
        <v>9</v>
      </c>
      <c r="O54" s="186">
        <v>4</v>
      </c>
      <c r="P54" s="185">
        <v>30</v>
      </c>
      <c r="Q54" s="185">
        <v>5</v>
      </c>
      <c r="R54" s="183" t="s">
        <v>702</v>
      </c>
      <c r="S54" s="185">
        <v>270</v>
      </c>
      <c r="T54" s="189">
        <f t="shared" si="0"/>
        <v>4.5</v>
      </c>
      <c r="U54" s="183" t="s">
        <v>703</v>
      </c>
      <c r="V54" s="183" t="s">
        <v>704</v>
      </c>
      <c r="W54" s="183" t="s">
        <v>936</v>
      </c>
      <c r="X54" s="183"/>
      <c r="Y54" s="183"/>
      <c r="Z54" s="183" t="s">
        <v>733</v>
      </c>
      <c r="AA54" s="183" t="s">
        <v>734</v>
      </c>
      <c r="AB54" s="183"/>
      <c r="AC54" s="183"/>
      <c r="AD54" s="183" t="s">
        <v>937</v>
      </c>
      <c r="AE54" s="183" t="s">
        <v>736</v>
      </c>
    </row>
    <row r="55" spans="1:31" ht="27.6">
      <c r="A55" s="183" t="s">
        <v>694</v>
      </c>
      <c r="B55" s="183" t="s">
        <v>58</v>
      </c>
      <c r="C55" s="183" t="s">
        <v>58</v>
      </c>
      <c r="D55" s="184" t="s">
        <v>830</v>
      </c>
      <c r="E55" s="183" t="s">
        <v>696</v>
      </c>
      <c r="F55" s="183" t="s">
        <v>697</v>
      </c>
      <c r="G55" s="183" t="s">
        <v>698</v>
      </c>
      <c r="H55" s="183" t="s">
        <v>4</v>
      </c>
      <c r="I55" s="183" t="s">
        <v>729</v>
      </c>
      <c r="J55" s="188">
        <v>46287</v>
      </c>
      <c r="K55" s="183" t="s">
        <v>938</v>
      </c>
      <c r="L55" s="183" t="s">
        <v>86</v>
      </c>
      <c r="M55" s="183" t="s">
        <v>763</v>
      </c>
      <c r="N55" s="185">
        <v>9</v>
      </c>
      <c r="O55" s="186">
        <v>17</v>
      </c>
      <c r="P55" s="185">
        <v>54</v>
      </c>
      <c r="Q55" s="185">
        <v>18</v>
      </c>
      <c r="R55" s="183" t="s">
        <v>702</v>
      </c>
      <c r="S55" s="185">
        <v>1074</v>
      </c>
      <c r="T55" s="189">
        <f t="shared" si="0"/>
        <v>17.899999999999999</v>
      </c>
      <c r="U55" s="183" t="s">
        <v>703</v>
      </c>
      <c r="V55" s="183" t="s">
        <v>704</v>
      </c>
      <c r="W55" s="183" t="s">
        <v>939</v>
      </c>
      <c r="X55" s="183"/>
      <c r="Y55" s="183"/>
      <c r="Z55" s="183" t="s">
        <v>733</v>
      </c>
      <c r="AA55" s="183" t="s">
        <v>734</v>
      </c>
      <c r="AB55" s="183" t="s">
        <v>940</v>
      </c>
      <c r="AC55" s="183"/>
      <c r="AD55" s="183" t="s">
        <v>941</v>
      </c>
      <c r="AE55" s="183" t="s">
        <v>741</v>
      </c>
    </row>
    <row r="56" spans="1:31" ht="27.6">
      <c r="A56" s="183" t="s">
        <v>694</v>
      </c>
      <c r="B56" s="183" t="s">
        <v>58</v>
      </c>
      <c r="C56" s="183" t="s">
        <v>58</v>
      </c>
      <c r="D56" s="184" t="s">
        <v>830</v>
      </c>
      <c r="E56" s="183" t="s">
        <v>696</v>
      </c>
      <c r="F56" s="183" t="s">
        <v>697</v>
      </c>
      <c r="G56" s="183" t="s">
        <v>698</v>
      </c>
      <c r="H56" s="183" t="s">
        <v>4</v>
      </c>
      <c r="I56" s="183" t="s">
        <v>729</v>
      </c>
      <c r="J56" s="188">
        <v>46287</v>
      </c>
      <c r="K56" s="183" t="s">
        <v>942</v>
      </c>
      <c r="L56" s="183" t="s">
        <v>87</v>
      </c>
      <c r="M56" s="183" t="s">
        <v>763</v>
      </c>
      <c r="N56" s="185">
        <v>9</v>
      </c>
      <c r="O56" s="186">
        <v>21</v>
      </c>
      <c r="P56" s="185">
        <v>41</v>
      </c>
      <c r="Q56" s="185">
        <v>22</v>
      </c>
      <c r="R56" s="183" t="s">
        <v>702</v>
      </c>
      <c r="S56" s="185">
        <v>1301</v>
      </c>
      <c r="T56" s="189">
        <f t="shared" si="0"/>
        <v>21.683333333333334</v>
      </c>
      <c r="U56" s="183" t="s">
        <v>703</v>
      </c>
      <c r="V56" s="183" t="s">
        <v>704</v>
      </c>
      <c r="W56" s="183" t="s">
        <v>943</v>
      </c>
      <c r="X56" s="183"/>
      <c r="Y56" s="183"/>
      <c r="Z56" s="183" t="s">
        <v>733</v>
      </c>
      <c r="AA56" s="183" t="s">
        <v>734</v>
      </c>
      <c r="AB56" s="183" t="s">
        <v>944</v>
      </c>
      <c r="AC56" s="183"/>
      <c r="AD56" s="183" t="s">
        <v>945</v>
      </c>
      <c r="AE56" s="183" t="s">
        <v>736</v>
      </c>
    </row>
    <row r="57" spans="1:31" ht="27.6">
      <c r="A57" s="183" t="s">
        <v>694</v>
      </c>
      <c r="B57" s="183" t="s">
        <v>58</v>
      </c>
      <c r="C57" s="183" t="s">
        <v>58</v>
      </c>
      <c r="D57" s="184" t="s">
        <v>830</v>
      </c>
      <c r="E57" s="183" t="s">
        <v>696</v>
      </c>
      <c r="F57" s="183" t="s">
        <v>697</v>
      </c>
      <c r="G57" s="183" t="s">
        <v>698</v>
      </c>
      <c r="H57" s="183" t="s">
        <v>4</v>
      </c>
      <c r="I57" s="183" t="s">
        <v>729</v>
      </c>
      <c r="J57" s="188">
        <v>46287</v>
      </c>
      <c r="K57" s="183" t="s">
        <v>946</v>
      </c>
      <c r="L57" s="183" t="s">
        <v>88</v>
      </c>
      <c r="M57" s="183" t="s">
        <v>947</v>
      </c>
      <c r="N57" s="185">
        <v>9</v>
      </c>
      <c r="O57" s="186">
        <v>3</v>
      </c>
      <c r="P57" s="185">
        <v>24</v>
      </c>
      <c r="Q57" s="185">
        <v>4</v>
      </c>
      <c r="R57" s="183" t="s">
        <v>702</v>
      </c>
      <c r="S57" s="185">
        <v>204</v>
      </c>
      <c r="T57" s="189">
        <f t="shared" si="0"/>
        <v>3.4</v>
      </c>
      <c r="U57" s="183" t="s">
        <v>703</v>
      </c>
      <c r="V57" s="183" t="s">
        <v>704</v>
      </c>
      <c r="W57" s="183" t="s">
        <v>948</v>
      </c>
      <c r="X57" s="183"/>
      <c r="Y57" s="183"/>
      <c r="Z57" s="183" t="s">
        <v>733</v>
      </c>
      <c r="AA57" s="183" t="s">
        <v>734</v>
      </c>
      <c r="AB57" s="183"/>
      <c r="AC57" s="183"/>
      <c r="AD57" s="183" t="s">
        <v>949</v>
      </c>
      <c r="AE57" s="183" t="s">
        <v>741</v>
      </c>
    </row>
    <row r="58" spans="1:31" ht="27.6">
      <c r="A58" s="183" t="s">
        <v>694</v>
      </c>
      <c r="B58" s="183" t="s">
        <v>58</v>
      </c>
      <c r="C58" s="183" t="s">
        <v>58</v>
      </c>
      <c r="D58" s="184" t="s">
        <v>830</v>
      </c>
      <c r="E58" s="183" t="s">
        <v>696</v>
      </c>
      <c r="F58" s="183" t="s">
        <v>697</v>
      </c>
      <c r="G58" s="183" t="s">
        <v>698</v>
      </c>
      <c r="H58" s="183" t="s">
        <v>4</v>
      </c>
      <c r="I58" s="183" t="s">
        <v>729</v>
      </c>
      <c r="J58" s="188">
        <v>46287</v>
      </c>
      <c r="K58" s="183" t="s">
        <v>950</v>
      </c>
      <c r="L58" s="183" t="s">
        <v>89</v>
      </c>
      <c r="M58" s="183" t="s">
        <v>951</v>
      </c>
      <c r="N58" s="185">
        <v>9</v>
      </c>
      <c r="O58" s="186">
        <v>9</v>
      </c>
      <c r="P58" s="185">
        <v>1</v>
      </c>
      <c r="Q58" s="185">
        <v>9</v>
      </c>
      <c r="R58" s="183" t="s">
        <v>702</v>
      </c>
      <c r="S58" s="185">
        <v>541</v>
      </c>
      <c r="T58" s="189">
        <f t="shared" si="0"/>
        <v>9.0166666666666675</v>
      </c>
      <c r="U58" s="183" t="s">
        <v>703</v>
      </c>
      <c r="V58" s="183" t="s">
        <v>704</v>
      </c>
      <c r="W58" s="183" t="s">
        <v>952</v>
      </c>
      <c r="X58" s="183"/>
      <c r="Y58" s="183"/>
      <c r="Z58" s="183" t="s">
        <v>733</v>
      </c>
      <c r="AA58" s="183" t="s">
        <v>734</v>
      </c>
      <c r="AB58" s="183" t="s">
        <v>821</v>
      </c>
      <c r="AC58" s="183"/>
      <c r="AD58" s="183" t="s">
        <v>953</v>
      </c>
      <c r="AE58" s="183" t="s">
        <v>741</v>
      </c>
    </row>
    <row r="59" spans="1:31" ht="27.6">
      <c r="A59" s="183" t="s">
        <v>694</v>
      </c>
      <c r="B59" s="183" t="s">
        <v>58</v>
      </c>
      <c r="C59" s="183" t="s">
        <v>58</v>
      </c>
      <c r="D59" s="184" t="s">
        <v>830</v>
      </c>
      <c r="E59" s="183" t="s">
        <v>696</v>
      </c>
      <c r="F59" s="183" t="s">
        <v>697</v>
      </c>
      <c r="G59" s="183" t="s">
        <v>698</v>
      </c>
      <c r="H59" s="183" t="s">
        <v>4</v>
      </c>
      <c r="I59" s="183" t="s">
        <v>729</v>
      </c>
      <c r="J59" s="188">
        <v>46287</v>
      </c>
      <c r="K59" s="183" t="s">
        <v>954</v>
      </c>
      <c r="L59" s="183" t="s">
        <v>90</v>
      </c>
      <c r="M59" s="183" t="s">
        <v>917</v>
      </c>
      <c r="N59" s="185">
        <v>9</v>
      </c>
      <c r="O59" s="186">
        <v>74</v>
      </c>
      <c r="P59" s="185">
        <v>20</v>
      </c>
      <c r="Q59" s="185">
        <v>75</v>
      </c>
      <c r="R59" s="183" t="s">
        <v>702</v>
      </c>
      <c r="S59" s="185">
        <v>4460</v>
      </c>
      <c r="T59" s="189">
        <f t="shared" si="0"/>
        <v>74.333333333333329</v>
      </c>
      <c r="U59" s="183" t="s">
        <v>703</v>
      </c>
      <c r="V59" s="183" t="s">
        <v>704</v>
      </c>
      <c r="W59" s="183" t="s">
        <v>955</v>
      </c>
      <c r="X59" s="183"/>
      <c r="Y59" s="183"/>
      <c r="Z59" s="183" t="s">
        <v>733</v>
      </c>
      <c r="AA59" s="183" t="s">
        <v>734</v>
      </c>
      <c r="AB59" s="183" t="s">
        <v>821</v>
      </c>
      <c r="AC59" s="183"/>
      <c r="AD59" s="183" t="s">
        <v>956</v>
      </c>
      <c r="AE59" s="183" t="s">
        <v>741</v>
      </c>
    </row>
    <row r="60" spans="1:31" ht="27.6">
      <c r="A60" s="183" t="s">
        <v>694</v>
      </c>
      <c r="B60" s="183" t="s">
        <v>58</v>
      </c>
      <c r="C60" s="183" t="s">
        <v>58</v>
      </c>
      <c r="D60" s="184" t="s">
        <v>830</v>
      </c>
      <c r="E60" s="183" t="s">
        <v>696</v>
      </c>
      <c r="F60" s="183" t="s">
        <v>697</v>
      </c>
      <c r="G60" s="183" t="s">
        <v>698</v>
      </c>
      <c r="H60" s="183" t="s">
        <v>4</v>
      </c>
      <c r="I60" s="183" t="s">
        <v>729</v>
      </c>
      <c r="J60" s="188">
        <v>46287</v>
      </c>
      <c r="K60" s="183" t="s">
        <v>957</v>
      </c>
      <c r="L60" s="183" t="s">
        <v>91</v>
      </c>
      <c r="M60" s="183" t="s">
        <v>958</v>
      </c>
      <c r="N60" s="185">
        <v>9</v>
      </c>
      <c r="O60" s="186">
        <v>9</v>
      </c>
      <c r="P60" s="185">
        <v>53</v>
      </c>
      <c r="Q60" s="185">
        <v>10</v>
      </c>
      <c r="R60" s="183" t="s">
        <v>702</v>
      </c>
      <c r="S60" s="185">
        <v>593</v>
      </c>
      <c r="T60" s="189">
        <f t="shared" si="0"/>
        <v>9.8833333333333329</v>
      </c>
      <c r="U60" s="183" t="s">
        <v>703</v>
      </c>
      <c r="V60" s="183" t="s">
        <v>704</v>
      </c>
      <c r="W60" s="183" t="s">
        <v>959</v>
      </c>
      <c r="X60" s="183"/>
      <c r="Y60" s="183"/>
      <c r="Z60" s="183" t="s">
        <v>733</v>
      </c>
      <c r="AA60" s="183" t="s">
        <v>734</v>
      </c>
      <c r="AB60" s="183"/>
      <c r="AC60" s="183"/>
      <c r="AD60" s="183" t="s">
        <v>960</v>
      </c>
      <c r="AE60" s="183" t="s">
        <v>741</v>
      </c>
    </row>
    <row r="61" spans="1:31" ht="27.6" hidden="1">
      <c r="A61" s="183" t="s">
        <v>694</v>
      </c>
      <c r="B61" s="183" t="s">
        <v>58</v>
      </c>
      <c r="C61" s="183" t="s">
        <v>58</v>
      </c>
      <c r="D61" s="184" t="s">
        <v>830</v>
      </c>
      <c r="E61" s="183" t="s">
        <v>696</v>
      </c>
      <c r="F61" s="183" t="s">
        <v>697</v>
      </c>
      <c r="G61" s="183" t="s">
        <v>698</v>
      </c>
      <c r="H61" s="183" t="s">
        <v>1</v>
      </c>
      <c r="I61" s="183" t="s">
        <v>961</v>
      </c>
      <c r="J61" s="188">
        <v>46294</v>
      </c>
      <c r="K61" s="183" t="s">
        <v>962</v>
      </c>
      <c r="L61" s="183" t="s">
        <v>92</v>
      </c>
      <c r="M61" s="183" t="s">
        <v>963</v>
      </c>
      <c r="N61" s="185">
        <v>2</v>
      </c>
      <c r="O61" s="186">
        <v>59</v>
      </c>
      <c r="P61" s="185">
        <v>51.9</v>
      </c>
      <c r="Q61" s="185">
        <v>69</v>
      </c>
      <c r="R61" s="183" t="s">
        <v>702</v>
      </c>
      <c r="S61" s="185">
        <v>3591.9</v>
      </c>
      <c r="T61" s="189">
        <f t="shared" si="0"/>
        <v>59.865000000000002</v>
      </c>
      <c r="U61" s="183" t="s">
        <v>703</v>
      </c>
      <c r="V61" s="183" t="s">
        <v>526</v>
      </c>
      <c r="W61" s="183"/>
      <c r="X61" s="183"/>
      <c r="Y61" s="183"/>
      <c r="Z61" s="183" t="s">
        <v>733</v>
      </c>
      <c r="AA61" s="183" t="s">
        <v>734</v>
      </c>
      <c r="AB61" s="183"/>
      <c r="AC61" s="183"/>
      <c r="AD61" s="183" t="s">
        <v>964</v>
      </c>
      <c r="AE61" s="183" t="s">
        <v>741</v>
      </c>
    </row>
    <row r="62" spans="1:31" ht="27.6" hidden="1">
      <c r="A62" s="183" t="s">
        <v>694</v>
      </c>
      <c r="B62" s="183" t="s">
        <v>58</v>
      </c>
      <c r="C62" s="183" t="s">
        <v>58</v>
      </c>
      <c r="D62" s="184" t="s">
        <v>830</v>
      </c>
      <c r="E62" s="183" t="s">
        <v>696</v>
      </c>
      <c r="F62" s="183" t="s">
        <v>697</v>
      </c>
      <c r="G62" s="183" t="s">
        <v>698</v>
      </c>
      <c r="H62" s="183" t="s">
        <v>1</v>
      </c>
      <c r="I62" s="183" t="s">
        <v>965</v>
      </c>
      <c r="J62" s="188">
        <v>46294</v>
      </c>
      <c r="K62" s="183" t="s">
        <v>966</v>
      </c>
      <c r="L62" s="183" t="s">
        <v>93</v>
      </c>
      <c r="M62" s="183" t="s">
        <v>967</v>
      </c>
      <c r="N62" s="185">
        <v>2</v>
      </c>
      <c r="O62" s="186">
        <v>76</v>
      </c>
      <c r="P62" s="185">
        <v>48.6</v>
      </c>
      <c r="Q62" s="185">
        <v>76</v>
      </c>
      <c r="R62" s="183" t="s">
        <v>702</v>
      </c>
      <c r="S62" s="185">
        <v>4608.6000000000004</v>
      </c>
      <c r="T62" s="189">
        <f t="shared" si="0"/>
        <v>76.81</v>
      </c>
      <c r="U62" s="183" t="s">
        <v>703</v>
      </c>
      <c r="V62" s="183" t="s">
        <v>526</v>
      </c>
      <c r="W62" s="183"/>
      <c r="X62" s="183"/>
      <c r="Y62" s="183"/>
      <c r="Z62" s="183" t="s">
        <v>733</v>
      </c>
      <c r="AA62" s="183" t="s">
        <v>734</v>
      </c>
      <c r="AB62" s="183"/>
      <c r="AC62" s="183"/>
      <c r="AD62" s="183" t="s">
        <v>968</v>
      </c>
      <c r="AE62" s="183" t="s">
        <v>741</v>
      </c>
    </row>
    <row r="63" spans="1:31" ht="27.6" hidden="1">
      <c r="A63" s="183" t="s">
        <v>694</v>
      </c>
      <c r="B63" s="183" t="s">
        <v>58</v>
      </c>
      <c r="C63" s="183" t="s">
        <v>58</v>
      </c>
      <c r="D63" s="184" t="s">
        <v>830</v>
      </c>
      <c r="E63" s="183" t="s">
        <v>696</v>
      </c>
      <c r="F63" s="183" t="s">
        <v>697</v>
      </c>
      <c r="G63" s="183" t="s">
        <v>698</v>
      </c>
      <c r="H63" s="183" t="s">
        <v>1</v>
      </c>
      <c r="I63" s="183" t="s">
        <v>969</v>
      </c>
      <c r="J63" s="188">
        <v>46294</v>
      </c>
      <c r="K63" s="183" t="s">
        <v>970</v>
      </c>
      <c r="L63" s="183" t="s">
        <v>94</v>
      </c>
      <c r="M63" s="183" t="s">
        <v>971</v>
      </c>
      <c r="N63" s="185">
        <v>2</v>
      </c>
      <c r="O63" s="186">
        <v>23</v>
      </c>
      <c r="P63" s="185">
        <v>7.4</v>
      </c>
      <c r="Q63" s="185">
        <v>24</v>
      </c>
      <c r="R63" s="183" t="s">
        <v>702</v>
      </c>
      <c r="S63" s="185">
        <v>1387.4</v>
      </c>
      <c r="T63" s="189">
        <f t="shared" si="0"/>
        <v>23.123333333333335</v>
      </c>
      <c r="U63" s="183" t="s">
        <v>703</v>
      </c>
      <c r="V63" s="183" t="s">
        <v>526</v>
      </c>
      <c r="W63" s="183"/>
      <c r="X63" s="183"/>
      <c r="Y63" s="183"/>
      <c r="Z63" s="183" t="s">
        <v>733</v>
      </c>
      <c r="AA63" s="183" t="s">
        <v>734</v>
      </c>
      <c r="AB63" s="183"/>
      <c r="AC63" s="183"/>
      <c r="AD63" s="183" t="s">
        <v>972</v>
      </c>
      <c r="AE63" s="183" t="s">
        <v>741</v>
      </c>
    </row>
    <row r="64" spans="1:31" ht="27.6" hidden="1">
      <c r="A64" s="183" t="s">
        <v>694</v>
      </c>
      <c r="B64" s="183" t="s">
        <v>58</v>
      </c>
      <c r="C64" s="183" t="s">
        <v>58</v>
      </c>
      <c r="D64" s="184" t="s">
        <v>830</v>
      </c>
      <c r="E64" s="183" t="s">
        <v>696</v>
      </c>
      <c r="F64" s="183" t="s">
        <v>697</v>
      </c>
      <c r="G64" s="183" t="s">
        <v>698</v>
      </c>
      <c r="H64" s="183" t="s">
        <v>1</v>
      </c>
      <c r="I64" s="183" t="s">
        <v>973</v>
      </c>
      <c r="J64" s="188">
        <v>46294</v>
      </c>
      <c r="K64" s="183" t="s">
        <v>974</v>
      </c>
      <c r="L64" s="183" t="s">
        <v>95</v>
      </c>
      <c r="M64" s="183" t="s">
        <v>975</v>
      </c>
      <c r="N64" s="185">
        <v>2</v>
      </c>
      <c r="O64" s="186">
        <v>36</v>
      </c>
      <c r="P64" s="185">
        <v>15.7</v>
      </c>
      <c r="Q64" s="185">
        <v>37</v>
      </c>
      <c r="R64" s="183" t="s">
        <v>702</v>
      </c>
      <c r="S64" s="185">
        <v>2175.6999999999998</v>
      </c>
      <c r="T64" s="189">
        <f t="shared" si="0"/>
        <v>36.261666666666663</v>
      </c>
      <c r="U64" s="183" t="s">
        <v>703</v>
      </c>
      <c r="V64" s="183" t="s">
        <v>526</v>
      </c>
      <c r="W64" s="183"/>
      <c r="X64" s="183"/>
      <c r="Y64" s="183"/>
      <c r="Z64" s="183" t="s">
        <v>733</v>
      </c>
      <c r="AA64" s="183" t="s">
        <v>734</v>
      </c>
      <c r="AB64" s="183"/>
      <c r="AC64" s="183"/>
      <c r="AD64" s="183" t="s">
        <v>976</v>
      </c>
      <c r="AE64" s="183" t="s">
        <v>741</v>
      </c>
    </row>
    <row r="65" spans="1:31" ht="27.6" hidden="1">
      <c r="A65" s="183" t="s">
        <v>694</v>
      </c>
      <c r="B65" s="183" t="s">
        <v>58</v>
      </c>
      <c r="C65" s="183" t="s">
        <v>58</v>
      </c>
      <c r="D65" s="184" t="s">
        <v>830</v>
      </c>
      <c r="E65" s="183" t="s">
        <v>696</v>
      </c>
      <c r="F65" s="183" t="s">
        <v>697</v>
      </c>
      <c r="G65" s="183" t="s">
        <v>698</v>
      </c>
      <c r="H65" s="183" t="s">
        <v>1</v>
      </c>
      <c r="I65" s="183" t="s">
        <v>977</v>
      </c>
      <c r="J65" s="188">
        <v>46293</v>
      </c>
      <c r="K65" s="183" t="s">
        <v>978</v>
      </c>
      <c r="L65" s="183" t="s">
        <v>96</v>
      </c>
      <c r="M65" s="183" t="s">
        <v>979</v>
      </c>
      <c r="N65" s="185">
        <v>3</v>
      </c>
      <c r="O65" s="186">
        <v>15</v>
      </c>
      <c r="P65" s="185">
        <v>28.6</v>
      </c>
      <c r="Q65" s="185">
        <v>16</v>
      </c>
      <c r="R65" s="183" t="s">
        <v>702</v>
      </c>
      <c r="S65" s="185">
        <v>928.6</v>
      </c>
      <c r="T65" s="189">
        <f t="shared" si="0"/>
        <v>15.476666666666667</v>
      </c>
      <c r="U65" s="183" t="s">
        <v>703</v>
      </c>
      <c r="V65" s="183" t="s">
        <v>526</v>
      </c>
      <c r="W65" s="183"/>
      <c r="X65" s="183"/>
      <c r="Y65" s="183"/>
      <c r="Z65" s="183" t="s">
        <v>733</v>
      </c>
      <c r="AA65" s="183" t="s">
        <v>734</v>
      </c>
      <c r="AB65" s="183"/>
      <c r="AC65" s="183"/>
      <c r="AD65" s="183" t="s">
        <v>980</v>
      </c>
      <c r="AE65" s="183" t="s">
        <v>741</v>
      </c>
    </row>
    <row r="66" spans="1:31" ht="27.6" hidden="1">
      <c r="A66" s="183" t="s">
        <v>694</v>
      </c>
      <c r="B66" s="183" t="s">
        <v>58</v>
      </c>
      <c r="C66" s="183" t="s">
        <v>58</v>
      </c>
      <c r="D66" s="184" t="s">
        <v>830</v>
      </c>
      <c r="E66" s="183" t="s">
        <v>696</v>
      </c>
      <c r="F66" s="183" t="s">
        <v>697</v>
      </c>
      <c r="G66" s="183" t="s">
        <v>698</v>
      </c>
      <c r="H66" s="183" t="s">
        <v>1</v>
      </c>
      <c r="I66" s="183" t="s">
        <v>981</v>
      </c>
      <c r="J66" s="188">
        <v>46293</v>
      </c>
      <c r="K66" s="183" t="s">
        <v>982</v>
      </c>
      <c r="L66" s="183" t="s">
        <v>97</v>
      </c>
      <c r="M66" s="183" t="s">
        <v>983</v>
      </c>
      <c r="N66" s="185">
        <v>3</v>
      </c>
      <c r="O66" s="186">
        <v>36</v>
      </c>
      <c r="P66" s="185">
        <v>21.7</v>
      </c>
      <c r="Q66" s="185">
        <v>37</v>
      </c>
      <c r="R66" s="183" t="s">
        <v>702</v>
      </c>
      <c r="S66" s="185">
        <v>2181.6999999999998</v>
      </c>
      <c r="T66" s="189">
        <f t="shared" si="0"/>
        <v>36.361666666666665</v>
      </c>
      <c r="U66" s="183" t="s">
        <v>703</v>
      </c>
      <c r="V66" s="183" t="s">
        <v>526</v>
      </c>
      <c r="W66" s="183"/>
      <c r="X66" s="183"/>
      <c r="Y66" s="183"/>
      <c r="Z66" s="183" t="s">
        <v>733</v>
      </c>
      <c r="AA66" s="183" t="s">
        <v>734</v>
      </c>
      <c r="AB66" s="183"/>
      <c r="AC66" s="183"/>
      <c r="AD66" s="183" t="s">
        <v>984</v>
      </c>
      <c r="AE66" s="183" t="s">
        <v>741</v>
      </c>
    </row>
    <row r="67" spans="1:31" ht="27.6" hidden="1">
      <c r="A67" s="183" t="s">
        <v>694</v>
      </c>
      <c r="B67" s="183" t="s">
        <v>58</v>
      </c>
      <c r="C67" s="183" t="s">
        <v>58</v>
      </c>
      <c r="D67" s="184" t="s">
        <v>830</v>
      </c>
      <c r="E67" s="183" t="s">
        <v>696</v>
      </c>
      <c r="F67" s="183" t="s">
        <v>697</v>
      </c>
      <c r="G67" s="183" t="s">
        <v>698</v>
      </c>
      <c r="H67" s="183" t="s">
        <v>1</v>
      </c>
      <c r="I67" s="183" t="s">
        <v>985</v>
      </c>
      <c r="J67" s="188">
        <v>46293</v>
      </c>
      <c r="K67" s="183" t="s">
        <v>986</v>
      </c>
      <c r="L67" s="183" t="s">
        <v>98</v>
      </c>
      <c r="M67" s="183" t="s">
        <v>987</v>
      </c>
      <c r="N67" s="185">
        <v>3</v>
      </c>
      <c r="O67" s="186">
        <v>26</v>
      </c>
      <c r="P67" s="185">
        <v>35.700000000000003</v>
      </c>
      <c r="Q67" s="185">
        <v>27</v>
      </c>
      <c r="R67" s="183" t="s">
        <v>702</v>
      </c>
      <c r="S67" s="185">
        <v>1595.7</v>
      </c>
      <c r="T67" s="189">
        <f t="shared" ref="T67:T130" si="1">S67/60</f>
        <v>26.595000000000002</v>
      </c>
      <c r="U67" s="183" t="s">
        <v>703</v>
      </c>
      <c r="V67" s="183" t="s">
        <v>526</v>
      </c>
      <c r="W67" s="183"/>
      <c r="X67" s="183"/>
      <c r="Y67" s="183"/>
      <c r="Z67" s="183" t="s">
        <v>733</v>
      </c>
      <c r="AA67" s="183" t="s">
        <v>734</v>
      </c>
      <c r="AB67" s="183"/>
      <c r="AC67" s="183"/>
      <c r="AD67" s="183" t="s">
        <v>988</v>
      </c>
      <c r="AE67" s="183" t="s">
        <v>741</v>
      </c>
    </row>
    <row r="68" spans="1:31" ht="27.6" hidden="1">
      <c r="A68" s="183" t="s">
        <v>694</v>
      </c>
      <c r="B68" s="183" t="s">
        <v>58</v>
      </c>
      <c r="C68" s="183" t="s">
        <v>58</v>
      </c>
      <c r="D68" s="184" t="s">
        <v>830</v>
      </c>
      <c r="E68" s="183" t="s">
        <v>696</v>
      </c>
      <c r="F68" s="183" t="s">
        <v>697</v>
      </c>
      <c r="G68" s="183" t="s">
        <v>698</v>
      </c>
      <c r="H68" s="183" t="s">
        <v>1</v>
      </c>
      <c r="I68" s="183" t="s">
        <v>989</v>
      </c>
      <c r="J68" s="188">
        <v>46293</v>
      </c>
      <c r="K68" s="183" t="s">
        <v>990</v>
      </c>
      <c r="L68" s="183" t="s">
        <v>99</v>
      </c>
      <c r="M68" s="183" t="s">
        <v>991</v>
      </c>
      <c r="N68" s="185">
        <v>3</v>
      </c>
      <c r="O68" s="186">
        <v>11</v>
      </c>
      <c r="P68" s="185">
        <v>8.1</v>
      </c>
      <c r="Q68" s="185">
        <v>11</v>
      </c>
      <c r="R68" s="183" t="s">
        <v>702</v>
      </c>
      <c r="S68" s="185">
        <v>668.1</v>
      </c>
      <c r="T68" s="189">
        <f t="shared" si="1"/>
        <v>11.135</v>
      </c>
      <c r="U68" s="183" t="s">
        <v>703</v>
      </c>
      <c r="V68" s="183" t="s">
        <v>526</v>
      </c>
      <c r="W68" s="183"/>
      <c r="X68" s="183"/>
      <c r="Y68" s="183"/>
      <c r="Z68" s="183" t="s">
        <v>733</v>
      </c>
      <c r="AA68" s="183" t="s">
        <v>734</v>
      </c>
      <c r="AB68" s="183"/>
      <c r="AC68" s="183"/>
      <c r="AD68" s="183" t="s">
        <v>992</v>
      </c>
      <c r="AE68" s="183" t="s">
        <v>741</v>
      </c>
    </row>
    <row r="69" spans="1:31" ht="27.6">
      <c r="A69" s="183" t="s">
        <v>694</v>
      </c>
      <c r="B69" s="183" t="s">
        <v>58</v>
      </c>
      <c r="C69" s="183" t="s">
        <v>58</v>
      </c>
      <c r="D69" s="184" t="s">
        <v>830</v>
      </c>
      <c r="E69" s="183" t="s">
        <v>696</v>
      </c>
      <c r="F69" s="183" t="s">
        <v>697</v>
      </c>
      <c r="G69" s="183" t="s">
        <v>698</v>
      </c>
      <c r="H69" s="183" t="s">
        <v>8</v>
      </c>
      <c r="I69" s="183" t="s">
        <v>729</v>
      </c>
      <c r="J69" s="188">
        <v>46287</v>
      </c>
      <c r="K69" s="183" t="s">
        <v>993</v>
      </c>
      <c r="L69" s="183" t="s">
        <v>100</v>
      </c>
      <c r="M69" s="183" t="s">
        <v>994</v>
      </c>
      <c r="N69" s="185">
        <v>9</v>
      </c>
      <c r="O69" s="186">
        <v>3</v>
      </c>
      <c r="P69" s="185">
        <v>39</v>
      </c>
      <c r="Q69" s="185">
        <v>4</v>
      </c>
      <c r="R69" s="183" t="s">
        <v>702</v>
      </c>
      <c r="S69" s="185">
        <v>219</v>
      </c>
      <c r="T69" s="189">
        <f t="shared" si="1"/>
        <v>3.65</v>
      </c>
      <c r="U69" s="183" t="s">
        <v>703</v>
      </c>
      <c r="V69" s="183" t="s">
        <v>704</v>
      </c>
      <c r="W69" s="183" t="s">
        <v>995</v>
      </c>
      <c r="X69" s="183"/>
      <c r="Y69" s="183"/>
      <c r="Z69" s="183" t="s">
        <v>733</v>
      </c>
      <c r="AA69" s="183" t="s">
        <v>734</v>
      </c>
      <c r="AB69" s="183"/>
      <c r="AC69" s="183"/>
      <c r="AD69" s="183" t="s">
        <v>996</v>
      </c>
      <c r="AE69" s="183" t="s">
        <v>741</v>
      </c>
    </row>
    <row r="70" spans="1:31" ht="27.6">
      <c r="A70" s="183" t="s">
        <v>694</v>
      </c>
      <c r="B70" s="183" t="s">
        <v>58</v>
      </c>
      <c r="C70" s="183" t="s">
        <v>58</v>
      </c>
      <c r="D70" s="184" t="s">
        <v>830</v>
      </c>
      <c r="E70" s="183" t="s">
        <v>696</v>
      </c>
      <c r="F70" s="183" t="s">
        <v>697</v>
      </c>
      <c r="G70" s="183" t="s">
        <v>698</v>
      </c>
      <c r="H70" s="183" t="s">
        <v>7</v>
      </c>
      <c r="I70" s="183" t="s">
        <v>729</v>
      </c>
      <c r="J70" s="188">
        <v>46287</v>
      </c>
      <c r="K70" s="183" t="s">
        <v>997</v>
      </c>
      <c r="L70" s="183" t="s">
        <v>101</v>
      </c>
      <c r="M70" s="183" t="s">
        <v>998</v>
      </c>
      <c r="N70" s="185">
        <v>9</v>
      </c>
      <c r="O70" s="186">
        <v>7</v>
      </c>
      <c r="P70" s="185">
        <v>55</v>
      </c>
      <c r="Q70" s="185">
        <v>8</v>
      </c>
      <c r="R70" s="183" t="s">
        <v>702</v>
      </c>
      <c r="S70" s="185">
        <v>475</v>
      </c>
      <c r="T70" s="189">
        <f t="shared" si="1"/>
        <v>7.916666666666667</v>
      </c>
      <c r="U70" s="183" t="s">
        <v>703</v>
      </c>
      <c r="V70" s="183" t="s">
        <v>704</v>
      </c>
      <c r="W70" s="183" t="s">
        <v>999</v>
      </c>
      <c r="X70" s="183"/>
      <c r="Y70" s="183"/>
      <c r="Z70" s="183" t="s">
        <v>733</v>
      </c>
      <c r="AA70" s="183" t="s">
        <v>734</v>
      </c>
      <c r="AB70" s="183"/>
      <c r="AC70" s="183"/>
      <c r="AD70" s="183" t="s">
        <v>1000</v>
      </c>
      <c r="AE70" s="183" t="s">
        <v>741</v>
      </c>
    </row>
    <row r="71" spans="1:31" ht="27.6">
      <c r="A71" s="183" t="s">
        <v>694</v>
      </c>
      <c r="B71" s="183" t="s">
        <v>58</v>
      </c>
      <c r="C71" s="183" t="s">
        <v>58</v>
      </c>
      <c r="D71" s="184" t="s">
        <v>830</v>
      </c>
      <c r="E71" s="183" t="s">
        <v>696</v>
      </c>
      <c r="F71" s="183" t="s">
        <v>697</v>
      </c>
      <c r="G71" s="183" t="s">
        <v>698</v>
      </c>
      <c r="H71" s="183" t="s">
        <v>7</v>
      </c>
      <c r="I71" s="183" t="s">
        <v>729</v>
      </c>
      <c r="J71" s="188">
        <v>46287</v>
      </c>
      <c r="K71" s="183" t="s">
        <v>1001</v>
      </c>
      <c r="L71" s="183" t="s">
        <v>102</v>
      </c>
      <c r="M71" s="183" t="s">
        <v>1002</v>
      </c>
      <c r="N71" s="185">
        <v>9</v>
      </c>
      <c r="O71" s="186">
        <v>75</v>
      </c>
      <c r="P71" s="185">
        <v>23</v>
      </c>
      <c r="Q71" s="185">
        <v>76</v>
      </c>
      <c r="R71" s="183" t="s">
        <v>702</v>
      </c>
      <c r="S71" s="185">
        <v>4523</v>
      </c>
      <c r="T71" s="189">
        <f t="shared" si="1"/>
        <v>75.38333333333334</v>
      </c>
      <c r="U71" s="183" t="s">
        <v>703</v>
      </c>
      <c r="V71" s="183" t="s">
        <v>704</v>
      </c>
      <c r="W71" s="183" t="s">
        <v>1003</v>
      </c>
      <c r="X71" s="183"/>
      <c r="Y71" s="183"/>
      <c r="Z71" s="183" t="s">
        <v>733</v>
      </c>
      <c r="AA71" s="183" t="s">
        <v>734</v>
      </c>
      <c r="AB71" s="183" t="s">
        <v>821</v>
      </c>
      <c r="AC71" s="183"/>
      <c r="AD71" s="183" t="s">
        <v>1004</v>
      </c>
      <c r="AE71" s="183" t="s">
        <v>741</v>
      </c>
    </row>
    <row r="72" spans="1:31" ht="27.6">
      <c r="A72" s="183" t="s">
        <v>694</v>
      </c>
      <c r="B72" s="183" t="s">
        <v>58</v>
      </c>
      <c r="C72" s="183" t="s">
        <v>58</v>
      </c>
      <c r="D72" s="184" t="s">
        <v>830</v>
      </c>
      <c r="E72" s="183" t="s">
        <v>696</v>
      </c>
      <c r="F72" s="183" t="s">
        <v>697</v>
      </c>
      <c r="G72" s="183" t="s">
        <v>698</v>
      </c>
      <c r="H72" s="183" t="s">
        <v>6</v>
      </c>
      <c r="I72" s="183" t="s">
        <v>729</v>
      </c>
      <c r="J72" s="188">
        <v>46287</v>
      </c>
      <c r="K72" s="183" t="s">
        <v>1005</v>
      </c>
      <c r="L72" s="183" t="s">
        <v>103</v>
      </c>
      <c r="M72" s="183" t="s">
        <v>1006</v>
      </c>
      <c r="N72" s="185">
        <v>9</v>
      </c>
      <c r="O72" s="186">
        <v>40</v>
      </c>
      <c r="P72" s="185">
        <v>30</v>
      </c>
      <c r="Q72" s="185">
        <v>41</v>
      </c>
      <c r="R72" s="183" t="s">
        <v>702</v>
      </c>
      <c r="S72" s="185">
        <v>2430</v>
      </c>
      <c r="T72" s="189">
        <f t="shared" si="1"/>
        <v>40.5</v>
      </c>
      <c r="U72" s="183" t="s">
        <v>703</v>
      </c>
      <c r="V72" s="183" t="s">
        <v>704</v>
      </c>
      <c r="W72" s="183" t="s">
        <v>1007</v>
      </c>
      <c r="X72" s="183"/>
      <c r="Y72" s="183"/>
      <c r="Z72" s="183" t="s">
        <v>733</v>
      </c>
      <c r="AA72" s="183" t="s">
        <v>734</v>
      </c>
      <c r="AB72" s="183"/>
      <c r="AC72" s="183"/>
      <c r="AD72" s="183" t="s">
        <v>1008</v>
      </c>
      <c r="AE72" s="183" t="s">
        <v>741</v>
      </c>
    </row>
    <row r="73" spans="1:31" ht="27.6">
      <c r="A73" s="183" t="s">
        <v>694</v>
      </c>
      <c r="B73" s="183" t="s">
        <v>58</v>
      </c>
      <c r="C73" s="183" t="s">
        <v>58</v>
      </c>
      <c r="D73" s="184" t="s">
        <v>830</v>
      </c>
      <c r="E73" s="183" t="s">
        <v>696</v>
      </c>
      <c r="F73" s="183" t="s">
        <v>697</v>
      </c>
      <c r="G73" s="183" t="s">
        <v>698</v>
      </c>
      <c r="H73" s="183" t="s">
        <v>6</v>
      </c>
      <c r="I73" s="183" t="s">
        <v>729</v>
      </c>
      <c r="J73" s="188">
        <v>46287</v>
      </c>
      <c r="K73" s="183" t="s">
        <v>1009</v>
      </c>
      <c r="L73" s="183" t="s">
        <v>104</v>
      </c>
      <c r="M73" s="183" t="s">
        <v>983</v>
      </c>
      <c r="N73" s="185">
        <v>9</v>
      </c>
      <c r="O73" s="186">
        <v>38</v>
      </c>
      <c r="P73" s="185">
        <v>36</v>
      </c>
      <c r="Q73" s="185">
        <v>39</v>
      </c>
      <c r="R73" s="183" t="s">
        <v>702</v>
      </c>
      <c r="S73" s="185">
        <v>2316</v>
      </c>
      <c r="T73" s="189">
        <f t="shared" si="1"/>
        <v>38.6</v>
      </c>
      <c r="U73" s="183" t="s">
        <v>703</v>
      </c>
      <c r="V73" s="183" t="s">
        <v>704</v>
      </c>
      <c r="W73" s="183" t="s">
        <v>1010</v>
      </c>
      <c r="X73" s="183"/>
      <c r="Y73" s="183"/>
      <c r="Z73" s="183" t="s">
        <v>733</v>
      </c>
      <c r="AA73" s="183" t="s">
        <v>734</v>
      </c>
      <c r="AB73" s="183"/>
      <c r="AC73" s="183"/>
      <c r="AD73" s="183" t="s">
        <v>1011</v>
      </c>
      <c r="AE73" s="183" t="s">
        <v>741</v>
      </c>
    </row>
    <row r="74" spans="1:31" ht="27.6">
      <c r="A74" s="183" t="s">
        <v>694</v>
      </c>
      <c r="B74" s="183" t="s">
        <v>58</v>
      </c>
      <c r="C74" s="183" t="s">
        <v>58</v>
      </c>
      <c r="D74" s="184" t="s">
        <v>830</v>
      </c>
      <c r="E74" s="183" t="s">
        <v>696</v>
      </c>
      <c r="F74" s="183" t="s">
        <v>697</v>
      </c>
      <c r="G74" s="183" t="s">
        <v>698</v>
      </c>
      <c r="H74" s="183" t="s">
        <v>6</v>
      </c>
      <c r="I74" s="183" t="s">
        <v>729</v>
      </c>
      <c r="J74" s="188">
        <v>46287</v>
      </c>
      <c r="K74" s="183" t="s">
        <v>1012</v>
      </c>
      <c r="L74" s="183" t="s">
        <v>105</v>
      </c>
      <c r="M74" s="183" t="s">
        <v>1013</v>
      </c>
      <c r="N74" s="185">
        <v>9</v>
      </c>
      <c r="O74" s="186">
        <v>6</v>
      </c>
      <c r="P74" s="185">
        <v>37</v>
      </c>
      <c r="Q74" s="185">
        <v>7</v>
      </c>
      <c r="R74" s="183" t="s">
        <v>702</v>
      </c>
      <c r="S74" s="185">
        <v>397</v>
      </c>
      <c r="T74" s="189">
        <f t="shared" si="1"/>
        <v>6.6166666666666663</v>
      </c>
      <c r="U74" s="183" t="s">
        <v>703</v>
      </c>
      <c r="V74" s="183" t="s">
        <v>704</v>
      </c>
      <c r="W74" s="183" t="s">
        <v>1014</v>
      </c>
      <c r="X74" s="183"/>
      <c r="Y74" s="183"/>
      <c r="Z74" s="183" t="s">
        <v>733</v>
      </c>
      <c r="AA74" s="183" t="s">
        <v>734</v>
      </c>
      <c r="AB74" s="183"/>
      <c r="AC74" s="183"/>
      <c r="AD74" s="183" t="s">
        <v>1015</v>
      </c>
      <c r="AE74" s="183" t="s">
        <v>741</v>
      </c>
    </row>
    <row r="75" spans="1:31" ht="27.6">
      <c r="A75" s="183" t="s">
        <v>694</v>
      </c>
      <c r="B75" s="183" t="s">
        <v>58</v>
      </c>
      <c r="C75" s="183" t="s">
        <v>58</v>
      </c>
      <c r="D75" s="184" t="s">
        <v>830</v>
      </c>
      <c r="E75" s="183" t="s">
        <v>696</v>
      </c>
      <c r="F75" s="183" t="s">
        <v>697</v>
      </c>
      <c r="G75" s="183" t="s">
        <v>698</v>
      </c>
      <c r="H75" s="183" t="s">
        <v>6</v>
      </c>
      <c r="I75" s="183" t="s">
        <v>729</v>
      </c>
      <c r="J75" s="188">
        <v>46287</v>
      </c>
      <c r="K75" s="183" t="s">
        <v>1016</v>
      </c>
      <c r="L75" s="183" t="s">
        <v>106</v>
      </c>
      <c r="M75" s="183" t="s">
        <v>1017</v>
      </c>
      <c r="N75" s="185">
        <v>9</v>
      </c>
      <c r="O75" s="186">
        <v>62</v>
      </c>
      <c r="P75" s="185">
        <v>0</v>
      </c>
      <c r="Q75" s="185">
        <v>63</v>
      </c>
      <c r="R75" s="183" t="s">
        <v>702</v>
      </c>
      <c r="S75" s="185">
        <v>3720</v>
      </c>
      <c r="T75" s="189">
        <f t="shared" si="1"/>
        <v>62</v>
      </c>
      <c r="U75" s="183" t="s">
        <v>703</v>
      </c>
      <c r="V75" s="183" t="s">
        <v>704</v>
      </c>
      <c r="W75" s="183" t="s">
        <v>1018</v>
      </c>
      <c r="X75" s="183"/>
      <c r="Y75" s="183"/>
      <c r="Z75" s="183" t="s">
        <v>733</v>
      </c>
      <c r="AA75" s="183" t="s">
        <v>734</v>
      </c>
      <c r="AB75" s="183"/>
      <c r="AC75" s="183"/>
      <c r="AD75" s="183" t="s">
        <v>1019</v>
      </c>
      <c r="AE75" s="183" t="s">
        <v>741</v>
      </c>
    </row>
    <row r="76" spans="1:31" ht="27.6">
      <c r="A76" s="183" t="s">
        <v>694</v>
      </c>
      <c r="B76" s="183" t="s">
        <v>58</v>
      </c>
      <c r="C76" s="183" t="s">
        <v>58</v>
      </c>
      <c r="D76" s="184" t="s">
        <v>830</v>
      </c>
      <c r="E76" s="183" t="s">
        <v>696</v>
      </c>
      <c r="F76" s="183" t="s">
        <v>697</v>
      </c>
      <c r="G76" s="183" t="s">
        <v>698</v>
      </c>
      <c r="H76" s="183" t="s">
        <v>6</v>
      </c>
      <c r="I76" s="183" t="s">
        <v>729</v>
      </c>
      <c r="J76" s="188">
        <v>46287</v>
      </c>
      <c r="K76" s="183" t="s">
        <v>1020</v>
      </c>
      <c r="L76" s="183" t="s">
        <v>107</v>
      </c>
      <c r="M76" s="183" t="s">
        <v>1021</v>
      </c>
      <c r="N76" s="185">
        <v>9</v>
      </c>
      <c r="O76" s="186">
        <v>6</v>
      </c>
      <c r="P76" s="185">
        <v>42</v>
      </c>
      <c r="Q76" s="185">
        <v>7</v>
      </c>
      <c r="R76" s="183" t="s">
        <v>702</v>
      </c>
      <c r="S76" s="185">
        <v>402</v>
      </c>
      <c r="T76" s="189">
        <f t="shared" si="1"/>
        <v>6.7</v>
      </c>
      <c r="U76" s="183" t="s">
        <v>703</v>
      </c>
      <c r="V76" s="183" t="s">
        <v>704</v>
      </c>
      <c r="W76" s="183" t="s">
        <v>1022</v>
      </c>
      <c r="X76" s="183"/>
      <c r="Y76" s="183"/>
      <c r="Z76" s="183" t="s">
        <v>733</v>
      </c>
      <c r="AA76" s="183" t="s">
        <v>734</v>
      </c>
      <c r="AB76" s="183"/>
      <c r="AC76" s="183"/>
      <c r="AD76" s="183" t="s">
        <v>1023</v>
      </c>
      <c r="AE76" s="183" t="s">
        <v>741</v>
      </c>
    </row>
    <row r="77" spans="1:31" ht="27.6" hidden="1">
      <c r="A77" s="183" t="s">
        <v>694</v>
      </c>
      <c r="B77" s="183" t="s">
        <v>58</v>
      </c>
      <c r="C77" s="183" t="s">
        <v>58</v>
      </c>
      <c r="D77" s="184" t="s">
        <v>830</v>
      </c>
      <c r="E77" s="183" t="s">
        <v>696</v>
      </c>
      <c r="F77" s="183" t="s">
        <v>697</v>
      </c>
      <c r="G77" s="183" t="s">
        <v>698</v>
      </c>
      <c r="H77" s="183" t="s">
        <v>5</v>
      </c>
      <c r="I77" s="183" t="s">
        <v>729</v>
      </c>
      <c r="J77" s="188">
        <v>46063</v>
      </c>
      <c r="K77" s="183" t="s">
        <v>1024</v>
      </c>
      <c r="L77" s="183" t="s">
        <v>108</v>
      </c>
      <c r="M77" s="183" t="s">
        <v>1025</v>
      </c>
      <c r="N77" s="185">
        <v>233</v>
      </c>
      <c r="O77" s="186">
        <v>1</v>
      </c>
      <c r="P77" s="185">
        <v>0</v>
      </c>
      <c r="Q77" s="185">
        <v>0</v>
      </c>
      <c r="R77" s="183" t="s">
        <v>702</v>
      </c>
      <c r="S77" s="185">
        <v>60</v>
      </c>
      <c r="T77" s="189">
        <f t="shared" si="1"/>
        <v>1</v>
      </c>
      <c r="U77" s="183" t="s">
        <v>703</v>
      </c>
      <c r="V77" s="183" t="s">
        <v>704</v>
      </c>
      <c r="W77" s="183" t="s">
        <v>1026</v>
      </c>
      <c r="X77" s="183"/>
      <c r="Y77" s="183"/>
      <c r="Z77" s="183" t="s">
        <v>733</v>
      </c>
      <c r="AA77" s="183" t="s">
        <v>734</v>
      </c>
      <c r="AB77" s="183"/>
      <c r="AC77" s="183"/>
      <c r="AD77" s="183" t="s">
        <v>1027</v>
      </c>
      <c r="AE77" s="183" t="s">
        <v>741</v>
      </c>
    </row>
    <row r="78" spans="1:31" ht="27.6" hidden="1">
      <c r="A78" s="183" t="s">
        <v>694</v>
      </c>
      <c r="B78" s="183" t="s">
        <v>58</v>
      </c>
      <c r="C78" s="183" t="s">
        <v>58</v>
      </c>
      <c r="D78" s="184" t="s">
        <v>830</v>
      </c>
      <c r="E78" s="183" t="s">
        <v>696</v>
      </c>
      <c r="F78" s="183" t="s">
        <v>697</v>
      </c>
      <c r="G78" s="183" t="s">
        <v>698</v>
      </c>
      <c r="H78" s="183" t="s">
        <v>5</v>
      </c>
      <c r="I78" s="183" t="s">
        <v>729</v>
      </c>
      <c r="J78" s="188">
        <v>46070</v>
      </c>
      <c r="K78" s="183" t="s">
        <v>1028</v>
      </c>
      <c r="L78" s="183" t="s">
        <v>109</v>
      </c>
      <c r="M78" s="183" t="s">
        <v>763</v>
      </c>
      <c r="N78" s="185">
        <v>226</v>
      </c>
      <c r="O78" s="186">
        <v>1</v>
      </c>
      <c r="P78" s="185">
        <v>0</v>
      </c>
      <c r="Q78" s="185">
        <v>1</v>
      </c>
      <c r="R78" s="183" t="s">
        <v>702</v>
      </c>
      <c r="S78" s="185">
        <v>60</v>
      </c>
      <c r="T78" s="189">
        <f t="shared" si="1"/>
        <v>1</v>
      </c>
      <c r="U78" s="183" t="s">
        <v>703</v>
      </c>
      <c r="V78" s="183" t="s">
        <v>704</v>
      </c>
      <c r="W78" s="183" t="s">
        <v>1029</v>
      </c>
      <c r="X78" s="183"/>
      <c r="Y78" s="183"/>
      <c r="Z78" s="183" t="s">
        <v>733</v>
      </c>
      <c r="AA78" s="183" t="s">
        <v>734</v>
      </c>
      <c r="AB78" s="183"/>
      <c r="AC78" s="183"/>
      <c r="AD78" s="183" t="s">
        <v>1030</v>
      </c>
      <c r="AE78" s="183" t="s">
        <v>741</v>
      </c>
    </row>
    <row r="79" spans="1:31" ht="27.6" hidden="1">
      <c r="A79" s="183" t="s">
        <v>694</v>
      </c>
      <c r="B79" s="183" t="s">
        <v>58</v>
      </c>
      <c r="C79" s="183" t="s">
        <v>58</v>
      </c>
      <c r="D79" s="184" t="s">
        <v>830</v>
      </c>
      <c r="E79" s="183" t="s">
        <v>696</v>
      </c>
      <c r="F79" s="183" t="s">
        <v>697</v>
      </c>
      <c r="G79" s="183" t="s">
        <v>698</v>
      </c>
      <c r="H79" s="183" t="s">
        <v>5</v>
      </c>
      <c r="I79" s="183" t="s">
        <v>729</v>
      </c>
      <c r="J79" s="188">
        <v>46098</v>
      </c>
      <c r="K79" s="183" t="s">
        <v>1031</v>
      </c>
      <c r="L79" s="183" t="s">
        <v>110</v>
      </c>
      <c r="M79" s="183" t="s">
        <v>1032</v>
      </c>
      <c r="N79" s="185">
        <v>198</v>
      </c>
      <c r="O79" s="186">
        <v>1</v>
      </c>
      <c r="P79" s="185">
        <v>0</v>
      </c>
      <c r="Q79" s="185">
        <v>1</v>
      </c>
      <c r="R79" s="183" t="s">
        <v>702</v>
      </c>
      <c r="S79" s="185">
        <v>60</v>
      </c>
      <c r="T79" s="189">
        <f t="shared" si="1"/>
        <v>1</v>
      </c>
      <c r="U79" s="183" t="s">
        <v>703</v>
      </c>
      <c r="V79" s="183" t="s">
        <v>704</v>
      </c>
      <c r="W79" s="183" t="s">
        <v>1033</v>
      </c>
      <c r="X79" s="183"/>
      <c r="Y79" s="183"/>
      <c r="Z79" s="183" t="s">
        <v>733</v>
      </c>
      <c r="AA79" s="183" t="s">
        <v>734</v>
      </c>
      <c r="AB79" s="183"/>
      <c r="AC79" s="183"/>
      <c r="AD79" s="183" t="s">
        <v>1034</v>
      </c>
      <c r="AE79" s="183" t="s">
        <v>741</v>
      </c>
    </row>
    <row r="80" spans="1:31" ht="27.6">
      <c r="A80" s="183" t="s">
        <v>694</v>
      </c>
      <c r="B80" s="183" t="s">
        <v>58</v>
      </c>
      <c r="C80" s="183" t="s">
        <v>58</v>
      </c>
      <c r="D80" s="184" t="s">
        <v>830</v>
      </c>
      <c r="E80" s="183" t="s">
        <v>696</v>
      </c>
      <c r="F80" s="183" t="s">
        <v>697</v>
      </c>
      <c r="G80" s="183" t="s">
        <v>698</v>
      </c>
      <c r="H80" s="183" t="s">
        <v>5</v>
      </c>
      <c r="I80" s="183" t="s">
        <v>729</v>
      </c>
      <c r="J80" s="188">
        <v>46287</v>
      </c>
      <c r="K80" s="183" t="s">
        <v>1035</v>
      </c>
      <c r="L80" s="183" t="s">
        <v>111</v>
      </c>
      <c r="M80" s="183" t="s">
        <v>1036</v>
      </c>
      <c r="N80" s="185">
        <v>9</v>
      </c>
      <c r="O80" s="186">
        <v>5</v>
      </c>
      <c r="P80" s="185">
        <v>12</v>
      </c>
      <c r="Q80" s="185">
        <v>6</v>
      </c>
      <c r="R80" s="183" t="s">
        <v>702</v>
      </c>
      <c r="S80" s="185">
        <v>312</v>
      </c>
      <c r="T80" s="189">
        <f t="shared" si="1"/>
        <v>5.2</v>
      </c>
      <c r="U80" s="183" t="s">
        <v>703</v>
      </c>
      <c r="V80" s="183" t="s">
        <v>704</v>
      </c>
      <c r="W80" s="183" t="s">
        <v>1037</v>
      </c>
      <c r="X80" s="183"/>
      <c r="Y80" s="183"/>
      <c r="Z80" s="183" t="s">
        <v>733</v>
      </c>
      <c r="AA80" s="183" t="s">
        <v>734</v>
      </c>
      <c r="AB80" s="183" t="s">
        <v>821</v>
      </c>
      <c r="AC80" s="183"/>
      <c r="AD80" s="183" t="s">
        <v>1038</v>
      </c>
      <c r="AE80" s="183" t="s">
        <v>741</v>
      </c>
    </row>
    <row r="81" spans="1:31" ht="27.6">
      <c r="A81" s="183" t="s">
        <v>694</v>
      </c>
      <c r="B81" s="183" t="s">
        <v>58</v>
      </c>
      <c r="C81" s="183" t="s">
        <v>58</v>
      </c>
      <c r="D81" s="184" t="s">
        <v>830</v>
      </c>
      <c r="E81" s="183" t="s">
        <v>696</v>
      </c>
      <c r="F81" s="183" t="s">
        <v>697</v>
      </c>
      <c r="G81" s="183" t="s">
        <v>698</v>
      </c>
      <c r="H81" s="183" t="s">
        <v>5</v>
      </c>
      <c r="I81" s="183" t="s">
        <v>729</v>
      </c>
      <c r="J81" s="188">
        <v>46287</v>
      </c>
      <c r="K81" s="183" t="s">
        <v>1039</v>
      </c>
      <c r="L81" s="183" t="s">
        <v>112</v>
      </c>
      <c r="M81" s="183" t="s">
        <v>1040</v>
      </c>
      <c r="N81" s="185">
        <v>9</v>
      </c>
      <c r="O81" s="186">
        <v>27</v>
      </c>
      <c r="P81" s="185">
        <v>39</v>
      </c>
      <c r="Q81" s="185">
        <v>28</v>
      </c>
      <c r="R81" s="183" t="s">
        <v>702</v>
      </c>
      <c r="S81" s="185">
        <v>1659</v>
      </c>
      <c r="T81" s="189">
        <f t="shared" si="1"/>
        <v>27.65</v>
      </c>
      <c r="U81" s="183" t="s">
        <v>703</v>
      </c>
      <c r="V81" s="183" t="s">
        <v>704</v>
      </c>
      <c r="W81" s="183" t="s">
        <v>1041</v>
      </c>
      <c r="X81" s="183"/>
      <c r="Y81" s="183"/>
      <c r="Z81" s="183" t="s">
        <v>733</v>
      </c>
      <c r="AA81" s="183" t="s">
        <v>734</v>
      </c>
      <c r="AB81" s="183"/>
      <c r="AC81" s="183"/>
      <c r="AD81" s="183" t="s">
        <v>1042</v>
      </c>
      <c r="AE81" s="183" t="s">
        <v>741</v>
      </c>
    </row>
    <row r="82" spans="1:31" ht="27.6">
      <c r="A82" s="183" t="s">
        <v>694</v>
      </c>
      <c r="B82" s="183" t="s">
        <v>58</v>
      </c>
      <c r="C82" s="183" t="s">
        <v>58</v>
      </c>
      <c r="D82" s="184" t="s">
        <v>830</v>
      </c>
      <c r="E82" s="183" t="s">
        <v>696</v>
      </c>
      <c r="F82" s="183" t="s">
        <v>697</v>
      </c>
      <c r="G82" s="183" t="s">
        <v>698</v>
      </c>
      <c r="H82" s="183" t="s">
        <v>5</v>
      </c>
      <c r="I82" s="183" t="s">
        <v>729</v>
      </c>
      <c r="J82" s="188">
        <v>46287</v>
      </c>
      <c r="K82" s="183" t="s">
        <v>1043</v>
      </c>
      <c r="L82" s="183" t="s">
        <v>113</v>
      </c>
      <c r="M82" s="183" t="s">
        <v>1044</v>
      </c>
      <c r="N82" s="185">
        <v>9</v>
      </c>
      <c r="O82" s="186">
        <v>4</v>
      </c>
      <c r="P82" s="185">
        <v>59</v>
      </c>
      <c r="Q82" s="185">
        <v>5</v>
      </c>
      <c r="R82" s="183" t="s">
        <v>702</v>
      </c>
      <c r="S82" s="185">
        <v>299</v>
      </c>
      <c r="T82" s="189">
        <f t="shared" si="1"/>
        <v>4.9833333333333334</v>
      </c>
      <c r="U82" s="183" t="s">
        <v>703</v>
      </c>
      <c r="V82" s="183" t="s">
        <v>704</v>
      </c>
      <c r="W82" s="183" t="s">
        <v>1045</v>
      </c>
      <c r="X82" s="183"/>
      <c r="Y82" s="183"/>
      <c r="Z82" s="183" t="s">
        <v>733</v>
      </c>
      <c r="AA82" s="183" t="s">
        <v>734</v>
      </c>
      <c r="AB82" s="183" t="s">
        <v>821</v>
      </c>
      <c r="AC82" s="183"/>
      <c r="AD82" s="183" t="s">
        <v>1046</v>
      </c>
      <c r="AE82" s="183" t="s">
        <v>741</v>
      </c>
    </row>
    <row r="83" spans="1:31" ht="27.6" hidden="1">
      <c r="A83" s="183" t="s">
        <v>694</v>
      </c>
      <c r="B83" s="183" t="s">
        <v>58</v>
      </c>
      <c r="C83" s="183" t="s">
        <v>58</v>
      </c>
      <c r="D83" s="184" t="s">
        <v>1047</v>
      </c>
      <c r="E83" s="183" t="s">
        <v>696</v>
      </c>
      <c r="F83" s="183" t="s">
        <v>697</v>
      </c>
      <c r="G83" s="183" t="s">
        <v>698</v>
      </c>
      <c r="H83" s="183" t="s">
        <v>4</v>
      </c>
      <c r="I83" s="183" t="s">
        <v>729</v>
      </c>
      <c r="J83" s="188">
        <v>46007</v>
      </c>
      <c r="K83" s="183" t="s">
        <v>1048</v>
      </c>
      <c r="L83" s="183" t="s">
        <v>114</v>
      </c>
      <c r="M83" s="183" t="s">
        <v>1049</v>
      </c>
      <c r="N83" s="185">
        <v>289</v>
      </c>
      <c r="O83" s="186">
        <v>0</v>
      </c>
      <c r="P83" s="185">
        <v>12</v>
      </c>
      <c r="Q83" s="185">
        <v>1</v>
      </c>
      <c r="R83" s="183" t="s">
        <v>702</v>
      </c>
      <c r="S83" s="185">
        <v>12</v>
      </c>
      <c r="T83" s="189">
        <f t="shared" si="1"/>
        <v>0.2</v>
      </c>
      <c r="U83" s="183" t="s">
        <v>703</v>
      </c>
      <c r="V83" s="183" t="s">
        <v>704</v>
      </c>
      <c r="W83" s="183" t="s">
        <v>1050</v>
      </c>
      <c r="X83" s="183"/>
      <c r="Y83" s="183"/>
      <c r="Z83" s="183" t="s">
        <v>733</v>
      </c>
      <c r="AA83" s="183" t="s">
        <v>734</v>
      </c>
      <c r="AB83" s="183" t="s">
        <v>1051</v>
      </c>
      <c r="AC83" s="183"/>
      <c r="AD83" s="183" t="s">
        <v>1052</v>
      </c>
      <c r="AE83" s="183" t="s">
        <v>800</v>
      </c>
    </row>
    <row r="84" spans="1:31" ht="27.6" hidden="1">
      <c r="A84" s="183" t="s">
        <v>694</v>
      </c>
      <c r="B84" s="183" t="s">
        <v>58</v>
      </c>
      <c r="C84" s="183" t="s">
        <v>58</v>
      </c>
      <c r="D84" s="184" t="s">
        <v>1047</v>
      </c>
      <c r="E84" s="183" t="s">
        <v>696</v>
      </c>
      <c r="F84" s="183" t="s">
        <v>697</v>
      </c>
      <c r="G84" s="183" t="s">
        <v>698</v>
      </c>
      <c r="H84" s="183" t="s">
        <v>4</v>
      </c>
      <c r="I84" s="183" t="s">
        <v>729</v>
      </c>
      <c r="J84" s="188">
        <v>46283</v>
      </c>
      <c r="K84" s="183" t="s">
        <v>1053</v>
      </c>
      <c r="L84" s="183" t="s">
        <v>115</v>
      </c>
      <c r="M84" s="183" t="s">
        <v>1054</v>
      </c>
      <c r="N84" s="185">
        <v>13</v>
      </c>
      <c r="O84" s="186">
        <v>2</v>
      </c>
      <c r="P84" s="185">
        <v>42</v>
      </c>
      <c r="Q84" s="185">
        <v>3</v>
      </c>
      <c r="R84" s="183" t="s">
        <v>702</v>
      </c>
      <c r="S84" s="185">
        <v>162</v>
      </c>
      <c r="T84" s="189">
        <f t="shared" si="1"/>
        <v>2.7</v>
      </c>
      <c r="U84" s="183" t="s">
        <v>703</v>
      </c>
      <c r="V84" s="183" t="s">
        <v>704</v>
      </c>
      <c r="W84" s="183" t="s">
        <v>1055</v>
      </c>
      <c r="X84" s="183"/>
      <c r="Y84" s="183"/>
      <c r="Z84" s="183" t="s">
        <v>733</v>
      </c>
      <c r="AA84" s="183" t="s">
        <v>734</v>
      </c>
      <c r="AB84" s="183"/>
      <c r="AC84" s="183"/>
      <c r="AD84" s="183" t="s">
        <v>1056</v>
      </c>
      <c r="AE84" s="183" t="s">
        <v>1057</v>
      </c>
    </row>
    <row r="85" spans="1:31" ht="27.6">
      <c r="A85" s="183" t="s">
        <v>694</v>
      </c>
      <c r="B85" s="183" t="s">
        <v>58</v>
      </c>
      <c r="C85" s="183" t="s">
        <v>58</v>
      </c>
      <c r="D85" s="184" t="s">
        <v>1047</v>
      </c>
      <c r="E85" s="183" t="s">
        <v>696</v>
      </c>
      <c r="F85" s="183" t="s">
        <v>697</v>
      </c>
      <c r="G85" s="183" t="s">
        <v>698</v>
      </c>
      <c r="H85" s="183" t="s">
        <v>4</v>
      </c>
      <c r="I85" s="183" t="s">
        <v>729</v>
      </c>
      <c r="J85" s="188">
        <v>46287</v>
      </c>
      <c r="K85" s="183" t="s">
        <v>1058</v>
      </c>
      <c r="L85" s="183" t="s">
        <v>116</v>
      </c>
      <c r="M85" s="183" t="s">
        <v>1059</v>
      </c>
      <c r="N85" s="185">
        <v>9</v>
      </c>
      <c r="O85" s="186">
        <v>14</v>
      </c>
      <c r="P85" s="185">
        <v>5</v>
      </c>
      <c r="Q85" s="185">
        <v>14</v>
      </c>
      <c r="R85" s="183" t="s">
        <v>702</v>
      </c>
      <c r="S85" s="185">
        <v>845</v>
      </c>
      <c r="T85" s="189">
        <f t="shared" si="1"/>
        <v>14.083333333333334</v>
      </c>
      <c r="U85" s="183" t="s">
        <v>703</v>
      </c>
      <c r="V85" s="183" t="s">
        <v>704</v>
      </c>
      <c r="W85" s="183" t="s">
        <v>1060</v>
      </c>
      <c r="X85" s="183"/>
      <c r="Y85" s="183"/>
      <c r="Z85" s="183" t="s">
        <v>733</v>
      </c>
      <c r="AA85" s="183" t="s">
        <v>734</v>
      </c>
      <c r="AB85" s="183"/>
      <c r="AC85" s="183"/>
      <c r="AD85" s="183" t="s">
        <v>1061</v>
      </c>
      <c r="AE85" s="183" t="s">
        <v>1057</v>
      </c>
    </row>
    <row r="86" spans="1:31" ht="27.6">
      <c r="A86" s="183" t="s">
        <v>694</v>
      </c>
      <c r="B86" s="183" t="s">
        <v>58</v>
      </c>
      <c r="C86" s="183" t="s">
        <v>58</v>
      </c>
      <c r="D86" s="184" t="s">
        <v>1047</v>
      </c>
      <c r="E86" s="183" t="s">
        <v>696</v>
      </c>
      <c r="F86" s="183" t="s">
        <v>697</v>
      </c>
      <c r="G86" s="183" t="s">
        <v>698</v>
      </c>
      <c r="H86" s="183" t="s">
        <v>4</v>
      </c>
      <c r="I86" s="183" t="s">
        <v>729</v>
      </c>
      <c r="J86" s="188">
        <v>46287</v>
      </c>
      <c r="K86" s="183" t="s">
        <v>1062</v>
      </c>
      <c r="L86" s="183" t="s">
        <v>117</v>
      </c>
      <c r="M86" s="183" t="s">
        <v>1063</v>
      </c>
      <c r="N86" s="185">
        <v>9</v>
      </c>
      <c r="O86" s="186">
        <v>19</v>
      </c>
      <c r="P86" s="185">
        <v>10</v>
      </c>
      <c r="Q86" s="185">
        <v>20</v>
      </c>
      <c r="R86" s="183" t="s">
        <v>702</v>
      </c>
      <c r="S86" s="185">
        <v>1150</v>
      </c>
      <c r="T86" s="189">
        <f t="shared" si="1"/>
        <v>19.166666666666668</v>
      </c>
      <c r="U86" s="183" t="s">
        <v>703</v>
      </c>
      <c r="V86" s="183" t="s">
        <v>704</v>
      </c>
      <c r="W86" s="183" t="s">
        <v>1064</v>
      </c>
      <c r="X86" s="183"/>
      <c r="Y86" s="183"/>
      <c r="Z86" s="183" t="s">
        <v>733</v>
      </c>
      <c r="AA86" s="183" t="s">
        <v>734</v>
      </c>
      <c r="AB86" s="183"/>
      <c r="AC86" s="183"/>
      <c r="AD86" s="183" t="s">
        <v>1065</v>
      </c>
      <c r="AE86" s="183" t="s">
        <v>1057</v>
      </c>
    </row>
    <row r="87" spans="1:31" ht="27.6">
      <c r="A87" s="183" t="s">
        <v>694</v>
      </c>
      <c r="B87" s="183" t="s">
        <v>58</v>
      </c>
      <c r="C87" s="183" t="s">
        <v>58</v>
      </c>
      <c r="D87" s="184" t="s">
        <v>1047</v>
      </c>
      <c r="E87" s="183" t="s">
        <v>696</v>
      </c>
      <c r="F87" s="183" t="s">
        <v>697</v>
      </c>
      <c r="G87" s="183" t="s">
        <v>698</v>
      </c>
      <c r="H87" s="183" t="s">
        <v>4</v>
      </c>
      <c r="I87" s="183" t="s">
        <v>729</v>
      </c>
      <c r="J87" s="188">
        <v>46287</v>
      </c>
      <c r="K87" s="183" t="s">
        <v>1066</v>
      </c>
      <c r="L87" s="183" t="s">
        <v>118</v>
      </c>
      <c r="M87" s="183" t="s">
        <v>1067</v>
      </c>
      <c r="N87" s="185">
        <v>9</v>
      </c>
      <c r="O87" s="186">
        <v>5</v>
      </c>
      <c r="P87" s="185">
        <v>2</v>
      </c>
      <c r="Q87" s="185">
        <v>5</v>
      </c>
      <c r="R87" s="183" t="s">
        <v>702</v>
      </c>
      <c r="S87" s="185">
        <v>302</v>
      </c>
      <c r="T87" s="189">
        <f t="shared" si="1"/>
        <v>5.0333333333333332</v>
      </c>
      <c r="U87" s="183" t="s">
        <v>703</v>
      </c>
      <c r="V87" s="183" t="s">
        <v>704</v>
      </c>
      <c r="W87" s="183" t="s">
        <v>1068</v>
      </c>
      <c r="X87" s="183"/>
      <c r="Y87" s="183"/>
      <c r="Z87" s="183" t="s">
        <v>733</v>
      </c>
      <c r="AA87" s="183" t="s">
        <v>734</v>
      </c>
      <c r="AB87" s="183"/>
      <c r="AC87" s="183"/>
      <c r="AD87" s="183" t="s">
        <v>1069</v>
      </c>
      <c r="AE87" s="183" t="s">
        <v>1057</v>
      </c>
    </row>
    <row r="88" spans="1:31" ht="27.6">
      <c r="A88" s="183" t="s">
        <v>694</v>
      </c>
      <c r="B88" s="183" t="s">
        <v>58</v>
      </c>
      <c r="C88" s="183" t="s">
        <v>58</v>
      </c>
      <c r="D88" s="184" t="s">
        <v>1047</v>
      </c>
      <c r="E88" s="183" t="s">
        <v>696</v>
      </c>
      <c r="F88" s="183" t="s">
        <v>697</v>
      </c>
      <c r="G88" s="183" t="s">
        <v>698</v>
      </c>
      <c r="H88" s="183" t="s">
        <v>4</v>
      </c>
      <c r="I88" s="183" t="s">
        <v>729</v>
      </c>
      <c r="J88" s="188">
        <v>46287</v>
      </c>
      <c r="K88" s="183" t="s">
        <v>1070</v>
      </c>
      <c r="L88" s="183" t="s">
        <v>119</v>
      </c>
      <c r="M88" s="183" t="s">
        <v>983</v>
      </c>
      <c r="N88" s="185">
        <v>9</v>
      </c>
      <c r="O88" s="186">
        <v>15</v>
      </c>
      <c r="P88" s="185">
        <v>24</v>
      </c>
      <c r="Q88" s="185">
        <v>16</v>
      </c>
      <c r="R88" s="183" t="s">
        <v>702</v>
      </c>
      <c r="S88" s="185">
        <v>924</v>
      </c>
      <c r="T88" s="189">
        <f t="shared" si="1"/>
        <v>15.4</v>
      </c>
      <c r="U88" s="183" t="s">
        <v>703</v>
      </c>
      <c r="V88" s="183" t="s">
        <v>704</v>
      </c>
      <c r="W88" s="183" t="s">
        <v>1071</v>
      </c>
      <c r="X88" s="183"/>
      <c r="Y88" s="183"/>
      <c r="Z88" s="183" t="s">
        <v>733</v>
      </c>
      <c r="AA88" s="183" t="s">
        <v>734</v>
      </c>
      <c r="AB88" s="183"/>
      <c r="AC88" s="183"/>
      <c r="AD88" s="183" t="s">
        <v>1072</v>
      </c>
      <c r="AE88" s="183" t="s">
        <v>800</v>
      </c>
    </row>
    <row r="89" spans="1:31" ht="27.6">
      <c r="A89" s="183" t="s">
        <v>694</v>
      </c>
      <c r="B89" s="183" t="s">
        <v>58</v>
      </c>
      <c r="C89" s="183" t="s">
        <v>58</v>
      </c>
      <c r="D89" s="184" t="s">
        <v>1047</v>
      </c>
      <c r="E89" s="183" t="s">
        <v>696</v>
      </c>
      <c r="F89" s="183" t="s">
        <v>697</v>
      </c>
      <c r="G89" s="183" t="s">
        <v>698</v>
      </c>
      <c r="H89" s="183" t="s">
        <v>4</v>
      </c>
      <c r="I89" s="183" t="s">
        <v>729</v>
      </c>
      <c r="J89" s="188">
        <v>46287</v>
      </c>
      <c r="K89" s="183" t="s">
        <v>1073</v>
      </c>
      <c r="L89" s="183" t="s">
        <v>120</v>
      </c>
      <c r="M89" s="183" t="s">
        <v>1074</v>
      </c>
      <c r="N89" s="185">
        <v>9</v>
      </c>
      <c r="O89" s="186">
        <v>13</v>
      </c>
      <c r="P89" s="185">
        <v>9</v>
      </c>
      <c r="Q89" s="185">
        <v>14</v>
      </c>
      <c r="R89" s="183" t="s">
        <v>702</v>
      </c>
      <c r="S89" s="185">
        <v>789</v>
      </c>
      <c r="T89" s="189">
        <f t="shared" si="1"/>
        <v>13.15</v>
      </c>
      <c r="U89" s="183" t="s">
        <v>703</v>
      </c>
      <c r="V89" s="183" t="s">
        <v>704</v>
      </c>
      <c r="W89" s="183" t="s">
        <v>1075</v>
      </c>
      <c r="X89" s="183"/>
      <c r="Y89" s="183"/>
      <c r="Z89" s="183" t="s">
        <v>733</v>
      </c>
      <c r="AA89" s="183" t="s">
        <v>734</v>
      </c>
      <c r="AB89" s="183"/>
      <c r="AC89" s="183"/>
      <c r="AD89" s="183" t="s">
        <v>1076</v>
      </c>
      <c r="AE89" s="183" t="s">
        <v>1057</v>
      </c>
    </row>
    <row r="90" spans="1:31" ht="27.6">
      <c r="A90" s="183" t="s">
        <v>694</v>
      </c>
      <c r="B90" s="183" t="s">
        <v>58</v>
      </c>
      <c r="C90" s="183" t="s">
        <v>58</v>
      </c>
      <c r="D90" s="184" t="s">
        <v>1047</v>
      </c>
      <c r="E90" s="183" t="s">
        <v>696</v>
      </c>
      <c r="F90" s="183" t="s">
        <v>697</v>
      </c>
      <c r="G90" s="183" t="s">
        <v>698</v>
      </c>
      <c r="H90" s="183" t="s">
        <v>4</v>
      </c>
      <c r="I90" s="183" t="s">
        <v>729</v>
      </c>
      <c r="J90" s="188">
        <v>46287</v>
      </c>
      <c r="K90" s="183" t="s">
        <v>1077</v>
      </c>
      <c r="L90" s="183" t="s">
        <v>121</v>
      </c>
      <c r="M90" s="183" t="s">
        <v>1078</v>
      </c>
      <c r="N90" s="185">
        <v>9</v>
      </c>
      <c r="O90" s="186">
        <v>18</v>
      </c>
      <c r="P90" s="185">
        <v>41</v>
      </c>
      <c r="Q90" s="185">
        <v>19</v>
      </c>
      <c r="R90" s="183" t="s">
        <v>702</v>
      </c>
      <c r="S90" s="185">
        <v>1121</v>
      </c>
      <c r="T90" s="189">
        <f t="shared" si="1"/>
        <v>18.683333333333334</v>
      </c>
      <c r="U90" s="183" t="s">
        <v>703</v>
      </c>
      <c r="V90" s="183" t="s">
        <v>704</v>
      </c>
      <c r="W90" s="183" t="s">
        <v>1079</v>
      </c>
      <c r="X90" s="183"/>
      <c r="Y90" s="183"/>
      <c r="Z90" s="183" t="s">
        <v>733</v>
      </c>
      <c r="AA90" s="183" t="s">
        <v>734</v>
      </c>
      <c r="AB90" s="183" t="s">
        <v>1080</v>
      </c>
      <c r="AC90" s="183"/>
      <c r="AD90" s="183" t="s">
        <v>1081</v>
      </c>
      <c r="AE90" s="183" t="s">
        <v>800</v>
      </c>
    </row>
    <row r="91" spans="1:31" ht="27.6" hidden="1">
      <c r="A91" s="183" t="s">
        <v>694</v>
      </c>
      <c r="B91" s="183" t="s">
        <v>58</v>
      </c>
      <c r="C91" s="183" t="s">
        <v>58</v>
      </c>
      <c r="D91" s="184" t="s">
        <v>1047</v>
      </c>
      <c r="E91" s="183" t="s">
        <v>696</v>
      </c>
      <c r="F91" s="183" t="s">
        <v>697</v>
      </c>
      <c r="G91" s="183" t="s">
        <v>698</v>
      </c>
      <c r="H91" s="183" t="s">
        <v>4</v>
      </c>
      <c r="I91" s="183" t="s">
        <v>729</v>
      </c>
      <c r="J91" s="188">
        <v>46294</v>
      </c>
      <c r="K91" s="183" t="s">
        <v>1082</v>
      </c>
      <c r="L91" s="183" t="s">
        <v>55</v>
      </c>
      <c r="M91" s="183" t="s">
        <v>802</v>
      </c>
      <c r="N91" s="185">
        <v>2</v>
      </c>
      <c r="O91" s="186">
        <v>113</v>
      </c>
      <c r="P91" s="185">
        <v>0</v>
      </c>
      <c r="Q91" s="185">
        <v>113</v>
      </c>
      <c r="R91" s="183" t="s">
        <v>702</v>
      </c>
      <c r="S91" s="185">
        <v>6780</v>
      </c>
      <c r="T91" s="189">
        <f t="shared" si="1"/>
        <v>113</v>
      </c>
      <c r="U91" s="183" t="s">
        <v>703</v>
      </c>
      <c r="V91" s="183" t="s">
        <v>526</v>
      </c>
      <c r="W91" s="183"/>
      <c r="X91" s="183"/>
      <c r="Y91" s="183"/>
      <c r="Z91" s="183" t="s">
        <v>803</v>
      </c>
      <c r="AA91" s="183" t="s">
        <v>804</v>
      </c>
      <c r="AB91" s="183"/>
      <c r="AC91" s="183"/>
      <c r="AD91" s="183" t="s">
        <v>1083</v>
      </c>
      <c r="AE91" s="183" t="s">
        <v>806</v>
      </c>
    </row>
    <row r="92" spans="1:31" ht="27.6" hidden="1">
      <c r="A92" s="183" t="s">
        <v>694</v>
      </c>
      <c r="B92" s="183" t="s">
        <v>58</v>
      </c>
      <c r="C92" s="183" t="s">
        <v>58</v>
      </c>
      <c r="D92" s="184" t="s">
        <v>1047</v>
      </c>
      <c r="E92" s="183" t="s">
        <v>696</v>
      </c>
      <c r="F92" s="183" t="s">
        <v>697</v>
      </c>
      <c r="G92" s="183" t="s">
        <v>698</v>
      </c>
      <c r="H92" s="183" t="s">
        <v>1</v>
      </c>
      <c r="I92" s="183" t="s">
        <v>1084</v>
      </c>
      <c r="J92" s="188">
        <v>46290</v>
      </c>
      <c r="K92" s="183" t="s">
        <v>1085</v>
      </c>
      <c r="L92" s="183" t="s">
        <v>122</v>
      </c>
      <c r="M92" s="183" t="s">
        <v>1086</v>
      </c>
      <c r="N92" s="185">
        <v>6</v>
      </c>
      <c r="O92" s="186">
        <v>4</v>
      </c>
      <c r="P92" s="185">
        <v>40.5</v>
      </c>
      <c r="Q92" s="185">
        <v>5</v>
      </c>
      <c r="R92" s="183" t="s">
        <v>702</v>
      </c>
      <c r="S92" s="185">
        <v>280.5</v>
      </c>
      <c r="T92" s="189">
        <f t="shared" si="1"/>
        <v>4.6749999999999998</v>
      </c>
      <c r="U92" s="183" t="s">
        <v>703</v>
      </c>
      <c r="V92" s="183" t="s">
        <v>526</v>
      </c>
      <c r="W92" s="183"/>
      <c r="X92" s="183"/>
      <c r="Y92" s="183"/>
      <c r="Z92" s="183" t="s">
        <v>733</v>
      </c>
      <c r="AA92" s="183" t="s">
        <v>734</v>
      </c>
      <c r="AB92" s="183"/>
      <c r="AC92" s="183"/>
      <c r="AD92" s="183" t="s">
        <v>1087</v>
      </c>
      <c r="AE92" s="183" t="s">
        <v>1088</v>
      </c>
    </row>
    <row r="93" spans="1:31" ht="27.6">
      <c r="A93" s="183" t="s">
        <v>694</v>
      </c>
      <c r="B93" s="183" t="s">
        <v>58</v>
      </c>
      <c r="C93" s="183" t="s">
        <v>58</v>
      </c>
      <c r="D93" s="184" t="s">
        <v>1047</v>
      </c>
      <c r="E93" s="183" t="s">
        <v>696</v>
      </c>
      <c r="F93" s="183" t="s">
        <v>697</v>
      </c>
      <c r="G93" s="183" t="s">
        <v>698</v>
      </c>
      <c r="H93" s="183" t="s">
        <v>8</v>
      </c>
      <c r="I93" s="183" t="s">
        <v>729</v>
      </c>
      <c r="J93" s="188">
        <v>46287</v>
      </c>
      <c r="K93" s="183" t="s">
        <v>1089</v>
      </c>
      <c r="L93" s="183" t="s">
        <v>123</v>
      </c>
      <c r="M93" s="183" t="s">
        <v>1090</v>
      </c>
      <c r="N93" s="185">
        <v>9</v>
      </c>
      <c r="O93" s="186">
        <v>57</v>
      </c>
      <c r="P93" s="185">
        <v>52</v>
      </c>
      <c r="Q93" s="185">
        <v>58</v>
      </c>
      <c r="R93" s="183" t="s">
        <v>702</v>
      </c>
      <c r="S93" s="185">
        <v>3472</v>
      </c>
      <c r="T93" s="189">
        <f t="shared" si="1"/>
        <v>57.866666666666667</v>
      </c>
      <c r="U93" s="183" t="s">
        <v>703</v>
      </c>
      <c r="V93" s="183" t="s">
        <v>704</v>
      </c>
      <c r="W93" s="183" t="s">
        <v>1091</v>
      </c>
      <c r="X93" s="183"/>
      <c r="Y93" s="183"/>
      <c r="Z93" s="183" t="s">
        <v>733</v>
      </c>
      <c r="AA93" s="183" t="s">
        <v>734</v>
      </c>
      <c r="AB93" s="183"/>
      <c r="AC93" s="183"/>
      <c r="AD93" s="183" t="s">
        <v>1092</v>
      </c>
      <c r="AE93" s="183" t="s">
        <v>806</v>
      </c>
    </row>
    <row r="94" spans="1:31" ht="27.6">
      <c r="A94" s="183" t="s">
        <v>694</v>
      </c>
      <c r="B94" s="183" t="s">
        <v>58</v>
      </c>
      <c r="C94" s="183" t="s">
        <v>58</v>
      </c>
      <c r="D94" s="184" t="s">
        <v>1047</v>
      </c>
      <c r="E94" s="183" t="s">
        <v>696</v>
      </c>
      <c r="F94" s="183" t="s">
        <v>697</v>
      </c>
      <c r="G94" s="183" t="s">
        <v>698</v>
      </c>
      <c r="H94" s="183" t="s">
        <v>7</v>
      </c>
      <c r="I94" s="183" t="s">
        <v>729</v>
      </c>
      <c r="J94" s="188">
        <v>46287</v>
      </c>
      <c r="K94" s="183" t="s">
        <v>1093</v>
      </c>
      <c r="L94" s="183" t="s">
        <v>124</v>
      </c>
      <c r="M94" s="183" t="s">
        <v>763</v>
      </c>
      <c r="N94" s="185">
        <v>9</v>
      </c>
      <c r="O94" s="186">
        <v>19</v>
      </c>
      <c r="P94" s="185">
        <v>20</v>
      </c>
      <c r="Q94" s="185">
        <v>20</v>
      </c>
      <c r="R94" s="183" t="s">
        <v>702</v>
      </c>
      <c r="S94" s="185">
        <v>1160</v>
      </c>
      <c r="T94" s="189">
        <f t="shared" si="1"/>
        <v>19.333333333333332</v>
      </c>
      <c r="U94" s="183" t="s">
        <v>703</v>
      </c>
      <c r="V94" s="183" t="s">
        <v>704</v>
      </c>
      <c r="W94" s="183" t="s">
        <v>1094</v>
      </c>
      <c r="X94" s="183"/>
      <c r="Y94" s="183"/>
      <c r="Z94" s="183" t="s">
        <v>733</v>
      </c>
      <c r="AA94" s="183" t="s">
        <v>734</v>
      </c>
      <c r="AB94" s="183"/>
      <c r="AC94" s="183"/>
      <c r="AD94" s="183" t="s">
        <v>1095</v>
      </c>
      <c r="AE94" s="183" t="s">
        <v>806</v>
      </c>
    </row>
    <row r="95" spans="1:31" ht="27.6">
      <c r="A95" s="183" t="s">
        <v>694</v>
      </c>
      <c r="B95" s="183" t="s">
        <v>58</v>
      </c>
      <c r="C95" s="183" t="s">
        <v>58</v>
      </c>
      <c r="D95" s="184" t="s">
        <v>1047</v>
      </c>
      <c r="E95" s="183" t="s">
        <v>696</v>
      </c>
      <c r="F95" s="183" t="s">
        <v>697</v>
      </c>
      <c r="G95" s="183" t="s">
        <v>698</v>
      </c>
      <c r="H95" s="183" t="s">
        <v>7</v>
      </c>
      <c r="I95" s="183" t="s">
        <v>729</v>
      </c>
      <c r="J95" s="188">
        <v>46287</v>
      </c>
      <c r="K95" s="183" t="s">
        <v>1096</v>
      </c>
      <c r="L95" s="183" t="s">
        <v>125</v>
      </c>
      <c r="M95" s="183" t="s">
        <v>763</v>
      </c>
      <c r="N95" s="185">
        <v>9</v>
      </c>
      <c r="O95" s="186">
        <v>26</v>
      </c>
      <c r="P95" s="185">
        <v>47</v>
      </c>
      <c r="Q95" s="185">
        <v>27</v>
      </c>
      <c r="R95" s="183" t="s">
        <v>702</v>
      </c>
      <c r="S95" s="185">
        <v>1607</v>
      </c>
      <c r="T95" s="189">
        <f t="shared" si="1"/>
        <v>26.783333333333335</v>
      </c>
      <c r="U95" s="183" t="s">
        <v>703</v>
      </c>
      <c r="V95" s="183" t="s">
        <v>704</v>
      </c>
      <c r="W95" s="183" t="s">
        <v>1097</v>
      </c>
      <c r="X95" s="183"/>
      <c r="Y95" s="183"/>
      <c r="Z95" s="183" t="s">
        <v>733</v>
      </c>
      <c r="AA95" s="183" t="s">
        <v>734</v>
      </c>
      <c r="AB95" s="183"/>
      <c r="AC95" s="183"/>
      <c r="AD95" s="183" t="s">
        <v>1098</v>
      </c>
      <c r="AE95" s="183" t="s">
        <v>800</v>
      </c>
    </row>
    <row r="96" spans="1:31" ht="27.6">
      <c r="A96" s="183" t="s">
        <v>694</v>
      </c>
      <c r="B96" s="183" t="s">
        <v>58</v>
      </c>
      <c r="C96" s="183" t="s">
        <v>58</v>
      </c>
      <c r="D96" s="184" t="s">
        <v>1047</v>
      </c>
      <c r="E96" s="183" t="s">
        <v>696</v>
      </c>
      <c r="F96" s="183" t="s">
        <v>697</v>
      </c>
      <c r="G96" s="183" t="s">
        <v>698</v>
      </c>
      <c r="H96" s="183" t="s">
        <v>5</v>
      </c>
      <c r="I96" s="183" t="s">
        <v>729</v>
      </c>
      <c r="J96" s="188">
        <v>46287</v>
      </c>
      <c r="K96" s="183" t="s">
        <v>1099</v>
      </c>
      <c r="L96" s="183" t="s">
        <v>126</v>
      </c>
      <c r="M96" s="183" t="s">
        <v>1100</v>
      </c>
      <c r="N96" s="185">
        <v>9</v>
      </c>
      <c r="O96" s="186">
        <v>12</v>
      </c>
      <c r="P96" s="185">
        <v>19</v>
      </c>
      <c r="Q96" s="185">
        <v>13</v>
      </c>
      <c r="R96" s="183" t="s">
        <v>702</v>
      </c>
      <c r="S96" s="185">
        <v>739</v>
      </c>
      <c r="T96" s="189">
        <f t="shared" si="1"/>
        <v>12.316666666666666</v>
      </c>
      <c r="U96" s="183" t="s">
        <v>703</v>
      </c>
      <c r="V96" s="183" t="s">
        <v>704</v>
      </c>
      <c r="W96" s="183" t="s">
        <v>1101</v>
      </c>
      <c r="X96" s="183"/>
      <c r="Y96" s="183"/>
      <c r="Z96" s="183" t="s">
        <v>733</v>
      </c>
      <c r="AA96" s="183" t="s">
        <v>734</v>
      </c>
      <c r="AB96" s="183" t="s">
        <v>821</v>
      </c>
      <c r="AC96" s="183"/>
      <c r="AD96" s="183" t="s">
        <v>1102</v>
      </c>
      <c r="AE96" s="183" t="s">
        <v>800</v>
      </c>
    </row>
    <row r="97" spans="1:31" ht="27.6">
      <c r="A97" s="183" t="s">
        <v>694</v>
      </c>
      <c r="B97" s="183" t="s">
        <v>58</v>
      </c>
      <c r="C97" s="183" t="s">
        <v>58</v>
      </c>
      <c r="D97" s="184" t="s">
        <v>1047</v>
      </c>
      <c r="E97" s="183" t="s">
        <v>696</v>
      </c>
      <c r="F97" s="183" t="s">
        <v>697</v>
      </c>
      <c r="G97" s="183" t="s">
        <v>698</v>
      </c>
      <c r="H97" s="183" t="s">
        <v>5</v>
      </c>
      <c r="I97" s="183" t="s">
        <v>729</v>
      </c>
      <c r="J97" s="188">
        <v>46287</v>
      </c>
      <c r="K97" s="183" t="s">
        <v>1103</v>
      </c>
      <c r="L97" s="183" t="s">
        <v>127</v>
      </c>
      <c r="M97" s="183" t="s">
        <v>1104</v>
      </c>
      <c r="N97" s="185">
        <v>9</v>
      </c>
      <c r="O97" s="186">
        <v>20</v>
      </c>
      <c r="P97" s="185">
        <v>3</v>
      </c>
      <c r="Q97" s="185">
        <v>20</v>
      </c>
      <c r="R97" s="183" t="s">
        <v>702</v>
      </c>
      <c r="S97" s="185">
        <v>1203</v>
      </c>
      <c r="T97" s="189">
        <f t="shared" si="1"/>
        <v>20.05</v>
      </c>
      <c r="U97" s="183" t="s">
        <v>703</v>
      </c>
      <c r="V97" s="183" t="s">
        <v>704</v>
      </c>
      <c r="W97" s="183" t="s">
        <v>1105</v>
      </c>
      <c r="X97" s="183"/>
      <c r="Y97" s="183"/>
      <c r="Z97" s="183" t="s">
        <v>733</v>
      </c>
      <c r="AA97" s="183" t="s">
        <v>734</v>
      </c>
      <c r="AB97" s="183"/>
      <c r="AC97" s="183"/>
      <c r="AD97" s="183" t="s">
        <v>1106</v>
      </c>
      <c r="AE97" s="183" t="s">
        <v>800</v>
      </c>
    </row>
    <row r="98" spans="1:31" ht="27.6">
      <c r="A98" s="183" t="s">
        <v>694</v>
      </c>
      <c r="B98" s="183" t="s">
        <v>58</v>
      </c>
      <c r="C98" s="183" t="s">
        <v>58</v>
      </c>
      <c r="D98" s="184" t="s">
        <v>1047</v>
      </c>
      <c r="E98" s="183" t="s">
        <v>696</v>
      </c>
      <c r="F98" s="183" t="s">
        <v>697</v>
      </c>
      <c r="G98" s="183" t="s">
        <v>698</v>
      </c>
      <c r="H98" s="183" t="s">
        <v>5</v>
      </c>
      <c r="I98" s="183" t="s">
        <v>729</v>
      </c>
      <c r="J98" s="188">
        <v>46287</v>
      </c>
      <c r="K98" s="183" t="s">
        <v>1107</v>
      </c>
      <c r="L98" s="183" t="s">
        <v>128</v>
      </c>
      <c r="M98" s="183" t="s">
        <v>162</v>
      </c>
      <c r="N98" s="185">
        <v>9</v>
      </c>
      <c r="O98" s="186">
        <v>4</v>
      </c>
      <c r="P98" s="185">
        <v>23</v>
      </c>
      <c r="Q98" s="185">
        <v>5</v>
      </c>
      <c r="R98" s="183" t="s">
        <v>702</v>
      </c>
      <c r="S98" s="185">
        <v>263</v>
      </c>
      <c r="T98" s="189">
        <f t="shared" si="1"/>
        <v>4.3833333333333337</v>
      </c>
      <c r="U98" s="183" t="s">
        <v>703</v>
      </c>
      <c r="V98" s="183" t="s">
        <v>704</v>
      </c>
      <c r="W98" s="183" t="s">
        <v>1108</v>
      </c>
      <c r="X98" s="183"/>
      <c r="Y98" s="183"/>
      <c r="Z98" s="183" t="s">
        <v>733</v>
      </c>
      <c r="AA98" s="183" t="s">
        <v>734</v>
      </c>
      <c r="AB98" s="183"/>
      <c r="AC98" s="183"/>
      <c r="AD98" s="183" t="s">
        <v>1109</v>
      </c>
      <c r="AE98" s="183" t="s">
        <v>1057</v>
      </c>
    </row>
    <row r="99" spans="1:31" ht="27.6">
      <c r="A99" s="183" t="s">
        <v>694</v>
      </c>
      <c r="B99" s="183" t="s">
        <v>58</v>
      </c>
      <c r="C99" s="183" t="s">
        <v>58</v>
      </c>
      <c r="D99" s="184" t="s">
        <v>1047</v>
      </c>
      <c r="E99" s="183" t="s">
        <v>696</v>
      </c>
      <c r="F99" s="183" t="s">
        <v>697</v>
      </c>
      <c r="G99" s="183" t="s">
        <v>698</v>
      </c>
      <c r="H99" s="183" t="s">
        <v>5</v>
      </c>
      <c r="I99" s="183" t="s">
        <v>729</v>
      </c>
      <c r="J99" s="188">
        <v>46287</v>
      </c>
      <c r="K99" s="183" t="s">
        <v>1110</v>
      </c>
      <c r="L99" s="183" t="s">
        <v>129</v>
      </c>
      <c r="M99" s="183" t="s">
        <v>1111</v>
      </c>
      <c r="N99" s="185">
        <v>9</v>
      </c>
      <c r="O99" s="186">
        <v>3</v>
      </c>
      <c r="P99" s="185">
        <v>48</v>
      </c>
      <c r="Q99" s="185">
        <v>4</v>
      </c>
      <c r="R99" s="183" t="s">
        <v>702</v>
      </c>
      <c r="S99" s="185">
        <v>228</v>
      </c>
      <c r="T99" s="189">
        <f t="shared" si="1"/>
        <v>3.8</v>
      </c>
      <c r="U99" s="183" t="s">
        <v>703</v>
      </c>
      <c r="V99" s="183" t="s">
        <v>704</v>
      </c>
      <c r="W99" s="183" t="s">
        <v>1112</v>
      </c>
      <c r="X99" s="183"/>
      <c r="Y99" s="183"/>
      <c r="Z99" s="183" t="s">
        <v>733</v>
      </c>
      <c r="AA99" s="183" t="s">
        <v>734</v>
      </c>
      <c r="AB99" s="183"/>
      <c r="AC99" s="183"/>
      <c r="AD99" s="183" t="s">
        <v>1113</v>
      </c>
      <c r="AE99" s="183" t="s">
        <v>800</v>
      </c>
    </row>
    <row r="100" spans="1:31" ht="27.6">
      <c r="A100" s="183" t="s">
        <v>694</v>
      </c>
      <c r="B100" s="183" t="s">
        <v>58</v>
      </c>
      <c r="C100" s="183" t="s">
        <v>58</v>
      </c>
      <c r="D100" s="184" t="s">
        <v>1047</v>
      </c>
      <c r="E100" s="183" t="s">
        <v>696</v>
      </c>
      <c r="F100" s="183" t="s">
        <v>697</v>
      </c>
      <c r="G100" s="183" t="s">
        <v>698</v>
      </c>
      <c r="H100" s="183" t="s">
        <v>5</v>
      </c>
      <c r="I100" s="183" t="s">
        <v>729</v>
      </c>
      <c r="J100" s="188">
        <v>46287</v>
      </c>
      <c r="K100" s="183" t="s">
        <v>1114</v>
      </c>
      <c r="L100" s="183" t="s">
        <v>130</v>
      </c>
      <c r="M100" s="183" t="s">
        <v>1115</v>
      </c>
      <c r="N100" s="185">
        <v>9</v>
      </c>
      <c r="O100" s="186">
        <v>23</v>
      </c>
      <c r="P100" s="185">
        <v>57</v>
      </c>
      <c r="Q100" s="185">
        <v>24</v>
      </c>
      <c r="R100" s="183" t="s">
        <v>702</v>
      </c>
      <c r="S100" s="185">
        <v>1437</v>
      </c>
      <c r="T100" s="189">
        <f t="shared" si="1"/>
        <v>23.95</v>
      </c>
      <c r="U100" s="183" t="s">
        <v>703</v>
      </c>
      <c r="V100" s="183" t="s">
        <v>704</v>
      </c>
      <c r="W100" s="183" t="s">
        <v>1116</v>
      </c>
      <c r="X100" s="183"/>
      <c r="Y100" s="183"/>
      <c r="Z100" s="183" t="s">
        <v>733</v>
      </c>
      <c r="AA100" s="183" t="s">
        <v>734</v>
      </c>
      <c r="AB100" s="183"/>
      <c r="AC100" s="183"/>
      <c r="AD100" s="183" t="s">
        <v>1117</v>
      </c>
      <c r="AE100" s="183" t="s">
        <v>800</v>
      </c>
    </row>
    <row r="101" spans="1:31" ht="27.6" hidden="1">
      <c r="A101" s="183" t="s">
        <v>694</v>
      </c>
      <c r="B101" s="183" t="s">
        <v>58</v>
      </c>
      <c r="C101" s="183" t="s">
        <v>58</v>
      </c>
      <c r="D101" s="184" t="s">
        <v>1118</v>
      </c>
      <c r="E101" s="183" t="s">
        <v>696</v>
      </c>
      <c r="F101" s="183" t="s">
        <v>795</v>
      </c>
      <c r="G101" s="183" t="s">
        <v>698</v>
      </c>
      <c r="H101" s="183" t="s">
        <v>4</v>
      </c>
      <c r="I101" s="183" t="s">
        <v>729</v>
      </c>
      <c r="J101" s="188">
        <v>45714</v>
      </c>
      <c r="K101" s="183" t="s">
        <v>1119</v>
      </c>
      <c r="L101" s="183" t="s">
        <v>131</v>
      </c>
      <c r="M101" s="183" t="s">
        <v>1120</v>
      </c>
      <c r="N101" s="185">
        <v>582</v>
      </c>
      <c r="O101" s="186">
        <v>0</v>
      </c>
      <c r="P101" s="185">
        <v>0.1</v>
      </c>
      <c r="Q101" s="185">
        <v>0</v>
      </c>
      <c r="R101" s="183" t="s">
        <v>702</v>
      </c>
      <c r="S101" s="185">
        <v>0.1</v>
      </c>
      <c r="T101" s="189">
        <f t="shared" si="1"/>
        <v>1.6666666666666668E-3</v>
      </c>
      <c r="U101" s="183" t="s">
        <v>703</v>
      </c>
      <c r="V101" s="183" t="s">
        <v>704</v>
      </c>
      <c r="W101" s="183" t="s">
        <v>1121</v>
      </c>
      <c r="X101" s="183"/>
      <c r="Y101" s="183"/>
      <c r="Z101" s="183" t="s">
        <v>706</v>
      </c>
      <c r="AA101" s="183" t="s">
        <v>707</v>
      </c>
      <c r="AB101" s="183" t="s">
        <v>708</v>
      </c>
      <c r="AC101" s="183"/>
      <c r="AD101" s="183" t="s">
        <v>1122</v>
      </c>
      <c r="AE101" s="183" t="s">
        <v>710</v>
      </c>
    </row>
    <row r="102" spans="1:31" ht="27.6" hidden="1">
      <c r="A102" s="183" t="s">
        <v>694</v>
      </c>
      <c r="B102" s="183" t="s">
        <v>133</v>
      </c>
      <c r="C102" s="183" t="s">
        <v>133</v>
      </c>
      <c r="D102" s="184" t="s">
        <v>1123</v>
      </c>
      <c r="E102" s="183" t="s">
        <v>696</v>
      </c>
      <c r="F102" s="183" t="s">
        <v>697</v>
      </c>
      <c r="G102" s="183" t="s">
        <v>698</v>
      </c>
      <c r="H102" s="183" t="s">
        <v>1</v>
      </c>
      <c r="I102" s="183" t="s">
        <v>1124</v>
      </c>
      <c r="J102" s="188">
        <v>46294</v>
      </c>
      <c r="K102" s="183" t="s">
        <v>1125</v>
      </c>
      <c r="L102" s="183" t="s">
        <v>132</v>
      </c>
      <c r="M102" s="183"/>
      <c r="N102" s="185">
        <v>2</v>
      </c>
      <c r="O102" s="186">
        <v>222</v>
      </c>
      <c r="P102" s="185">
        <v>44</v>
      </c>
      <c r="Q102" s="185">
        <v>223</v>
      </c>
      <c r="R102" s="183" t="s">
        <v>702</v>
      </c>
      <c r="S102" s="185">
        <v>13364</v>
      </c>
      <c r="T102" s="189">
        <f t="shared" si="1"/>
        <v>222.73333333333332</v>
      </c>
      <c r="U102" s="183" t="s">
        <v>703</v>
      </c>
      <c r="V102" s="183" t="s">
        <v>526</v>
      </c>
      <c r="W102" s="183"/>
      <c r="X102" s="183"/>
      <c r="Y102" s="183"/>
      <c r="Z102" s="183"/>
      <c r="AA102" s="183"/>
      <c r="AB102" s="183"/>
      <c r="AC102" s="183"/>
      <c r="AD102" s="183"/>
      <c r="AE102" s="183"/>
    </row>
    <row r="103" spans="1:31" ht="27.6" hidden="1">
      <c r="A103" s="183" t="s">
        <v>694</v>
      </c>
      <c r="B103" s="183" t="s">
        <v>133</v>
      </c>
      <c r="C103" s="183" t="s">
        <v>133</v>
      </c>
      <c r="D103" s="184" t="s">
        <v>1126</v>
      </c>
      <c r="E103" s="183" t="s">
        <v>696</v>
      </c>
      <c r="F103" s="183" t="s">
        <v>697</v>
      </c>
      <c r="G103" s="183" t="s">
        <v>698</v>
      </c>
      <c r="H103" s="183" t="s">
        <v>1</v>
      </c>
      <c r="I103" s="183" t="s">
        <v>1127</v>
      </c>
      <c r="J103" s="188">
        <v>46295</v>
      </c>
      <c r="K103" s="183" t="s">
        <v>1128</v>
      </c>
      <c r="L103" s="183" t="s">
        <v>134</v>
      </c>
      <c r="M103" s="183"/>
      <c r="N103" s="185">
        <v>1</v>
      </c>
      <c r="O103" s="186">
        <v>168</v>
      </c>
      <c r="P103" s="185">
        <v>10</v>
      </c>
      <c r="Q103" s="185">
        <v>169</v>
      </c>
      <c r="R103" s="183" t="s">
        <v>702</v>
      </c>
      <c r="S103" s="185">
        <v>10090</v>
      </c>
      <c r="T103" s="189">
        <f t="shared" si="1"/>
        <v>168.16666666666666</v>
      </c>
      <c r="U103" s="183" t="s">
        <v>703</v>
      </c>
      <c r="V103" s="183" t="s">
        <v>526</v>
      </c>
      <c r="W103" s="183"/>
      <c r="X103" s="183"/>
      <c r="Y103" s="183"/>
      <c r="Z103" s="183"/>
      <c r="AA103" s="183"/>
      <c r="AB103" s="183"/>
      <c r="AC103" s="183"/>
      <c r="AD103" s="183"/>
      <c r="AE103" s="183"/>
    </row>
    <row r="104" spans="1:31" ht="27.6" hidden="1">
      <c r="A104" s="183" t="s">
        <v>694</v>
      </c>
      <c r="B104" s="183" t="s">
        <v>133</v>
      </c>
      <c r="C104" s="183" t="s">
        <v>133</v>
      </c>
      <c r="D104" s="184" t="s">
        <v>1126</v>
      </c>
      <c r="E104" s="183" t="s">
        <v>696</v>
      </c>
      <c r="F104" s="183" t="s">
        <v>697</v>
      </c>
      <c r="G104" s="183" t="s">
        <v>698</v>
      </c>
      <c r="H104" s="183" t="s">
        <v>1</v>
      </c>
      <c r="I104" s="183" t="s">
        <v>1129</v>
      </c>
      <c r="J104" s="188">
        <v>46281</v>
      </c>
      <c r="K104" s="183" t="s">
        <v>1130</v>
      </c>
      <c r="L104" s="183" t="s">
        <v>135</v>
      </c>
      <c r="M104" s="183"/>
      <c r="N104" s="185">
        <v>15</v>
      </c>
      <c r="O104" s="186">
        <v>261</v>
      </c>
      <c r="P104" s="185">
        <v>40</v>
      </c>
      <c r="Q104" s="185">
        <v>262</v>
      </c>
      <c r="R104" s="183" t="s">
        <v>702</v>
      </c>
      <c r="S104" s="185">
        <v>15700</v>
      </c>
      <c r="T104" s="189">
        <f t="shared" si="1"/>
        <v>261.66666666666669</v>
      </c>
      <c r="U104" s="183" t="s">
        <v>703</v>
      </c>
      <c r="V104" s="183" t="s">
        <v>704</v>
      </c>
      <c r="W104" s="183" t="s">
        <v>1131</v>
      </c>
      <c r="X104" s="183" t="s">
        <v>1132</v>
      </c>
      <c r="Y104" s="183"/>
      <c r="Z104" s="183"/>
      <c r="AA104" s="183"/>
      <c r="AB104" s="183" t="s">
        <v>708</v>
      </c>
      <c r="AC104" s="183"/>
      <c r="AD104" s="183"/>
      <c r="AE104" s="183"/>
    </row>
    <row r="105" spans="1:31" ht="27.6" hidden="1">
      <c r="A105" s="183" t="s">
        <v>694</v>
      </c>
      <c r="B105" s="183" t="s">
        <v>133</v>
      </c>
      <c r="C105" s="183" t="s">
        <v>133</v>
      </c>
      <c r="D105" s="184" t="s">
        <v>1126</v>
      </c>
      <c r="E105" s="183" t="s">
        <v>696</v>
      </c>
      <c r="F105" s="183" t="s">
        <v>697</v>
      </c>
      <c r="G105" s="183" t="s">
        <v>698</v>
      </c>
      <c r="H105" s="183" t="s">
        <v>1</v>
      </c>
      <c r="I105" s="183" t="s">
        <v>1133</v>
      </c>
      <c r="J105" s="188">
        <v>46282</v>
      </c>
      <c r="K105" s="183" t="s">
        <v>1134</v>
      </c>
      <c r="L105" s="183" t="s">
        <v>136</v>
      </c>
      <c r="M105" s="183"/>
      <c r="N105" s="185">
        <v>14</v>
      </c>
      <c r="O105" s="186">
        <v>168</v>
      </c>
      <c r="P105" s="185">
        <v>35</v>
      </c>
      <c r="Q105" s="185">
        <v>169</v>
      </c>
      <c r="R105" s="183" t="s">
        <v>702</v>
      </c>
      <c r="S105" s="185">
        <v>10115</v>
      </c>
      <c r="T105" s="189">
        <f t="shared" si="1"/>
        <v>168.58333333333334</v>
      </c>
      <c r="U105" s="183" t="s">
        <v>703</v>
      </c>
      <c r="V105" s="183" t="s">
        <v>704</v>
      </c>
      <c r="W105" s="183" t="s">
        <v>1131</v>
      </c>
      <c r="X105" s="183" t="s">
        <v>1132</v>
      </c>
      <c r="Y105" s="183"/>
      <c r="Z105" s="183"/>
      <c r="AA105" s="183"/>
      <c r="AB105" s="183"/>
      <c r="AC105" s="183"/>
      <c r="AD105" s="183"/>
      <c r="AE105" s="183"/>
    </row>
    <row r="106" spans="1:31" ht="27.6" hidden="1">
      <c r="A106" s="183" t="s">
        <v>694</v>
      </c>
      <c r="B106" s="183" t="s">
        <v>133</v>
      </c>
      <c r="C106" s="183" t="s">
        <v>133</v>
      </c>
      <c r="D106" s="184" t="s">
        <v>1126</v>
      </c>
      <c r="E106" s="183" t="s">
        <v>696</v>
      </c>
      <c r="F106" s="183" t="s">
        <v>697</v>
      </c>
      <c r="G106" s="183" t="s">
        <v>698</v>
      </c>
      <c r="H106" s="183" t="s">
        <v>1</v>
      </c>
      <c r="I106" s="183" t="s">
        <v>1135</v>
      </c>
      <c r="J106" s="188">
        <v>46287</v>
      </c>
      <c r="K106" s="183" t="s">
        <v>1136</v>
      </c>
      <c r="L106" s="183" t="s">
        <v>137</v>
      </c>
      <c r="M106" s="183"/>
      <c r="N106" s="185">
        <v>9</v>
      </c>
      <c r="O106" s="186">
        <v>123</v>
      </c>
      <c r="P106" s="185">
        <v>17</v>
      </c>
      <c r="Q106" s="185">
        <v>124</v>
      </c>
      <c r="R106" s="183" t="s">
        <v>702</v>
      </c>
      <c r="S106" s="185">
        <v>7397</v>
      </c>
      <c r="T106" s="189">
        <f t="shared" si="1"/>
        <v>123.28333333333333</v>
      </c>
      <c r="U106" s="183" t="s">
        <v>703</v>
      </c>
      <c r="V106" s="183" t="s">
        <v>704</v>
      </c>
      <c r="W106" s="183" t="s">
        <v>1131</v>
      </c>
      <c r="X106" s="183" t="s">
        <v>1132</v>
      </c>
      <c r="Y106" s="183"/>
      <c r="Z106" s="183"/>
      <c r="AA106" s="183"/>
      <c r="AB106" s="183"/>
      <c r="AC106" s="183"/>
      <c r="AD106" s="183"/>
      <c r="AE106" s="183"/>
    </row>
    <row r="107" spans="1:31" ht="27.6" hidden="1">
      <c r="A107" s="183" t="s">
        <v>694</v>
      </c>
      <c r="B107" s="183" t="s">
        <v>133</v>
      </c>
      <c r="C107" s="183" t="s">
        <v>133</v>
      </c>
      <c r="D107" s="184" t="s">
        <v>1126</v>
      </c>
      <c r="E107" s="183" t="s">
        <v>696</v>
      </c>
      <c r="F107" s="183" t="s">
        <v>697</v>
      </c>
      <c r="G107" s="183" t="s">
        <v>698</v>
      </c>
      <c r="H107" s="183" t="s">
        <v>1</v>
      </c>
      <c r="I107" s="183" t="s">
        <v>1137</v>
      </c>
      <c r="J107" s="188">
        <v>46295</v>
      </c>
      <c r="K107" s="183" t="s">
        <v>1138</v>
      </c>
      <c r="L107" s="183" t="s">
        <v>138</v>
      </c>
      <c r="M107" s="183"/>
      <c r="N107" s="185">
        <v>1</v>
      </c>
      <c r="O107" s="186">
        <v>158</v>
      </c>
      <c r="P107" s="185">
        <v>0</v>
      </c>
      <c r="Q107" s="185">
        <v>158</v>
      </c>
      <c r="R107" s="183" t="s">
        <v>702</v>
      </c>
      <c r="S107" s="185">
        <v>9480</v>
      </c>
      <c r="T107" s="189">
        <f t="shared" si="1"/>
        <v>158</v>
      </c>
      <c r="U107" s="183" t="s">
        <v>703</v>
      </c>
      <c r="V107" s="183" t="s">
        <v>526</v>
      </c>
      <c r="W107" s="183"/>
      <c r="X107" s="183"/>
      <c r="Y107" s="183"/>
      <c r="Z107" s="183"/>
      <c r="AA107" s="183"/>
      <c r="AB107" s="183"/>
      <c r="AC107" s="183"/>
      <c r="AD107" s="183"/>
      <c r="AE107" s="183"/>
    </row>
    <row r="108" spans="1:31" ht="27.6" hidden="1">
      <c r="A108" s="183" t="s">
        <v>694</v>
      </c>
      <c r="B108" s="183" t="s">
        <v>140</v>
      </c>
      <c r="C108" s="183" t="s">
        <v>140</v>
      </c>
      <c r="D108" s="184" t="s">
        <v>1139</v>
      </c>
      <c r="E108" s="183" t="s">
        <v>696</v>
      </c>
      <c r="F108" s="183" t="s">
        <v>697</v>
      </c>
      <c r="G108" s="183" t="s">
        <v>698</v>
      </c>
      <c r="H108" s="183" t="s">
        <v>1</v>
      </c>
      <c r="I108" s="183" t="s">
        <v>1140</v>
      </c>
      <c r="J108" s="188">
        <v>46293</v>
      </c>
      <c r="K108" s="183" t="s">
        <v>1141</v>
      </c>
      <c r="L108" s="183" t="s">
        <v>139</v>
      </c>
      <c r="M108" s="183"/>
      <c r="N108" s="185">
        <v>3</v>
      </c>
      <c r="O108" s="186">
        <v>55</v>
      </c>
      <c r="P108" s="185">
        <v>15</v>
      </c>
      <c r="Q108" s="185">
        <v>56</v>
      </c>
      <c r="R108" s="183" t="s">
        <v>702</v>
      </c>
      <c r="S108" s="185">
        <v>3315</v>
      </c>
      <c r="T108" s="189">
        <f t="shared" si="1"/>
        <v>55.25</v>
      </c>
      <c r="U108" s="183" t="s">
        <v>703</v>
      </c>
      <c r="V108" s="183" t="s">
        <v>704</v>
      </c>
      <c r="W108" s="183" t="s">
        <v>1142</v>
      </c>
      <c r="X108" s="183" t="s">
        <v>1143</v>
      </c>
      <c r="Y108" s="183"/>
      <c r="Z108" s="183"/>
      <c r="AA108" s="183"/>
      <c r="AB108" s="183"/>
      <c r="AC108" s="183"/>
      <c r="AD108" s="183"/>
      <c r="AE108" s="183"/>
    </row>
    <row r="109" spans="1:31" ht="27.6" hidden="1">
      <c r="A109" s="183" t="s">
        <v>694</v>
      </c>
      <c r="B109" s="183" t="s">
        <v>140</v>
      </c>
      <c r="C109" s="183" t="s">
        <v>140</v>
      </c>
      <c r="D109" s="184" t="s">
        <v>1144</v>
      </c>
      <c r="E109" s="183" t="s">
        <v>696</v>
      </c>
      <c r="F109" s="183" t="s">
        <v>697</v>
      </c>
      <c r="G109" s="183" t="s">
        <v>698</v>
      </c>
      <c r="H109" s="183" t="s">
        <v>1</v>
      </c>
      <c r="I109" s="183" t="s">
        <v>1145</v>
      </c>
      <c r="J109" s="188">
        <v>46275</v>
      </c>
      <c r="K109" s="183" t="s">
        <v>1146</v>
      </c>
      <c r="L109" s="183" t="s">
        <v>141</v>
      </c>
      <c r="M109" s="183"/>
      <c r="N109" s="185">
        <v>21</v>
      </c>
      <c r="O109" s="186">
        <v>122</v>
      </c>
      <c r="P109" s="185">
        <v>6</v>
      </c>
      <c r="Q109" s="185">
        <v>122</v>
      </c>
      <c r="R109" s="183" t="s">
        <v>702</v>
      </c>
      <c r="S109" s="185">
        <v>7326</v>
      </c>
      <c r="T109" s="189">
        <f t="shared" si="1"/>
        <v>122.1</v>
      </c>
      <c r="U109" s="183" t="s">
        <v>703</v>
      </c>
      <c r="V109" s="183" t="s">
        <v>526</v>
      </c>
      <c r="W109" s="183"/>
      <c r="X109" s="183"/>
      <c r="Y109" s="183"/>
      <c r="Z109" s="183"/>
      <c r="AA109" s="183"/>
      <c r="AB109" s="183" t="s">
        <v>708</v>
      </c>
      <c r="AC109" s="183"/>
      <c r="AD109" s="183"/>
      <c r="AE109" s="183"/>
    </row>
    <row r="110" spans="1:31" ht="27.6" hidden="1">
      <c r="A110" s="183" t="s">
        <v>694</v>
      </c>
      <c r="B110" s="183" t="s">
        <v>140</v>
      </c>
      <c r="C110" s="183" t="s">
        <v>140</v>
      </c>
      <c r="D110" s="184" t="s">
        <v>1144</v>
      </c>
      <c r="E110" s="183" t="s">
        <v>696</v>
      </c>
      <c r="F110" s="183" t="s">
        <v>697</v>
      </c>
      <c r="G110" s="183" t="s">
        <v>698</v>
      </c>
      <c r="H110" s="183" t="s">
        <v>1</v>
      </c>
      <c r="I110" s="183" t="s">
        <v>1147</v>
      </c>
      <c r="J110" s="188">
        <v>46288</v>
      </c>
      <c r="K110" s="183" t="s">
        <v>1148</v>
      </c>
      <c r="L110" s="183" t="s">
        <v>142</v>
      </c>
      <c r="M110" s="183"/>
      <c r="N110" s="185">
        <v>8</v>
      </c>
      <c r="O110" s="186">
        <v>105</v>
      </c>
      <c r="P110" s="185">
        <v>33</v>
      </c>
      <c r="Q110" s="185">
        <v>106</v>
      </c>
      <c r="R110" s="183" t="s">
        <v>702</v>
      </c>
      <c r="S110" s="185">
        <v>6333</v>
      </c>
      <c r="T110" s="189">
        <f t="shared" si="1"/>
        <v>105.55</v>
      </c>
      <c r="U110" s="183" t="s">
        <v>703</v>
      </c>
      <c r="V110" s="183" t="s">
        <v>526</v>
      </c>
      <c r="W110" s="183"/>
      <c r="X110" s="183"/>
      <c r="Y110" s="183"/>
      <c r="Z110" s="183"/>
      <c r="AA110" s="183"/>
      <c r="AB110" s="183"/>
      <c r="AC110" s="183"/>
      <c r="AD110" s="183"/>
      <c r="AE110" s="183"/>
    </row>
    <row r="111" spans="1:31" ht="27.6" hidden="1">
      <c r="A111" s="183" t="s">
        <v>694</v>
      </c>
      <c r="B111" s="183" t="s">
        <v>140</v>
      </c>
      <c r="C111" s="183" t="s">
        <v>140</v>
      </c>
      <c r="D111" s="184" t="s">
        <v>1144</v>
      </c>
      <c r="E111" s="183" t="s">
        <v>696</v>
      </c>
      <c r="F111" s="183" t="s">
        <v>697</v>
      </c>
      <c r="G111" s="183" t="s">
        <v>698</v>
      </c>
      <c r="H111" s="183" t="s">
        <v>1</v>
      </c>
      <c r="I111" s="183" t="s">
        <v>1133</v>
      </c>
      <c r="J111" s="188">
        <v>46283</v>
      </c>
      <c r="K111" s="183" t="s">
        <v>1149</v>
      </c>
      <c r="L111" s="183" t="s">
        <v>143</v>
      </c>
      <c r="M111" s="183"/>
      <c r="N111" s="185">
        <v>13</v>
      </c>
      <c r="O111" s="186">
        <v>127</v>
      </c>
      <c r="P111" s="185">
        <v>5</v>
      </c>
      <c r="Q111" s="185">
        <v>127</v>
      </c>
      <c r="R111" s="183" t="s">
        <v>702</v>
      </c>
      <c r="S111" s="185">
        <v>7625</v>
      </c>
      <c r="T111" s="189">
        <f t="shared" si="1"/>
        <v>127.08333333333333</v>
      </c>
      <c r="U111" s="183" t="s">
        <v>703</v>
      </c>
      <c r="V111" s="183" t="s">
        <v>526</v>
      </c>
      <c r="W111" s="183"/>
      <c r="X111" s="183"/>
      <c r="Y111" s="183"/>
      <c r="Z111" s="183"/>
      <c r="AA111" s="183"/>
      <c r="AB111" s="183"/>
      <c r="AC111" s="183"/>
      <c r="AD111" s="183"/>
      <c r="AE111" s="183"/>
    </row>
    <row r="112" spans="1:31" ht="27.6" hidden="1">
      <c r="A112" s="183" t="s">
        <v>694</v>
      </c>
      <c r="B112" s="183" t="s">
        <v>140</v>
      </c>
      <c r="C112" s="183" t="s">
        <v>140</v>
      </c>
      <c r="D112" s="184" t="s">
        <v>1150</v>
      </c>
      <c r="E112" s="183" t="s">
        <v>696</v>
      </c>
      <c r="F112" s="183" t="s">
        <v>697</v>
      </c>
      <c r="G112" s="183" t="s">
        <v>698</v>
      </c>
      <c r="H112" s="183" t="s">
        <v>1</v>
      </c>
      <c r="I112" s="183" t="s">
        <v>1127</v>
      </c>
      <c r="J112" s="188">
        <v>46289</v>
      </c>
      <c r="K112" s="183" t="s">
        <v>1151</v>
      </c>
      <c r="L112" s="183" t="s">
        <v>144</v>
      </c>
      <c r="M112" s="183"/>
      <c r="N112" s="185">
        <v>7</v>
      </c>
      <c r="O112" s="186">
        <v>47</v>
      </c>
      <c r="P112" s="185">
        <v>54</v>
      </c>
      <c r="Q112" s="185">
        <v>48</v>
      </c>
      <c r="R112" s="183" t="s">
        <v>702</v>
      </c>
      <c r="S112" s="185">
        <v>2874</v>
      </c>
      <c r="T112" s="189">
        <f t="shared" si="1"/>
        <v>47.9</v>
      </c>
      <c r="U112" s="183" t="s">
        <v>703</v>
      </c>
      <c r="V112" s="183" t="s">
        <v>526</v>
      </c>
      <c r="W112" s="183"/>
      <c r="X112" s="183"/>
      <c r="Y112" s="183"/>
      <c r="Z112" s="183"/>
      <c r="AA112" s="183"/>
      <c r="AB112" s="183"/>
      <c r="AC112" s="183"/>
      <c r="AD112" s="183"/>
      <c r="AE112" s="183"/>
    </row>
    <row r="113" spans="1:31" ht="27.6" hidden="1">
      <c r="A113" s="183" t="s">
        <v>694</v>
      </c>
      <c r="B113" s="183" t="s">
        <v>140</v>
      </c>
      <c r="C113" s="183" t="s">
        <v>140</v>
      </c>
      <c r="D113" s="184" t="s">
        <v>1150</v>
      </c>
      <c r="E113" s="183" t="s">
        <v>696</v>
      </c>
      <c r="F113" s="183" t="s">
        <v>697</v>
      </c>
      <c r="G113" s="183" t="s">
        <v>698</v>
      </c>
      <c r="H113" s="183" t="s">
        <v>1</v>
      </c>
      <c r="I113" s="183" t="s">
        <v>1152</v>
      </c>
      <c r="J113" s="188">
        <v>46282</v>
      </c>
      <c r="K113" s="183" t="s">
        <v>1153</v>
      </c>
      <c r="L113" s="183" t="s">
        <v>145</v>
      </c>
      <c r="M113" s="183"/>
      <c r="N113" s="185">
        <v>14</v>
      </c>
      <c r="O113" s="186">
        <v>98</v>
      </c>
      <c r="P113" s="185">
        <v>12</v>
      </c>
      <c r="Q113" s="185">
        <v>99</v>
      </c>
      <c r="R113" s="183" t="s">
        <v>702</v>
      </c>
      <c r="S113" s="185">
        <v>5892</v>
      </c>
      <c r="T113" s="189">
        <f t="shared" si="1"/>
        <v>98.2</v>
      </c>
      <c r="U113" s="183" t="s">
        <v>703</v>
      </c>
      <c r="V113" s="183" t="s">
        <v>526</v>
      </c>
      <c r="W113" s="183"/>
      <c r="X113" s="183"/>
      <c r="Y113" s="183"/>
      <c r="Z113" s="183"/>
      <c r="AA113" s="183"/>
      <c r="AB113" s="183"/>
      <c r="AC113" s="183"/>
      <c r="AD113" s="183"/>
      <c r="AE113" s="183"/>
    </row>
    <row r="114" spans="1:31" ht="27.6" hidden="1">
      <c r="A114" s="183" t="s">
        <v>694</v>
      </c>
      <c r="B114" s="183" t="s">
        <v>140</v>
      </c>
      <c r="C114" s="183" t="s">
        <v>140</v>
      </c>
      <c r="D114" s="184" t="s">
        <v>1150</v>
      </c>
      <c r="E114" s="183" t="s">
        <v>696</v>
      </c>
      <c r="F114" s="183" t="s">
        <v>697</v>
      </c>
      <c r="G114" s="183" t="s">
        <v>698</v>
      </c>
      <c r="H114" s="183" t="s">
        <v>1</v>
      </c>
      <c r="I114" s="183" t="s">
        <v>1135</v>
      </c>
      <c r="J114" s="188">
        <v>46289</v>
      </c>
      <c r="K114" s="183" t="s">
        <v>1154</v>
      </c>
      <c r="L114" s="183" t="s">
        <v>146</v>
      </c>
      <c r="M114" s="183"/>
      <c r="N114" s="185">
        <v>7</v>
      </c>
      <c r="O114" s="186">
        <v>136</v>
      </c>
      <c r="P114" s="185">
        <v>53</v>
      </c>
      <c r="Q114" s="185">
        <v>137</v>
      </c>
      <c r="R114" s="183" t="s">
        <v>702</v>
      </c>
      <c r="S114" s="185">
        <v>8213</v>
      </c>
      <c r="T114" s="189">
        <f t="shared" si="1"/>
        <v>136.88333333333333</v>
      </c>
      <c r="U114" s="183" t="s">
        <v>703</v>
      </c>
      <c r="V114" s="183" t="s">
        <v>526</v>
      </c>
      <c r="W114" s="183"/>
      <c r="X114" s="183"/>
      <c r="Y114" s="183"/>
      <c r="Z114" s="183"/>
      <c r="AA114" s="183"/>
      <c r="AB114" s="183"/>
      <c r="AC114" s="183"/>
      <c r="AD114" s="183"/>
      <c r="AE114" s="183"/>
    </row>
    <row r="115" spans="1:31" ht="27.6" hidden="1">
      <c r="A115" s="183" t="s">
        <v>694</v>
      </c>
      <c r="B115" s="183" t="s">
        <v>140</v>
      </c>
      <c r="C115" s="183" t="s">
        <v>140</v>
      </c>
      <c r="D115" s="184" t="s">
        <v>1150</v>
      </c>
      <c r="E115" s="183" t="s">
        <v>696</v>
      </c>
      <c r="F115" s="183" t="s">
        <v>697</v>
      </c>
      <c r="G115" s="183" t="s">
        <v>698</v>
      </c>
      <c r="H115" s="183" t="s">
        <v>1</v>
      </c>
      <c r="I115" s="183" t="s">
        <v>1155</v>
      </c>
      <c r="J115" s="188">
        <v>46286</v>
      </c>
      <c r="K115" s="183" t="s">
        <v>1156</v>
      </c>
      <c r="L115" s="183" t="s">
        <v>147</v>
      </c>
      <c r="M115" s="183"/>
      <c r="N115" s="185">
        <v>10</v>
      </c>
      <c r="O115" s="186">
        <v>104</v>
      </c>
      <c r="P115" s="185">
        <v>29</v>
      </c>
      <c r="Q115" s="185">
        <v>105</v>
      </c>
      <c r="R115" s="183" t="s">
        <v>702</v>
      </c>
      <c r="S115" s="185">
        <v>6269</v>
      </c>
      <c r="T115" s="189">
        <f t="shared" si="1"/>
        <v>104.48333333333333</v>
      </c>
      <c r="U115" s="183" t="s">
        <v>703</v>
      </c>
      <c r="V115" s="183" t="s">
        <v>526</v>
      </c>
      <c r="W115" s="183"/>
      <c r="X115" s="183"/>
      <c r="Y115" s="183"/>
      <c r="Z115" s="183"/>
      <c r="AA115" s="183"/>
      <c r="AB115" s="183"/>
      <c r="AC115" s="183"/>
      <c r="AD115" s="183"/>
      <c r="AE115" s="183"/>
    </row>
    <row r="116" spans="1:31" ht="27.6" hidden="1">
      <c r="A116" s="183" t="s">
        <v>694</v>
      </c>
      <c r="B116" s="183" t="s">
        <v>140</v>
      </c>
      <c r="C116" s="183" t="s">
        <v>140</v>
      </c>
      <c r="D116" s="184" t="s">
        <v>1157</v>
      </c>
      <c r="E116" s="183" t="s">
        <v>696</v>
      </c>
      <c r="F116" s="183" t="s">
        <v>697</v>
      </c>
      <c r="G116" s="183" t="s">
        <v>698</v>
      </c>
      <c r="H116" s="183" t="s">
        <v>1</v>
      </c>
      <c r="I116" s="183" t="s">
        <v>1158</v>
      </c>
      <c r="J116" s="188">
        <v>46294</v>
      </c>
      <c r="K116" s="183" t="s">
        <v>1159</v>
      </c>
      <c r="L116" s="183" t="s">
        <v>148</v>
      </c>
      <c r="M116" s="183"/>
      <c r="N116" s="185">
        <v>2</v>
      </c>
      <c r="O116" s="186">
        <v>35</v>
      </c>
      <c r="P116" s="185">
        <v>36</v>
      </c>
      <c r="Q116" s="185">
        <v>36</v>
      </c>
      <c r="R116" s="183" t="s">
        <v>702</v>
      </c>
      <c r="S116" s="185">
        <v>2136</v>
      </c>
      <c r="T116" s="189">
        <f t="shared" si="1"/>
        <v>35.6</v>
      </c>
      <c r="U116" s="183" t="s">
        <v>703</v>
      </c>
      <c r="V116" s="183" t="s">
        <v>526</v>
      </c>
      <c r="W116" s="183"/>
      <c r="X116" s="183"/>
      <c r="Y116" s="183"/>
      <c r="Z116" s="183"/>
      <c r="AA116" s="183"/>
      <c r="AB116" s="183"/>
      <c r="AC116" s="183"/>
      <c r="AD116" s="183"/>
      <c r="AE116" s="183"/>
    </row>
    <row r="117" spans="1:31" ht="27.6" hidden="1">
      <c r="A117" s="183" t="s">
        <v>694</v>
      </c>
      <c r="B117" s="183" t="s">
        <v>140</v>
      </c>
      <c r="C117" s="183" t="s">
        <v>140</v>
      </c>
      <c r="D117" s="184" t="s">
        <v>1157</v>
      </c>
      <c r="E117" s="183" t="s">
        <v>696</v>
      </c>
      <c r="F117" s="183" t="s">
        <v>697</v>
      </c>
      <c r="G117" s="183" t="s">
        <v>698</v>
      </c>
      <c r="H117" s="183" t="s">
        <v>1</v>
      </c>
      <c r="I117" s="183" t="s">
        <v>1160</v>
      </c>
      <c r="J117" s="188">
        <v>46294</v>
      </c>
      <c r="K117" s="183" t="s">
        <v>1161</v>
      </c>
      <c r="L117" s="183" t="s">
        <v>149</v>
      </c>
      <c r="M117" s="183"/>
      <c r="N117" s="185">
        <v>2</v>
      </c>
      <c r="O117" s="186">
        <v>20</v>
      </c>
      <c r="P117" s="185">
        <v>59</v>
      </c>
      <c r="Q117" s="185">
        <v>21</v>
      </c>
      <c r="R117" s="183" t="s">
        <v>702</v>
      </c>
      <c r="S117" s="185">
        <v>1259</v>
      </c>
      <c r="T117" s="189">
        <f t="shared" si="1"/>
        <v>20.983333333333334</v>
      </c>
      <c r="U117" s="183" t="s">
        <v>703</v>
      </c>
      <c r="V117" s="183" t="s">
        <v>526</v>
      </c>
      <c r="W117" s="183"/>
      <c r="X117" s="183"/>
      <c r="Y117" s="183"/>
      <c r="Z117" s="183"/>
      <c r="AA117" s="183"/>
      <c r="AB117" s="183"/>
      <c r="AC117" s="183"/>
      <c r="AD117" s="183"/>
      <c r="AE117" s="183"/>
    </row>
    <row r="118" spans="1:31" ht="27.6" hidden="1">
      <c r="A118" s="183" t="s">
        <v>694</v>
      </c>
      <c r="B118" s="183" t="s">
        <v>140</v>
      </c>
      <c r="C118" s="183" t="s">
        <v>140</v>
      </c>
      <c r="D118" s="184" t="s">
        <v>1157</v>
      </c>
      <c r="E118" s="183" t="s">
        <v>696</v>
      </c>
      <c r="F118" s="183" t="s">
        <v>697</v>
      </c>
      <c r="G118" s="183" t="s">
        <v>698</v>
      </c>
      <c r="H118" s="183" t="s">
        <v>1</v>
      </c>
      <c r="I118" s="183" t="s">
        <v>1135</v>
      </c>
      <c r="J118" s="188">
        <v>46294</v>
      </c>
      <c r="K118" s="183" t="s">
        <v>1162</v>
      </c>
      <c r="L118" s="183" t="s">
        <v>132</v>
      </c>
      <c r="M118" s="183"/>
      <c r="N118" s="185">
        <v>2</v>
      </c>
      <c r="O118" s="186">
        <v>80</v>
      </c>
      <c r="P118" s="185">
        <v>39</v>
      </c>
      <c r="Q118" s="185">
        <v>81</v>
      </c>
      <c r="R118" s="183" t="s">
        <v>702</v>
      </c>
      <c r="S118" s="185">
        <v>4839</v>
      </c>
      <c r="T118" s="189">
        <f t="shared" si="1"/>
        <v>80.650000000000006</v>
      </c>
      <c r="U118" s="183" t="s">
        <v>703</v>
      </c>
      <c r="V118" s="183" t="s">
        <v>526</v>
      </c>
      <c r="W118" s="183"/>
      <c r="X118" s="183"/>
      <c r="Y118" s="183"/>
      <c r="Z118" s="183"/>
      <c r="AA118" s="183"/>
      <c r="AB118" s="183"/>
      <c r="AC118" s="183"/>
      <c r="AD118" s="183"/>
      <c r="AE118" s="183"/>
    </row>
    <row r="119" spans="1:31" ht="27.6" hidden="1">
      <c r="A119" s="183" t="s">
        <v>694</v>
      </c>
      <c r="B119" s="183" t="s">
        <v>140</v>
      </c>
      <c r="C119" s="183" t="s">
        <v>140</v>
      </c>
      <c r="D119" s="184" t="s">
        <v>1157</v>
      </c>
      <c r="E119" s="183" t="s">
        <v>696</v>
      </c>
      <c r="F119" s="183" t="s">
        <v>697</v>
      </c>
      <c r="G119" s="183" t="s">
        <v>698</v>
      </c>
      <c r="H119" s="183" t="s">
        <v>1</v>
      </c>
      <c r="I119" s="183" t="s">
        <v>1155</v>
      </c>
      <c r="J119" s="188">
        <v>46295</v>
      </c>
      <c r="K119" s="183" t="s">
        <v>1163</v>
      </c>
      <c r="L119" s="183" t="s">
        <v>138</v>
      </c>
      <c r="M119" s="183"/>
      <c r="N119" s="185">
        <v>1</v>
      </c>
      <c r="O119" s="186">
        <v>76</v>
      </c>
      <c r="P119" s="185">
        <v>53</v>
      </c>
      <c r="Q119" s="185">
        <v>77</v>
      </c>
      <c r="R119" s="183" t="s">
        <v>702</v>
      </c>
      <c r="S119" s="185">
        <v>4613</v>
      </c>
      <c r="T119" s="189">
        <f t="shared" si="1"/>
        <v>76.88333333333334</v>
      </c>
      <c r="U119" s="183" t="s">
        <v>703</v>
      </c>
      <c r="V119" s="183" t="s">
        <v>526</v>
      </c>
      <c r="W119" s="183"/>
      <c r="X119" s="183"/>
      <c r="Y119" s="183"/>
      <c r="Z119" s="183"/>
      <c r="AA119" s="183"/>
      <c r="AB119" s="183"/>
      <c r="AC119" s="183"/>
      <c r="AD119" s="183"/>
      <c r="AE119" s="183"/>
    </row>
    <row r="120" spans="1:31" ht="27.6" hidden="1">
      <c r="A120" s="183" t="s">
        <v>694</v>
      </c>
      <c r="B120" s="183" t="s">
        <v>140</v>
      </c>
      <c r="C120" s="183" t="s">
        <v>140</v>
      </c>
      <c r="D120" s="184" t="s">
        <v>1157</v>
      </c>
      <c r="E120" s="183" t="s">
        <v>696</v>
      </c>
      <c r="F120" s="183" t="s">
        <v>697</v>
      </c>
      <c r="G120" s="183" t="s">
        <v>698</v>
      </c>
      <c r="H120" s="183" t="s">
        <v>1</v>
      </c>
      <c r="I120" s="183" t="s">
        <v>1164</v>
      </c>
      <c r="J120" s="188">
        <v>46295</v>
      </c>
      <c r="K120" s="183" t="s">
        <v>1165</v>
      </c>
      <c r="L120" s="183" t="s">
        <v>134</v>
      </c>
      <c r="M120" s="183"/>
      <c r="N120" s="185">
        <v>1</v>
      </c>
      <c r="O120" s="186">
        <v>80</v>
      </c>
      <c r="P120" s="185">
        <v>30</v>
      </c>
      <c r="Q120" s="185">
        <v>81</v>
      </c>
      <c r="R120" s="183" t="s">
        <v>702</v>
      </c>
      <c r="S120" s="185">
        <v>4830</v>
      </c>
      <c r="T120" s="189">
        <f t="shared" si="1"/>
        <v>80.5</v>
      </c>
      <c r="U120" s="183" t="s">
        <v>703</v>
      </c>
      <c r="V120" s="183" t="s">
        <v>526</v>
      </c>
      <c r="W120" s="183"/>
      <c r="X120" s="183"/>
      <c r="Y120" s="183"/>
      <c r="Z120" s="183"/>
      <c r="AA120" s="183"/>
      <c r="AB120" s="183"/>
      <c r="AC120" s="183"/>
      <c r="AD120" s="183"/>
      <c r="AE120" s="183"/>
    </row>
    <row r="121" spans="1:31" ht="27.6" hidden="1">
      <c r="A121" s="183" t="s">
        <v>694</v>
      </c>
      <c r="B121" s="183" t="s">
        <v>140</v>
      </c>
      <c r="C121" s="183" t="s">
        <v>140</v>
      </c>
      <c r="D121" s="184" t="s">
        <v>1166</v>
      </c>
      <c r="E121" s="183" t="s">
        <v>696</v>
      </c>
      <c r="F121" s="183" t="s">
        <v>697</v>
      </c>
      <c r="G121" s="183" t="s">
        <v>698</v>
      </c>
      <c r="H121" s="183" t="s">
        <v>1</v>
      </c>
      <c r="I121" s="183" t="s">
        <v>1158</v>
      </c>
      <c r="J121" s="188">
        <v>46290</v>
      </c>
      <c r="K121" s="183" t="s">
        <v>1167</v>
      </c>
      <c r="L121" s="183" t="s">
        <v>150</v>
      </c>
      <c r="M121" s="183"/>
      <c r="N121" s="185">
        <v>6</v>
      </c>
      <c r="O121" s="186">
        <v>109</v>
      </c>
      <c r="P121" s="185">
        <v>49</v>
      </c>
      <c r="Q121" s="185">
        <v>110</v>
      </c>
      <c r="R121" s="183" t="s">
        <v>702</v>
      </c>
      <c r="S121" s="185">
        <v>6589</v>
      </c>
      <c r="T121" s="189">
        <f t="shared" si="1"/>
        <v>109.81666666666666</v>
      </c>
      <c r="U121" s="183" t="s">
        <v>703</v>
      </c>
      <c r="V121" s="183" t="s">
        <v>526</v>
      </c>
      <c r="W121" s="183"/>
      <c r="X121" s="183"/>
      <c r="Y121" s="183"/>
      <c r="Z121" s="183"/>
      <c r="AA121" s="183"/>
      <c r="AB121" s="183"/>
      <c r="AC121" s="183"/>
      <c r="AD121" s="183"/>
      <c r="AE121" s="183"/>
    </row>
    <row r="122" spans="1:31" ht="27.6" hidden="1">
      <c r="A122" s="183" t="s">
        <v>694</v>
      </c>
      <c r="B122" s="183" t="s">
        <v>140</v>
      </c>
      <c r="C122" s="183" t="s">
        <v>140</v>
      </c>
      <c r="D122" s="184" t="s">
        <v>1166</v>
      </c>
      <c r="E122" s="183" t="s">
        <v>696</v>
      </c>
      <c r="F122" s="183" t="s">
        <v>697</v>
      </c>
      <c r="G122" s="183" t="s">
        <v>698</v>
      </c>
      <c r="H122" s="183" t="s">
        <v>1</v>
      </c>
      <c r="I122" s="183" t="s">
        <v>1168</v>
      </c>
      <c r="J122" s="188">
        <v>46290</v>
      </c>
      <c r="K122" s="183" t="s">
        <v>1169</v>
      </c>
      <c r="L122" s="183" t="s">
        <v>151</v>
      </c>
      <c r="M122" s="183"/>
      <c r="N122" s="185">
        <v>6</v>
      </c>
      <c r="O122" s="186">
        <v>54</v>
      </c>
      <c r="P122" s="185">
        <v>57</v>
      </c>
      <c r="Q122" s="185">
        <v>55</v>
      </c>
      <c r="R122" s="183" t="s">
        <v>702</v>
      </c>
      <c r="S122" s="185">
        <v>3297</v>
      </c>
      <c r="T122" s="189">
        <f t="shared" si="1"/>
        <v>54.95</v>
      </c>
      <c r="U122" s="183" t="s">
        <v>703</v>
      </c>
      <c r="V122" s="183" t="s">
        <v>526</v>
      </c>
      <c r="W122" s="183"/>
      <c r="X122" s="183"/>
      <c r="Y122" s="183"/>
      <c r="Z122" s="183"/>
      <c r="AA122" s="183"/>
      <c r="AB122" s="183"/>
      <c r="AC122" s="183"/>
      <c r="AD122" s="183"/>
      <c r="AE122" s="183"/>
    </row>
    <row r="123" spans="1:31" ht="27.6" hidden="1">
      <c r="A123" s="183" t="s">
        <v>694</v>
      </c>
      <c r="B123" s="183" t="s">
        <v>140</v>
      </c>
      <c r="C123" s="183" t="s">
        <v>140</v>
      </c>
      <c r="D123" s="184" t="s">
        <v>1170</v>
      </c>
      <c r="E123" s="183" t="s">
        <v>696</v>
      </c>
      <c r="F123" s="183" t="s">
        <v>697</v>
      </c>
      <c r="G123" s="183" t="s">
        <v>698</v>
      </c>
      <c r="H123" s="183" t="s">
        <v>1</v>
      </c>
      <c r="I123" s="183" t="s">
        <v>1155</v>
      </c>
      <c r="J123" s="188">
        <v>46287</v>
      </c>
      <c r="K123" s="183" t="s">
        <v>1171</v>
      </c>
      <c r="L123" s="183" t="s">
        <v>152</v>
      </c>
      <c r="M123" s="183"/>
      <c r="N123" s="185">
        <v>9</v>
      </c>
      <c r="O123" s="186">
        <v>52</v>
      </c>
      <c r="P123" s="185">
        <v>31</v>
      </c>
      <c r="Q123" s="185">
        <v>53</v>
      </c>
      <c r="R123" s="183" t="s">
        <v>702</v>
      </c>
      <c r="S123" s="185">
        <v>3151</v>
      </c>
      <c r="T123" s="189">
        <f t="shared" si="1"/>
        <v>52.516666666666666</v>
      </c>
      <c r="U123" s="183" t="s">
        <v>703</v>
      </c>
      <c r="V123" s="183" t="s">
        <v>526</v>
      </c>
      <c r="W123" s="183"/>
      <c r="X123" s="183"/>
      <c r="Y123" s="183"/>
      <c r="Z123" s="183"/>
      <c r="AA123" s="183"/>
      <c r="AB123" s="183"/>
      <c r="AC123" s="183"/>
      <c r="AD123" s="183"/>
      <c r="AE123" s="183"/>
    </row>
    <row r="124" spans="1:31" ht="27.6" hidden="1">
      <c r="A124" s="183" t="s">
        <v>694</v>
      </c>
      <c r="B124" s="183" t="s">
        <v>154</v>
      </c>
      <c r="C124" s="183" t="s">
        <v>154</v>
      </c>
      <c r="D124" s="184" t="s">
        <v>1172</v>
      </c>
      <c r="E124" s="183" t="s">
        <v>696</v>
      </c>
      <c r="F124" s="183" t="s">
        <v>697</v>
      </c>
      <c r="G124" s="183" t="s">
        <v>698</v>
      </c>
      <c r="H124" s="183" t="s">
        <v>1</v>
      </c>
      <c r="I124" s="183" t="s">
        <v>1173</v>
      </c>
      <c r="J124" s="188">
        <v>46280</v>
      </c>
      <c r="K124" s="183" t="s">
        <v>1174</v>
      </c>
      <c r="L124" s="183" t="s">
        <v>153</v>
      </c>
      <c r="M124" s="183"/>
      <c r="N124" s="185">
        <v>16</v>
      </c>
      <c r="O124" s="186">
        <v>48</v>
      </c>
      <c r="P124" s="185">
        <v>30</v>
      </c>
      <c r="Q124" s="185">
        <v>49</v>
      </c>
      <c r="R124" s="183" t="s">
        <v>702</v>
      </c>
      <c r="S124" s="185">
        <v>2910</v>
      </c>
      <c r="T124" s="189">
        <f t="shared" si="1"/>
        <v>48.5</v>
      </c>
      <c r="U124" s="183" t="s">
        <v>703</v>
      </c>
      <c r="V124" s="183" t="s">
        <v>704</v>
      </c>
      <c r="W124" s="183" t="s">
        <v>1175</v>
      </c>
      <c r="X124" s="183" t="s">
        <v>1176</v>
      </c>
      <c r="Y124" s="183"/>
      <c r="Z124" s="183"/>
      <c r="AA124" s="183"/>
      <c r="AB124" s="183"/>
      <c r="AC124" s="183"/>
      <c r="AD124" s="183"/>
      <c r="AE124" s="183"/>
    </row>
    <row r="125" spans="1:31" ht="27.6" hidden="1">
      <c r="A125" s="183" t="s">
        <v>694</v>
      </c>
      <c r="B125" s="183" t="s">
        <v>154</v>
      </c>
      <c r="C125" s="183" t="s">
        <v>154</v>
      </c>
      <c r="D125" s="184" t="s">
        <v>1166</v>
      </c>
      <c r="E125" s="183" t="s">
        <v>696</v>
      </c>
      <c r="F125" s="183" t="s">
        <v>697</v>
      </c>
      <c r="G125" s="183" t="s">
        <v>698</v>
      </c>
      <c r="H125" s="183" t="s">
        <v>1</v>
      </c>
      <c r="I125" s="183" t="s">
        <v>1177</v>
      </c>
      <c r="J125" s="188">
        <v>46293</v>
      </c>
      <c r="K125" s="183" t="s">
        <v>1178</v>
      </c>
      <c r="L125" s="183" t="s">
        <v>155</v>
      </c>
      <c r="M125" s="183"/>
      <c r="N125" s="185">
        <v>3</v>
      </c>
      <c r="O125" s="186">
        <v>163</v>
      </c>
      <c r="P125" s="185">
        <v>42</v>
      </c>
      <c r="Q125" s="185">
        <v>164</v>
      </c>
      <c r="R125" s="183" t="s">
        <v>702</v>
      </c>
      <c r="S125" s="185">
        <v>9822</v>
      </c>
      <c r="T125" s="189">
        <f t="shared" si="1"/>
        <v>163.69999999999999</v>
      </c>
      <c r="U125" s="183" t="s">
        <v>703</v>
      </c>
      <c r="V125" s="183" t="s">
        <v>526</v>
      </c>
      <c r="W125" s="183"/>
      <c r="X125" s="183"/>
      <c r="Y125" s="183"/>
      <c r="Z125" s="183"/>
      <c r="AA125" s="183"/>
      <c r="AB125" s="183"/>
      <c r="AC125" s="183"/>
      <c r="AD125" s="183"/>
      <c r="AE125" s="183"/>
    </row>
    <row r="126" spans="1:31" ht="27.6" hidden="1">
      <c r="A126" s="183" t="s">
        <v>694</v>
      </c>
      <c r="B126" s="183" t="s">
        <v>154</v>
      </c>
      <c r="C126" s="183" t="s">
        <v>154</v>
      </c>
      <c r="D126" s="184" t="s">
        <v>1179</v>
      </c>
      <c r="E126" s="183" t="s">
        <v>696</v>
      </c>
      <c r="F126" s="183" t="s">
        <v>697</v>
      </c>
      <c r="G126" s="183" t="s">
        <v>698</v>
      </c>
      <c r="H126" s="183" t="s">
        <v>1</v>
      </c>
      <c r="I126" s="183" t="s">
        <v>1173</v>
      </c>
      <c r="J126" s="188">
        <v>46245</v>
      </c>
      <c r="K126" s="183" t="s">
        <v>1180</v>
      </c>
      <c r="L126" s="183" t="s">
        <v>156</v>
      </c>
      <c r="M126" s="183"/>
      <c r="N126" s="185">
        <v>51</v>
      </c>
      <c r="O126" s="186">
        <v>8</v>
      </c>
      <c r="P126" s="185">
        <v>54</v>
      </c>
      <c r="Q126" s="185">
        <v>9</v>
      </c>
      <c r="R126" s="183" t="s">
        <v>702</v>
      </c>
      <c r="S126" s="185">
        <v>534</v>
      </c>
      <c r="T126" s="189">
        <f t="shared" si="1"/>
        <v>8.9</v>
      </c>
      <c r="U126" s="183" t="s">
        <v>703</v>
      </c>
      <c r="V126" s="183" t="s">
        <v>526</v>
      </c>
      <c r="W126" s="183"/>
      <c r="X126" s="183"/>
      <c r="Y126" s="183"/>
      <c r="Z126" s="183"/>
      <c r="AA126" s="183"/>
      <c r="AB126" s="183"/>
      <c r="AC126" s="183"/>
      <c r="AD126" s="183"/>
      <c r="AE126" s="183"/>
    </row>
    <row r="127" spans="1:31" ht="27.6" hidden="1">
      <c r="A127" s="183" t="s">
        <v>694</v>
      </c>
      <c r="B127" s="183" t="s">
        <v>154</v>
      </c>
      <c r="C127" s="183" t="s">
        <v>154</v>
      </c>
      <c r="D127" s="184" t="s">
        <v>1179</v>
      </c>
      <c r="E127" s="183" t="s">
        <v>696</v>
      </c>
      <c r="F127" s="183" t="s">
        <v>697</v>
      </c>
      <c r="G127" s="183" t="s">
        <v>698</v>
      </c>
      <c r="H127" s="183" t="s">
        <v>1</v>
      </c>
      <c r="I127" s="183" t="s">
        <v>1181</v>
      </c>
      <c r="J127" s="188">
        <v>46287</v>
      </c>
      <c r="K127" s="183" t="s">
        <v>1182</v>
      </c>
      <c r="L127" s="183" t="s">
        <v>157</v>
      </c>
      <c r="M127" s="183"/>
      <c r="N127" s="185">
        <v>9</v>
      </c>
      <c r="O127" s="186">
        <v>41</v>
      </c>
      <c r="P127" s="185">
        <v>5</v>
      </c>
      <c r="Q127" s="185">
        <v>42</v>
      </c>
      <c r="R127" s="183" t="s">
        <v>702</v>
      </c>
      <c r="S127" s="185">
        <v>2465</v>
      </c>
      <c r="T127" s="189">
        <f t="shared" si="1"/>
        <v>41.083333333333336</v>
      </c>
      <c r="U127" s="183" t="s">
        <v>703</v>
      </c>
      <c r="V127" s="183" t="s">
        <v>526</v>
      </c>
      <c r="W127" s="183"/>
      <c r="X127" s="183"/>
      <c r="Y127" s="183"/>
      <c r="Z127" s="183"/>
      <c r="AA127" s="183"/>
      <c r="AB127" s="183"/>
      <c r="AC127" s="183"/>
      <c r="AD127" s="183"/>
      <c r="AE127" s="183"/>
    </row>
    <row r="128" spans="1:31" ht="27.6" hidden="1">
      <c r="A128" s="183" t="s">
        <v>694</v>
      </c>
      <c r="B128" s="183" t="s">
        <v>154</v>
      </c>
      <c r="C128" s="183" t="s">
        <v>154</v>
      </c>
      <c r="D128" s="184" t="s">
        <v>1183</v>
      </c>
      <c r="E128" s="183" t="s">
        <v>696</v>
      </c>
      <c r="F128" s="183" t="s">
        <v>697</v>
      </c>
      <c r="G128" s="183" t="s">
        <v>698</v>
      </c>
      <c r="H128" s="183" t="s">
        <v>1</v>
      </c>
      <c r="I128" s="183" t="s">
        <v>1184</v>
      </c>
      <c r="J128" s="188">
        <v>46245</v>
      </c>
      <c r="K128" s="183" t="s">
        <v>1185</v>
      </c>
      <c r="L128" s="183" t="s">
        <v>158</v>
      </c>
      <c r="M128" s="183"/>
      <c r="N128" s="185">
        <v>51</v>
      </c>
      <c r="O128" s="186">
        <v>9</v>
      </c>
      <c r="P128" s="185">
        <v>14</v>
      </c>
      <c r="Q128" s="185">
        <v>10</v>
      </c>
      <c r="R128" s="183" t="s">
        <v>702</v>
      </c>
      <c r="S128" s="185">
        <v>554</v>
      </c>
      <c r="T128" s="189">
        <f t="shared" si="1"/>
        <v>9.2333333333333325</v>
      </c>
      <c r="U128" s="183" t="s">
        <v>703</v>
      </c>
      <c r="V128" s="183" t="s">
        <v>526</v>
      </c>
      <c r="W128" s="183"/>
      <c r="X128" s="183"/>
      <c r="Y128" s="183"/>
      <c r="Z128" s="183"/>
      <c r="AA128" s="183"/>
      <c r="AB128" s="183"/>
      <c r="AC128" s="183"/>
      <c r="AD128" s="183"/>
      <c r="AE128" s="183"/>
    </row>
    <row r="129" spans="1:31" ht="27.6" hidden="1">
      <c r="A129" s="183" t="s">
        <v>694</v>
      </c>
      <c r="B129" s="183" t="s">
        <v>154</v>
      </c>
      <c r="C129" s="183" t="s">
        <v>154</v>
      </c>
      <c r="D129" s="184" t="s">
        <v>1183</v>
      </c>
      <c r="E129" s="183" t="s">
        <v>696</v>
      </c>
      <c r="F129" s="183" t="s">
        <v>697</v>
      </c>
      <c r="G129" s="183" t="s">
        <v>698</v>
      </c>
      <c r="H129" s="183" t="s">
        <v>1</v>
      </c>
      <c r="I129" s="183" t="s">
        <v>1186</v>
      </c>
      <c r="J129" s="188">
        <v>46065</v>
      </c>
      <c r="K129" s="183" t="s">
        <v>1187</v>
      </c>
      <c r="L129" s="183" t="s">
        <v>159</v>
      </c>
      <c r="M129" s="183"/>
      <c r="N129" s="185">
        <v>231</v>
      </c>
      <c r="O129" s="186">
        <v>41</v>
      </c>
      <c r="P129" s="185">
        <v>36</v>
      </c>
      <c r="Q129" s="185">
        <v>42</v>
      </c>
      <c r="R129" s="183" t="s">
        <v>702</v>
      </c>
      <c r="S129" s="185">
        <v>2496</v>
      </c>
      <c r="T129" s="189">
        <f t="shared" si="1"/>
        <v>41.6</v>
      </c>
      <c r="U129" s="183" t="s">
        <v>703</v>
      </c>
      <c r="V129" s="183" t="s">
        <v>526</v>
      </c>
      <c r="W129" s="183"/>
      <c r="X129" s="183"/>
      <c r="Y129" s="183"/>
      <c r="Z129" s="183"/>
      <c r="AA129" s="183"/>
      <c r="AB129" s="183" t="s">
        <v>708</v>
      </c>
      <c r="AC129" s="183"/>
      <c r="AD129" s="183"/>
      <c r="AE129" s="183"/>
    </row>
    <row r="130" spans="1:31" ht="27.6" hidden="1">
      <c r="A130" s="183" t="s">
        <v>694</v>
      </c>
      <c r="B130" s="183" t="s">
        <v>154</v>
      </c>
      <c r="C130" s="183" t="s">
        <v>154</v>
      </c>
      <c r="D130" s="184" t="s">
        <v>1183</v>
      </c>
      <c r="E130" s="183" t="s">
        <v>696</v>
      </c>
      <c r="F130" s="183" t="s">
        <v>697</v>
      </c>
      <c r="G130" s="183" t="s">
        <v>698</v>
      </c>
      <c r="H130" s="183" t="s">
        <v>1</v>
      </c>
      <c r="I130" s="183" t="s">
        <v>1188</v>
      </c>
      <c r="J130" s="188">
        <v>46150</v>
      </c>
      <c r="K130" s="183" t="s">
        <v>1189</v>
      </c>
      <c r="L130" s="183" t="s">
        <v>160</v>
      </c>
      <c r="M130" s="183"/>
      <c r="N130" s="185">
        <v>146</v>
      </c>
      <c r="O130" s="186">
        <v>11</v>
      </c>
      <c r="P130" s="185">
        <v>7</v>
      </c>
      <c r="Q130" s="185">
        <v>11</v>
      </c>
      <c r="R130" s="183" t="s">
        <v>702</v>
      </c>
      <c r="S130" s="185">
        <v>667</v>
      </c>
      <c r="T130" s="189">
        <f t="shared" si="1"/>
        <v>11.116666666666667</v>
      </c>
      <c r="U130" s="183" t="s">
        <v>703</v>
      </c>
      <c r="V130" s="183" t="s">
        <v>526</v>
      </c>
      <c r="W130" s="183"/>
      <c r="X130" s="183"/>
      <c r="Y130" s="183"/>
      <c r="Z130" s="183"/>
      <c r="AA130" s="183"/>
      <c r="AB130" s="183"/>
      <c r="AC130" s="183"/>
      <c r="AD130" s="183"/>
      <c r="AE130" s="183"/>
    </row>
    <row r="131" spans="1:31" ht="27.6" hidden="1">
      <c r="A131" s="183" t="s">
        <v>694</v>
      </c>
      <c r="B131" s="183" t="s">
        <v>162</v>
      </c>
      <c r="C131" s="183" t="s">
        <v>162</v>
      </c>
      <c r="D131" s="184" t="s">
        <v>817</v>
      </c>
      <c r="E131" s="183" t="s">
        <v>696</v>
      </c>
      <c r="F131" s="183" t="s">
        <v>697</v>
      </c>
      <c r="G131" s="183" t="s">
        <v>698</v>
      </c>
      <c r="H131" s="183" t="s">
        <v>1</v>
      </c>
      <c r="I131" s="183" t="s">
        <v>1190</v>
      </c>
      <c r="J131" s="188">
        <v>46295</v>
      </c>
      <c r="K131" s="183" t="s">
        <v>1191</v>
      </c>
      <c r="L131" s="183" t="s">
        <v>161</v>
      </c>
      <c r="M131" s="183"/>
      <c r="N131" s="185">
        <v>1</v>
      </c>
      <c r="O131" s="186">
        <v>29</v>
      </c>
      <c r="P131" s="185">
        <v>48</v>
      </c>
      <c r="Q131" s="185">
        <v>30</v>
      </c>
      <c r="R131" s="183" t="s">
        <v>702</v>
      </c>
      <c r="S131" s="185">
        <v>1788</v>
      </c>
      <c r="T131" s="189">
        <f t="shared" ref="T131:T194" si="2">S131/60</f>
        <v>29.8</v>
      </c>
      <c r="U131" s="183" t="s">
        <v>703</v>
      </c>
      <c r="V131" s="183" t="s">
        <v>526</v>
      </c>
      <c r="W131" s="183"/>
      <c r="X131" s="183"/>
      <c r="Y131" s="183"/>
      <c r="Z131" s="183"/>
      <c r="AA131" s="183"/>
      <c r="AB131" s="183"/>
      <c r="AC131" s="183"/>
      <c r="AD131" s="183"/>
      <c r="AE131" s="183"/>
    </row>
    <row r="132" spans="1:31" ht="27.6" hidden="1">
      <c r="A132" s="183" t="s">
        <v>694</v>
      </c>
      <c r="B132" s="183" t="s">
        <v>162</v>
      </c>
      <c r="C132" s="183" t="s">
        <v>162</v>
      </c>
      <c r="D132" s="184" t="s">
        <v>817</v>
      </c>
      <c r="E132" s="183" t="s">
        <v>696</v>
      </c>
      <c r="F132" s="183" t="s">
        <v>697</v>
      </c>
      <c r="G132" s="183" t="s">
        <v>698</v>
      </c>
      <c r="H132" s="183" t="s">
        <v>1</v>
      </c>
      <c r="I132" s="183" t="s">
        <v>1192</v>
      </c>
      <c r="J132" s="188">
        <v>46239</v>
      </c>
      <c r="K132" s="183" t="s">
        <v>1193</v>
      </c>
      <c r="L132" s="183" t="s">
        <v>163</v>
      </c>
      <c r="M132" s="183"/>
      <c r="N132" s="185">
        <v>57</v>
      </c>
      <c r="O132" s="186">
        <v>0</v>
      </c>
      <c r="P132" s="185">
        <v>11</v>
      </c>
      <c r="Q132" s="185">
        <v>1</v>
      </c>
      <c r="R132" s="183" t="s">
        <v>702</v>
      </c>
      <c r="S132" s="185">
        <v>11</v>
      </c>
      <c r="T132" s="189">
        <f t="shared" si="2"/>
        <v>0.18333333333333332</v>
      </c>
      <c r="U132" s="183" t="s">
        <v>703</v>
      </c>
      <c r="V132" s="183" t="s">
        <v>526</v>
      </c>
      <c r="W132" s="183"/>
      <c r="X132" s="183"/>
      <c r="Y132" s="183"/>
      <c r="Z132" s="183"/>
      <c r="AA132" s="183"/>
      <c r="AB132" s="183"/>
      <c r="AC132" s="183"/>
      <c r="AD132" s="183"/>
      <c r="AE132" s="183"/>
    </row>
    <row r="133" spans="1:31" ht="27.6" hidden="1">
      <c r="A133" s="183" t="s">
        <v>694</v>
      </c>
      <c r="B133" s="183" t="s">
        <v>162</v>
      </c>
      <c r="C133" s="183" t="s">
        <v>162</v>
      </c>
      <c r="D133" s="184" t="s">
        <v>1194</v>
      </c>
      <c r="E133" s="183" t="s">
        <v>696</v>
      </c>
      <c r="F133" s="183" t="s">
        <v>697</v>
      </c>
      <c r="G133" s="183" t="s">
        <v>698</v>
      </c>
      <c r="H133" s="183" t="s">
        <v>1</v>
      </c>
      <c r="I133" s="183" t="s">
        <v>1195</v>
      </c>
      <c r="J133" s="188">
        <v>46290</v>
      </c>
      <c r="K133" s="183" t="s">
        <v>1196</v>
      </c>
      <c r="L133" s="183" t="s">
        <v>164</v>
      </c>
      <c r="M133" s="183"/>
      <c r="N133" s="185">
        <v>6</v>
      </c>
      <c r="O133" s="186">
        <v>1</v>
      </c>
      <c r="P133" s="185">
        <v>17</v>
      </c>
      <c r="Q133" s="185">
        <v>2</v>
      </c>
      <c r="R133" s="183" t="s">
        <v>702</v>
      </c>
      <c r="S133" s="185">
        <v>77</v>
      </c>
      <c r="T133" s="189">
        <f t="shared" si="2"/>
        <v>1.2833333333333334</v>
      </c>
      <c r="U133" s="183" t="s">
        <v>703</v>
      </c>
      <c r="V133" s="183" t="s">
        <v>526</v>
      </c>
      <c r="W133" s="183"/>
      <c r="X133" s="183"/>
      <c r="Y133" s="183"/>
      <c r="Z133" s="183"/>
      <c r="AA133" s="183"/>
      <c r="AB133" s="183"/>
      <c r="AC133" s="183"/>
      <c r="AD133" s="183"/>
      <c r="AE133" s="183"/>
    </row>
    <row r="134" spans="1:31" ht="27.6" hidden="1">
      <c r="A134" s="183" t="s">
        <v>694</v>
      </c>
      <c r="B134" s="183" t="s">
        <v>162</v>
      </c>
      <c r="C134" s="183" t="s">
        <v>162</v>
      </c>
      <c r="D134" s="184" t="s">
        <v>830</v>
      </c>
      <c r="E134" s="183" t="s">
        <v>696</v>
      </c>
      <c r="F134" s="183" t="s">
        <v>697</v>
      </c>
      <c r="G134" s="183" t="s">
        <v>698</v>
      </c>
      <c r="H134" s="183" t="s">
        <v>1</v>
      </c>
      <c r="I134" s="183" t="s">
        <v>1197</v>
      </c>
      <c r="J134" s="188">
        <v>46293</v>
      </c>
      <c r="K134" s="183" t="s">
        <v>1198</v>
      </c>
      <c r="L134" s="183" t="s">
        <v>165</v>
      </c>
      <c r="M134" s="183"/>
      <c r="N134" s="185">
        <v>3</v>
      </c>
      <c r="O134" s="186">
        <v>194</v>
      </c>
      <c r="P134" s="185">
        <v>40</v>
      </c>
      <c r="Q134" s="185">
        <v>195</v>
      </c>
      <c r="R134" s="183" t="s">
        <v>702</v>
      </c>
      <c r="S134" s="185">
        <v>11680</v>
      </c>
      <c r="T134" s="189">
        <f t="shared" si="2"/>
        <v>194.66666666666666</v>
      </c>
      <c r="U134" s="183" t="s">
        <v>703</v>
      </c>
      <c r="V134" s="183" t="s">
        <v>526</v>
      </c>
      <c r="W134" s="183"/>
      <c r="X134" s="183"/>
      <c r="Y134" s="183"/>
      <c r="Z134" s="183"/>
      <c r="AA134" s="183"/>
      <c r="AB134" s="183"/>
      <c r="AC134" s="183"/>
      <c r="AD134" s="183"/>
      <c r="AE134" s="183"/>
    </row>
    <row r="135" spans="1:31" ht="27.6" hidden="1">
      <c r="A135" s="183" t="s">
        <v>694</v>
      </c>
      <c r="B135" s="183" t="s">
        <v>162</v>
      </c>
      <c r="C135" s="183" t="s">
        <v>162</v>
      </c>
      <c r="D135" s="184" t="s">
        <v>1199</v>
      </c>
      <c r="E135" s="183" t="s">
        <v>696</v>
      </c>
      <c r="F135" s="183" t="s">
        <v>697</v>
      </c>
      <c r="G135" s="183" t="s">
        <v>698</v>
      </c>
      <c r="H135" s="183" t="s">
        <v>1</v>
      </c>
      <c r="I135" s="183" t="s">
        <v>1200</v>
      </c>
      <c r="J135" s="188">
        <v>46252</v>
      </c>
      <c r="K135" s="183" t="s">
        <v>1201</v>
      </c>
      <c r="L135" s="183" t="s">
        <v>166</v>
      </c>
      <c r="M135" s="183"/>
      <c r="N135" s="185">
        <v>44</v>
      </c>
      <c r="O135" s="186">
        <v>2</v>
      </c>
      <c r="P135" s="185">
        <v>58</v>
      </c>
      <c r="Q135" s="185">
        <v>3</v>
      </c>
      <c r="R135" s="183" t="s">
        <v>702</v>
      </c>
      <c r="S135" s="185">
        <v>178</v>
      </c>
      <c r="T135" s="189">
        <f t="shared" si="2"/>
        <v>2.9666666666666668</v>
      </c>
      <c r="U135" s="183" t="s">
        <v>703</v>
      </c>
      <c r="V135" s="183" t="s">
        <v>526</v>
      </c>
      <c r="W135" s="183"/>
      <c r="X135" s="183"/>
      <c r="Y135" s="183"/>
      <c r="Z135" s="183"/>
      <c r="AA135" s="183"/>
      <c r="AB135" s="183"/>
      <c r="AC135" s="183"/>
      <c r="AD135" s="183"/>
      <c r="AE135" s="183"/>
    </row>
    <row r="136" spans="1:31" ht="27.6" hidden="1">
      <c r="A136" s="183" t="s">
        <v>694</v>
      </c>
      <c r="B136" s="183" t="s">
        <v>162</v>
      </c>
      <c r="C136" s="183" t="s">
        <v>162</v>
      </c>
      <c r="D136" s="184" t="s">
        <v>1139</v>
      </c>
      <c r="E136" s="183" t="s">
        <v>696</v>
      </c>
      <c r="F136" s="183" t="s">
        <v>697</v>
      </c>
      <c r="G136" s="183" t="s">
        <v>698</v>
      </c>
      <c r="H136" s="183" t="s">
        <v>1</v>
      </c>
      <c r="I136" s="183" t="s">
        <v>1200</v>
      </c>
      <c r="J136" s="188">
        <v>46233</v>
      </c>
      <c r="K136" s="183" t="s">
        <v>1202</v>
      </c>
      <c r="L136" s="183" t="s">
        <v>167</v>
      </c>
      <c r="M136" s="183"/>
      <c r="N136" s="185">
        <v>63</v>
      </c>
      <c r="O136" s="186">
        <v>0</v>
      </c>
      <c r="P136" s="185">
        <v>43</v>
      </c>
      <c r="Q136" s="185">
        <v>1</v>
      </c>
      <c r="R136" s="183" t="s">
        <v>702</v>
      </c>
      <c r="S136" s="185">
        <v>43</v>
      </c>
      <c r="T136" s="189">
        <f t="shared" si="2"/>
        <v>0.71666666666666667</v>
      </c>
      <c r="U136" s="183" t="s">
        <v>703</v>
      </c>
      <c r="V136" s="183" t="s">
        <v>526</v>
      </c>
      <c r="W136" s="183"/>
      <c r="X136" s="183"/>
      <c r="Y136" s="183"/>
      <c r="Z136" s="183"/>
      <c r="AA136" s="183"/>
      <c r="AB136" s="183"/>
      <c r="AC136" s="183"/>
      <c r="AD136" s="183"/>
      <c r="AE136" s="183"/>
    </row>
    <row r="137" spans="1:31" ht="27.6" hidden="1">
      <c r="A137" s="183" t="s">
        <v>694</v>
      </c>
      <c r="B137" s="183" t="s">
        <v>162</v>
      </c>
      <c r="C137" s="183" t="s">
        <v>162</v>
      </c>
      <c r="D137" s="184" t="s">
        <v>1139</v>
      </c>
      <c r="E137" s="183" t="s">
        <v>696</v>
      </c>
      <c r="F137" s="183" t="s">
        <v>697</v>
      </c>
      <c r="G137" s="183" t="s">
        <v>698</v>
      </c>
      <c r="H137" s="183" t="s">
        <v>1</v>
      </c>
      <c r="I137" s="183" t="s">
        <v>1203</v>
      </c>
      <c r="J137" s="188">
        <v>46248</v>
      </c>
      <c r="K137" s="183" t="s">
        <v>1204</v>
      </c>
      <c r="L137" s="183" t="s">
        <v>168</v>
      </c>
      <c r="M137" s="183"/>
      <c r="N137" s="185">
        <v>48</v>
      </c>
      <c r="O137" s="186">
        <v>0</v>
      </c>
      <c r="P137" s="185">
        <v>26</v>
      </c>
      <c r="Q137" s="185">
        <v>1</v>
      </c>
      <c r="R137" s="183" t="s">
        <v>702</v>
      </c>
      <c r="S137" s="185">
        <v>26</v>
      </c>
      <c r="T137" s="189">
        <f t="shared" si="2"/>
        <v>0.43333333333333335</v>
      </c>
      <c r="U137" s="183" t="s">
        <v>703</v>
      </c>
      <c r="V137" s="183" t="s">
        <v>526</v>
      </c>
      <c r="W137" s="183"/>
      <c r="X137" s="183"/>
      <c r="Y137" s="183"/>
      <c r="Z137" s="183"/>
      <c r="AA137" s="183"/>
      <c r="AB137" s="183"/>
      <c r="AC137" s="183"/>
      <c r="AD137" s="183"/>
      <c r="AE137" s="183"/>
    </row>
    <row r="138" spans="1:31" ht="27.6" hidden="1">
      <c r="A138" s="183" t="s">
        <v>694</v>
      </c>
      <c r="B138" s="183" t="s">
        <v>162</v>
      </c>
      <c r="C138" s="183" t="s">
        <v>162</v>
      </c>
      <c r="D138" s="184" t="s">
        <v>1139</v>
      </c>
      <c r="E138" s="183" t="s">
        <v>696</v>
      </c>
      <c r="F138" s="183" t="s">
        <v>697</v>
      </c>
      <c r="G138" s="183" t="s">
        <v>698</v>
      </c>
      <c r="H138" s="183" t="s">
        <v>1</v>
      </c>
      <c r="I138" s="183" t="s">
        <v>1205</v>
      </c>
      <c r="J138" s="188">
        <v>46251</v>
      </c>
      <c r="K138" s="183" t="s">
        <v>1206</v>
      </c>
      <c r="L138" s="183" t="s">
        <v>169</v>
      </c>
      <c r="M138" s="183"/>
      <c r="N138" s="185">
        <v>45</v>
      </c>
      <c r="O138" s="186">
        <v>0</v>
      </c>
      <c r="P138" s="185">
        <v>18</v>
      </c>
      <c r="Q138" s="185">
        <v>1</v>
      </c>
      <c r="R138" s="183" t="s">
        <v>702</v>
      </c>
      <c r="S138" s="185">
        <v>18</v>
      </c>
      <c r="T138" s="189">
        <f t="shared" si="2"/>
        <v>0.3</v>
      </c>
      <c r="U138" s="183" t="s">
        <v>703</v>
      </c>
      <c r="V138" s="183" t="s">
        <v>704</v>
      </c>
      <c r="W138" s="183" t="s">
        <v>1207</v>
      </c>
      <c r="X138" s="183" t="s">
        <v>1208</v>
      </c>
      <c r="Y138" s="183"/>
      <c r="Z138" s="183"/>
      <c r="AA138" s="183"/>
      <c r="AB138" s="183"/>
      <c r="AC138" s="183"/>
      <c r="AD138" s="183"/>
      <c r="AE138" s="183"/>
    </row>
    <row r="139" spans="1:31" ht="27.6" hidden="1">
      <c r="A139" s="183" t="s">
        <v>694</v>
      </c>
      <c r="B139" s="183" t="s">
        <v>162</v>
      </c>
      <c r="C139" s="183" t="s">
        <v>162</v>
      </c>
      <c r="D139" s="184" t="s">
        <v>1139</v>
      </c>
      <c r="E139" s="183" t="s">
        <v>696</v>
      </c>
      <c r="F139" s="183" t="s">
        <v>697</v>
      </c>
      <c r="G139" s="183" t="s">
        <v>698</v>
      </c>
      <c r="H139" s="183" t="s">
        <v>1</v>
      </c>
      <c r="I139" s="183" t="s">
        <v>1209</v>
      </c>
      <c r="J139" s="188">
        <v>46230</v>
      </c>
      <c r="K139" s="183" t="s">
        <v>1210</v>
      </c>
      <c r="L139" s="183" t="s">
        <v>170</v>
      </c>
      <c r="M139" s="183"/>
      <c r="N139" s="185">
        <v>66</v>
      </c>
      <c r="O139" s="186">
        <v>0</v>
      </c>
      <c r="P139" s="185">
        <v>33</v>
      </c>
      <c r="Q139" s="185">
        <v>1</v>
      </c>
      <c r="R139" s="183" t="s">
        <v>702</v>
      </c>
      <c r="S139" s="185">
        <v>33</v>
      </c>
      <c r="T139" s="189">
        <f t="shared" si="2"/>
        <v>0.55000000000000004</v>
      </c>
      <c r="U139" s="183" t="s">
        <v>703</v>
      </c>
      <c r="V139" s="183" t="s">
        <v>526</v>
      </c>
      <c r="W139" s="183"/>
      <c r="X139" s="183"/>
      <c r="Y139" s="183"/>
      <c r="Z139" s="183"/>
      <c r="AA139" s="183"/>
      <c r="AB139" s="183"/>
      <c r="AC139" s="183"/>
      <c r="AD139" s="183"/>
      <c r="AE139" s="183"/>
    </row>
    <row r="140" spans="1:31" ht="27.6" hidden="1">
      <c r="A140" s="183" t="s">
        <v>694</v>
      </c>
      <c r="B140" s="183" t="s">
        <v>162</v>
      </c>
      <c r="C140" s="183" t="s">
        <v>162</v>
      </c>
      <c r="D140" s="184" t="s">
        <v>1139</v>
      </c>
      <c r="E140" s="183" t="s">
        <v>696</v>
      </c>
      <c r="F140" s="183" t="s">
        <v>697</v>
      </c>
      <c r="G140" s="183" t="s">
        <v>698</v>
      </c>
      <c r="H140" s="183" t="s">
        <v>1</v>
      </c>
      <c r="I140" s="183" t="s">
        <v>1211</v>
      </c>
      <c r="J140" s="188">
        <v>46240</v>
      </c>
      <c r="K140" s="183" t="s">
        <v>1212</v>
      </c>
      <c r="L140" s="183" t="s">
        <v>171</v>
      </c>
      <c r="M140" s="183"/>
      <c r="N140" s="185">
        <v>56</v>
      </c>
      <c r="O140" s="186">
        <v>0</v>
      </c>
      <c r="P140" s="185">
        <v>33</v>
      </c>
      <c r="Q140" s="185">
        <v>1</v>
      </c>
      <c r="R140" s="183" t="s">
        <v>702</v>
      </c>
      <c r="S140" s="185">
        <v>33</v>
      </c>
      <c r="T140" s="189">
        <f t="shared" si="2"/>
        <v>0.55000000000000004</v>
      </c>
      <c r="U140" s="183" t="s">
        <v>703</v>
      </c>
      <c r="V140" s="183" t="s">
        <v>526</v>
      </c>
      <c r="W140" s="183"/>
      <c r="X140" s="183"/>
      <c r="Y140" s="183"/>
      <c r="Z140" s="183"/>
      <c r="AA140" s="183"/>
      <c r="AB140" s="183"/>
      <c r="AC140" s="183"/>
      <c r="AD140" s="183"/>
      <c r="AE140" s="183"/>
    </row>
    <row r="141" spans="1:31" ht="27.6" hidden="1">
      <c r="A141" s="183" t="s">
        <v>694</v>
      </c>
      <c r="B141" s="183" t="s">
        <v>162</v>
      </c>
      <c r="C141" s="183" t="s">
        <v>162</v>
      </c>
      <c r="D141" s="184" t="s">
        <v>1139</v>
      </c>
      <c r="E141" s="183" t="s">
        <v>696</v>
      </c>
      <c r="F141" s="183" t="s">
        <v>697</v>
      </c>
      <c r="G141" s="183" t="s">
        <v>698</v>
      </c>
      <c r="H141" s="183" t="s">
        <v>1</v>
      </c>
      <c r="I141" s="183" t="s">
        <v>1213</v>
      </c>
      <c r="J141" s="188">
        <v>46245</v>
      </c>
      <c r="K141" s="183" t="s">
        <v>1214</v>
      </c>
      <c r="L141" s="183" t="s">
        <v>172</v>
      </c>
      <c r="M141" s="183"/>
      <c r="N141" s="185">
        <v>51</v>
      </c>
      <c r="O141" s="186">
        <v>0</v>
      </c>
      <c r="P141" s="185">
        <v>28</v>
      </c>
      <c r="Q141" s="185">
        <v>1</v>
      </c>
      <c r="R141" s="183" t="s">
        <v>702</v>
      </c>
      <c r="S141" s="185">
        <v>28</v>
      </c>
      <c r="T141" s="189">
        <f t="shared" si="2"/>
        <v>0.46666666666666667</v>
      </c>
      <c r="U141" s="183" t="s">
        <v>703</v>
      </c>
      <c r="V141" s="183" t="s">
        <v>526</v>
      </c>
      <c r="W141" s="183"/>
      <c r="X141" s="183"/>
      <c r="Y141" s="183"/>
      <c r="Z141" s="183"/>
      <c r="AA141" s="183"/>
      <c r="AB141" s="183"/>
      <c r="AC141" s="183"/>
      <c r="AD141" s="183"/>
      <c r="AE141" s="183"/>
    </row>
    <row r="142" spans="1:31" ht="27.6" hidden="1">
      <c r="A142" s="183" t="s">
        <v>694</v>
      </c>
      <c r="B142" s="183" t="s">
        <v>162</v>
      </c>
      <c r="C142" s="183" t="s">
        <v>162</v>
      </c>
      <c r="D142" s="184" t="s">
        <v>1139</v>
      </c>
      <c r="E142" s="183" t="s">
        <v>696</v>
      </c>
      <c r="F142" s="183" t="s">
        <v>697</v>
      </c>
      <c r="G142" s="183" t="s">
        <v>698</v>
      </c>
      <c r="H142" s="183" t="s">
        <v>1</v>
      </c>
      <c r="I142" s="183" t="s">
        <v>1215</v>
      </c>
      <c r="J142" s="188">
        <v>46246</v>
      </c>
      <c r="K142" s="183" t="s">
        <v>1216</v>
      </c>
      <c r="L142" s="183" t="s">
        <v>173</v>
      </c>
      <c r="M142" s="183"/>
      <c r="N142" s="185">
        <v>50</v>
      </c>
      <c r="O142" s="186">
        <v>0</v>
      </c>
      <c r="P142" s="185">
        <v>20</v>
      </c>
      <c r="Q142" s="185">
        <v>1</v>
      </c>
      <c r="R142" s="183" t="s">
        <v>702</v>
      </c>
      <c r="S142" s="185">
        <v>20</v>
      </c>
      <c r="T142" s="189">
        <f t="shared" si="2"/>
        <v>0.33333333333333331</v>
      </c>
      <c r="U142" s="183" t="s">
        <v>703</v>
      </c>
      <c r="V142" s="183" t="s">
        <v>526</v>
      </c>
      <c r="W142" s="183"/>
      <c r="X142" s="183"/>
      <c r="Y142" s="183"/>
      <c r="Z142" s="183"/>
      <c r="AA142" s="183"/>
      <c r="AB142" s="183"/>
      <c r="AC142" s="183"/>
      <c r="AD142" s="183"/>
      <c r="AE142" s="183"/>
    </row>
    <row r="143" spans="1:31" ht="27.6" hidden="1">
      <c r="A143" s="183" t="s">
        <v>694</v>
      </c>
      <c r="B143" s="183" t="s">
        <v>162</v>
      </c>
      <c r="C143" s="183" t="s">
        <v>162</v>
      </c>
      <c r="D143" s="184" t="s">
        <v>1217</v>
      </c>
      <c r="E143" s="183" t="s">
        <v>696</v>
      </c>
      <c r="F143" s="183" t="s">
        <v>697</v>
      </c>
      <c r="G143" s="183" t="s">
        <v>698</v>
      </c>
      <c r="H143" s="183" t="s">
        <v>1</v>
      </c>
      <c r="I143" s="183" t="s">
        <v>1218</v>
      </c>
      <c r="J143" s="188">
        <v>46197</v>
      </c>
      <c r="K143" s="183" t="s">
        <v>1219</v>
      </c>
      <c r="L143" s="183" t="s">
        <v>174</v>
      </c>
      <c r="M143" s="183"/>
      <c r="N143" s="185">
        <v>99</v>
      </c>
      <c r="O143" s="186">
        <v>4</v>
      </c>
      <c r="P143" s="185">
        <v>0</v>
      </c>
      <c r="Q143" s="185">
        <v>4</v>
      </c>
      <c r="R143" s="183" t="s">
        <v>702</v>
      </c>
      <c r="S143" s="185">
        <v>240</v>
      </c>
      <c r="T143" s="189">
        <f t="shared" si="2"/>
        <v>4</v>
      </c>
      <c r="U143" s="183" t="s">
        <v>703</v>
      </c>
      <c r="V143" s="183" t="s">
        <v>526</v>
      </c>
      <c r="W143" s="183"/>
      <c r="X143" s="183"/>
      <c r="Y143" s="183"/>
      <c r="Z143" s="183"/>
      <c r="AA143" s="183"/>
      <c r="AB143" s="183"/>
      <c r="AC143" s="183"/>
      <c r="AD143" s="183"/>
      <c r="AE143" s="183"/>
    </row>
    <row r="144" spans="1:31" ht="27.6" hidden="1">
      <c r="A144" s="183" t="s">
        <v>694</v>
      </c>
      <c r="B144" s="183" t="s">
        <v>162</v>
      </c>
      <c r="C144" s="183" t="s">
        <v>162</v>
      </c>
      <c r="D144" s="184" t="s">
        <v>1172</v>
      </c>
      <c r="E144" s="183" t="s">
        <v>696</v>
      </c>
      <c r="F144" s="183" t="s">
        <v>697</v>
      </c>
      <c r="G144" s="183" t="s">
        <v>698</v>
      </c>
      <c r="H144" s="183" t="s">
        <v>1</v>
      </c>
      <c r="I144" s="183" t="s">
        <v>1220</v>
      </c>
      <c r="J144" s="188">
        <v>46200</v>
      </c>
      <c r="K144" s="183" t="s">
        <v>1221</v>
      </c>
      <c r="L144" s="183" t="s">
        <v>175</v>
      </c>
      <c r="M144" s="183"/>
      <c r="N144" s="185">
        <v>96</v>
      </c>
      <c r="O144" s="186">
        <v>11</v>
      </c>
      <c r="P144" s="185">
        <v>27</v>
      </c>
      <c r="Q144" s="185">
        <v>10</v>
      </c>
      <c r="R144" s="183" t="s">
        <v>702</v>
      </c>
      <c r="S144" s="185">
        <v>687</v>
      </c>
      <c r="T144" s="189">
        <f t="shared" si="2"/>
        <v>11.45</v>
      </c>
      <c r="U144" s="183" t="s">
        <v>703</v>
      </c>
      <c r="V144" s="183" t="s">
        <v>526</v>
      </c>
      <c r="W144" s="183"/>
      <c r="X144" s="183"/>
      <c r="Y144" s="183"/>
      <c r="Z144" s="183"/>
      <c r="AA144" s="183"/>
      <c r="AB144" s="183"/>
      <c r="AC144" s="183"/>
      <c r="AD144" s="183"/>
      <c r="AE144" s="183"/>
    </row>
    <row r="145" spans="1:31" ht="27.6" hidden="1">
      <c r="A145" s="183" t="s">
        <v>694</v>
      </c>
      <c r="B145" s="183" t="s">
        <v>162</v>
      </c>
      <c r="C145" s="183" t="s">
        <v>162</v>
      </c>
      <c r="D145" s="184" t="s">
        <v>1172</v>
      </c>
      <c r="E145" s="183" t="s">
        <v>696</v>
      </c>
      <c r="F145" s="183" t="s">
        <v>697</v>
      </c>
      <c r="G145" s="183" t="s">
        <v>698</v>
      </c>
      <c r="H145" s="183" t="s">
        <v>1</v>
      </c>
      <c r="I145" s="183" t="s">
        <v>1197</v>
      </c>
      <c r="J145" s="188">
        <v>46287</v>
      </c>
      <c r="K145" s="183" t="s">
        <v>1222</v>
      </c>
      <c r="L145" s="183" t="s">
        <v>176</v>
      </c>
      <c r="M145" s="183"/>
      <c r="N145" s="185">
        <v>9</v>
      </c>
      <c r="O145" s="186">
        <v>80</v>
      </c>
      <c r="P145" s="185">
        <v>0</v>
      </c>
      <c r="Q145" s="185">
        <v>80</v>
      </c>
      <c r="R145" s="183" t="s">
        <v>702</v>
      </c>
      <c r="S145" s="185">
        <v>4800</v>
      </c>
      <c r="T145" s="189">
        <f t="shared" si="2"/>
        <v>80</v>
      </c>
      <c r="U145" s="183" t="s">
        <v>703</v>
      </c>
      <c r="V145" s="183" t="s">
        <v>526</v>
      </c>
      <c r="W145" s="183"/>
      <c r="X145" s="183"/>
      <c r="Y145" s="183"/>
      <c r="Z145" s="183"/>
      <c r="AA145" s="183"/>
      <c r="AB145" s="183"/>
      <c r="AC145" s="183"/>
      <c r="AD145" s="183"/>
      <c r="AE145" s="183"/>
    </row>
    <row r="146" spans="1:31" ht="27.6" hidden="1">
      <c r="A146" s="183" t="s">
        <v>694</v>
      </c>
      <c r="B146" s="183" t="s">
        <v>162</v>
      </c>
      <c r="C146" s="183" t="s">
        <v>162</v>
      </c>
      <c r="D146" s="184" t="s">
        <v>1172</v>
      </c>
      <c r="E146" s="183" t="s">
        <v>696</v>
      </c>
      <c r="F146" s="183" t="s">
        <v>697</v>
      </c>
      <c r="G146" s="183" t="s">
        <v>698</v>
      </c>
      <c r="H146" s="183" t="s">
        <v>1</v>
      </c>
      <c r="I146" s="183" t="s">
        <v>1223</v>
      </c>
      <c r="J146" s="188">
        <v>46281</v>
      </c>
      <c r="K146" s="183" t="s">
        <v>1224</v>
      </c>
      <c r="L146" s="183" t="s">
        <v>177</v>
      </c>
      <c r="M146" s="183"/>
      <c r="N146" s="185">
        <v>15</v>
      </c>
      <c r="O146" s="186">
        <v>7</v>
      </c>
      <c r="P146" s="185">
        <v>53</v>
      </c>
      <c r="Q146" s="185">
        <v>8</v>
      </c>
      <c r="R146" s="183" t="s">
        <v>702</v>
      </c>
      <c r="S146" s="185">
        <v>473</v>
      </c>
      <c r="T146" s="189">
        <f t="shared" si="2"/>
        <v>7.8833333333333337</v>
      </c>
      <c r="U146" s="183" t="s">
        <v>703</v>
      </c>
      <c r="V146" s="183" t="s">
        <v>704</v>
      </c>
      <c r="W146" s="183" t="s">
        <v>1175</v>
      </c>
      <c r="X146" s="183" t="s">
        <v>1176</v>
      </c>
      <c r="Y146" s="183"/>
      <c r="Z146" s="183"/>
      <c r="AA146" s="183"/>
      <c r="AB146" s="183"/>
      <c r="AC146" s="183"/>
      <c r="AD146" s="183"/>
      <c r="AE146" s="183"/>
    </row>
    <row r="147" spans="1:31" ht="27.6" hidden="1">
      <c r="A147" s="183" t="s">
        <v>694</v>
      </c>
      <c r="B147" s="183" t="s">
        <v>162</v>
      </c>
      <c r="C147" s="183" t="s">
        <v>162</v>
      </c>
      <c r="D147" s="184" t="s">
        <v>1172</v>
      </c>
      <c r="E147" s="183" t="s">
        <v>696</v>
      </c>
      <c r="F147" s="183" t="s">
        <v>697</v>
      </c>
      <c r="G147" s="183" t="s">
        <v>698</v>
      </c>
      <c r="H147" s="183" t="s">
        <v>1</v>
      </c>
      <c r="I147" s="183" t="s">
        <v>1223</v>
      </c>
      <c r="J147" s="188">
        <v>46281</v>
      </c>
      <c r="K147" s="183" t="s">
        <v>1225</v>
      </c>
      <c r="L147" s="183" t="s">
        <v>178</v>
      </c>
      <c r="M147" s="183"/>
      <c r="N147" s="185">
        <v>15</v>
      </c>
      <c r="O147" s="186">
        <v>8</v>
      </c>
      <c r="P147" s="185">
        <v>8</v>
      </c>
      <c r="Q147" s="185">
        <v>9</v>
      </c>
      <c r="R147" s="183" t="s">
        <v>702</v>
      </c>
      <c r="S147" s="185">
        <v>488</v>
      </c>
      <c r="T147" s="189">
        <f t="shared" si="2"/>
        <v>8.1333333333333329</v>
      </c>
      <c r="U147" s="183" t="s">
        <v>703</v>
      </c>
      <c r="V147" s="183" t="s">
        <v>704</v>
      </c>
      <c r="W147" s="183" t="s">
        <v>1175</v>
      </c>
      <c r="X147" s="183" t="s">
        <v>1176</v>
      </c>
      <c r="Y147" s="183"/>
      <c r="Z147" s="183"/>
      <c r="AA147" s="183"/>
      <c r="AB147" s="183"/>
      <c r="AC147" s="183"/>
      <c r="AD147" s="183"/>
      <c r="AE147" s="183"/>
    </row>
    <row r="148" spans="1:31" ht="27.6" hidden="1">
      <c r="A148" s="183" t="s">
        <v>694</v>
      </c>
      <c r="B148" s="183" t="s">
        <v>162</v>
      </c>
      <c r="C148" s="183" t="s">
        <v>162</v>
      </c>
      <c r="D148" s="184" t="s">
        <v>1172</v>
      </c>
      <c r="E148" s="183" t="s">
        <v>696</v>
      </c>
      <c r="F148" s="183" t="s">
        <v>697</v>
      </c>
      <c r="G148" s="183" t="s">
        <v>698</v>
      </c>
      <c r="H148" s="183" t="s">
        <v>1</v>
      </c>
      <c r="I148" s="183" t="s">
        <v>1200</v>
      </c>
      <c r="J148" s="188">
        <v>46220</v>
      </c>
      <c r="K148" s="183" t="s">
        <v>1226</v>
      </c>
      <c r="L148" s="183" t="s">
        <v>180</v>
      </c>
      <c r="M148" s="183"/>
      <c r="N148" s="185">
        <v>76</v>
      </c>
      <c r="O148" s="186">
        <v>4</v>
      </c>
      <c r="P148" s="185">
        <v>6</v>
      </c>
      <c r="Q148" s="185">
        <v>4</v>
      </c>
      <c r="R148" s="183" t="s">
        <v>702</v>
      </c>
      <c r="S148" s="185">
        <v>246</v>
      </c>
      <c r="T148" s="189">
        <f t="shared" si="2"/>
        <v>4.0999999999999996</v>
      </c>
      <c r="U148" s="183" t="s">
        <v>703</v>
      </c>
      <c r="V148" s="183" t="s">
        <v>526</v>
      </c>
      <c r="W148" s="183"/>
      <c r="X148" s="183"/>
      <c r="Y148" s="183"/>
      <c r="Z148" s="183"/>
      <c r="AA148" s="183"/>
      <c r="AB148" s="183"/>
      <c r="AC148" s="183"/>
      <c r="AD148" s="183"/>
      <c r="AE148" s="183"/>
    </row>
    <row r="149" spans="1:31" ht="27.6" hidden="1">
      <c r="A149" s="183" t="s">
        <v>694</v>
      </c>
      <c r="B149" s="183" t="s">
        <v>162</v>
      </c>
      <c r="C149" s="183" t="s">
        <v>162</v>
      </c>
      <c r="D149" s="184" t="s">
        <v>1150</v>
      </c>
      <c r="E149" s="183" t="s">
        <v>696</v>
      </c>
      <c r="F149" s="183" t="s">
        <v>697</v>
      </c>
      <c r="G149" s="183" t="s">
        <v>698</v>
      </c>
      <c r="H149" s="183" t="s">
        <v>1</v>
      </c>
      <c r="I149" s="183" t="s">
        <v>1227</v>
      </c>
      <c r="J149" s="188">
        <v>46294</v>
      </c>
      <c r="K149" s="183" t="s">
        <v>1228</v>
      </c>
      <c r="L149" s="183" t="s">
        <v>181</v>
      </c>
      <c r="M149" s="183"/>
      <c r="N149" s="185">
        <v>2</v>
      </c>
      <c r="O149" s="186">
        <v>248</v>
      </c>
      <c r="P149" s="185">
        <v>0</v>
      </c>
      <c r="Q149" s="185">
        <v>248</v>
      </c>
      <c r="R149" s="183" t="s">
        <v>702</v>
      </c>
      <c r="S149" s="185">
        <v>14880</v>
      </c>
      <c r="T149" s="189">
        <f t="shared" si="2"/>
        <v>248</v>
      </c>
      <c r="U149" s="183" t="s">
        <v>703</v>
      </c>
      <c r="V149" s="183" t="s">
        <v>704</v>
      </c>
      <c r="W149" s="183" t="s">
        <v>1131</v>
      </c>
      <c r="X149" s="183" t="s">
        <v>1132</v>
      </c>
      <c r="Y149" s="183"/>
      <c r="Z149" s="183"/>
      <c r="AA149" s="183"/>
      <c r="AB149" s="183"/>
      <c r="AC149" s="183"/>
      <c r="AD149" s="183"/>
      <c r="AE149" s="183"/>
    </row>
    <row r="150" spans="1:31" ht="27.6" hidden="1">
      <c r="A150" s="183" t="s">
        <v>694</v>
      </c>
      <c r="B150" s="183" t="s">
        <v>162</v>
      </c>
      <c r="C150" s="183" t="s">
        <v>162</v>
      </c>
      <c r="D150" s="184" t="s">
        <v>1229</v>
      </c>
      <c r="E150" s="183" t="s">
        <v>696</v>
      </c>
      <c r="F150" s="183" t="s">
        <v>697</v>
      </c>
      <c r="G150" s="183" t="s">
        <v>698</v>
      </c>
      <c r="H150" s="183" t="s">
        <v>1</v>
      </c>
      <c r="I150" s="183" t="s">
        <v>1227</v>
      </c>
      <c r="J150" s="188">
        <v>46295</v>
      </c>
      <c r="K150" s="183" t="s">
        <v>1230</v>
      </c>
      <c r="L150" s="183" t="s">
        <v>182</v>
      </c>
      <c r="M150" s="183"/>
      <c r="N150" s="185">
        <v>1</v>
      </c>
      <c r="O150" s="186">
        <v>259</v>
      </c>
      <c r="P150" s="185">
        <v>2</v>
      </c>
      <c r="Q150" s="185">
        <v>259</v>
      </c>
      <c r="R150" s="183" t="s">
        <v>702</v>
      </c>
      <c r="S150" s="185">
        <v>15542</v>
      </c>
      <c r="T150" s="189">
        <f t="shared" si="2"/>
        <v>259.03333333333336</v>
      </c>
      <c r="U150" s="183" t="s">
        <v>703</v>
      </c>
      <c r="V150" s="183" t="s">
        <v>526</v>
      </c>
      <c r="W150" s="183"/>
      <c r="X150" s="183"/>
      <c r="Y150" s="183"/>
      <c r="Z150" s="183"/>
      <c r="AA150" s="183"/>
      <c r="AB150" s="183"/>
      <c r="AC150" s="183"/>
      <c r="AD150" s="183"/>
      <c r="AE150" s="183"/>
    </row>
    <row r="151" spans="1:31" ht="27.6" hidden="1">
      <c r="A151" s="183" t="s">
        <v>694</v>
      </c>
      <c r="B151" s="183" t="s">
        <v>162</v>
      </c>
      <c r="C151" s="183" t="s">
        <v>162</v>
      </c>
      <c r="D151" s="184" t="s">
        <v>1231</v>
      </c>
      <c r="E151" s="183" t="s">
        <v>696</v>
      </c>
      <c r="F151" s="183" t="s">
        <v>697</v>
      </c>
      <c r="G151" s="183" t="s">
        <v>698</v>
      </c>
      <c r="H151" s="183" t="s">
        <v>1</v>
      </c>
      <c r="I151" s="183" t="s">
        <v>1218</v>
      </c>
      <c r="J151" s="188">
        <v>46295</v>
      </c>
      <c r="K151" s="183" t="s">
        <v>1232</v>
      </c>
      <c r="L151" s="183" t="s">
        <v>183</v>
      </c>
      <c r="M151" s="183"/>
      <c r="N151" s="185">
        <v>1</v>
      </c>
      <c r="O151" s="186">
        <v>19</v>
      </c>
      <c r="P151" s="185">
        <v>51</v>
      </c>
      <c r="Q151" s="185">
        <v>20</v>
      </c>
      <c r="R151" s="183" t="s">
        <v>702</v>
      </c>
      <c r="S151" s="185">
        <v>1191</v>
      </c>
      <c r="T151" s="189">
        <f t="shared" si="2"/>
        <v>19.850000000000001</v>
      </c>
      <c r="U151" s="183" t="s">
        <v>703</v>
      </c>
      <c r="V151" s="183" t="s">
        <v>526</v>
      </c>
      <c r="W151" s="183"/>
      <c r="X151" s="183"/>
      <c r="Y151" s="183"/>
      <c r="Z151" s="183"/>
      <c r="AA151" s="183"/>
      <c r="AB151" s="183"/>
      <c r="AC151" s="183"/>
      <c r="AD151" s="183"/>
      <c r="AE151" s="183"/>
    </row>
    <row r="152" spans="1:31" ht="27.6" hidden="1">
      <c r="A152" s="183" t="s">
        <v>694</v>
      </c>
      <c r="B152" s="183" t="s">
        <v>162</v>
      </c>
      <c r="C152" s="183" t="s">
        <v>162</v>
      </c>
      <c r="D152" s="184" t="s">
        <v>1231</v>
      </c>
      <c r="E152" s="183" t="s">
        <v>696</v>
      </c>
      <c r="F152" s="183" t="s">
        <v>697</v>
      </c>
      <c r="G152" s="183" t="s">
        <v>698</v>
      </c>
      <c r="H152" s="183" t="s">
        <v>1</v>
      </c>
      <c r="I152" s="183" t="s">
        <v>1233</v>
      </c>
      <c r="J152" s="188">
        <v>46227</v>
      </c>
      <c r="K152" s="183" t="s">
        <v>1234</v>
      </c>
      <c r="L152" s="183" t="s">
        <v>184</v>
      </c>
      <c r="M152" s="183"/>
      <c r="N152" s="185">
        <v>69</v>
      </c>
      <c r="O152" s="186">
        <v>0</v>
      </c>
      <c r="P152" s="185">
        <v>17</v>
      </c>
      <c r="Q152" s="185">
        <v>1</v>
      </c>
      <c r="R152" s="183" t="s">
        <v>702</v>
      </c>
      <c r="S152" s="185">
        <v>17</v>
      </c>
      <c r="T152" s="189">
        <f t="shared" si="2"/>
        <v>0.28333333333333333</v>
      </c>
      <c r="U152" s="183" t="s">
        <v>703</v>
      </c>
      <c r="V152" s="183" t="s">
        <v>526</v>
      </c>
      <c r="W152" s="183"/>
      <c r="X152" s="183"/>
      <c r="Y152" s="183"/>
      <c r="Z152" s="183"/>
      <c r="AA152" s="183"/>
      <c r="AB152" s="183"/>
      <c r="AC152" s="183"/>
      <c r="AD152" s="183"/>
      <c r="AE152" s="183"/>
    </row>
    <row r="153" spans="1:31" ht="27.6" hidden="1">
      <c r="A153" s="183" t="s">
        <v>694</v>
      </c>
      <c r="B153" s="183" t="s">
        <v>162</v>
      </c>
      <c r="C153" s="183" t="s">
        <v>162</v>
      </c>
      <c r="D153" s="184" t="s">
        <v>1157</v>
      </c>
      <c r="E153" s="183" t="s">
        <v>696</v>
      </c>
      <c r="F153" s="183" t="s">
        <v>697</v>
      </c>
      <c r="G153" s="183" t="s">
        <v>698</v>
      </c>
      <c r="H153" s="183" t="s">
        <v>1</v>
      </c>
      <c r="I153" s="183" t="s">
        <v>1235</v>
      </c>
      <c r="J153" s="188">
        <v>46295</v>
      </c>
      <c r="K153" s="183" t="s">
        <v>1236</v>
      </c>
      <c r="L153" s="183" t="s">
        <v>185</v>
      </c>
      <c r="M153" s="183"/>
      <c r="N153" s="185">
        <v>1</v>
      </c>
      <c r="O153" s="186">
        <v>47</v>
      </c>
      <c r="P153" s="185">
        <v>30</v>
      </c>
      <c r="Q153" s="185">
        <v>48</v>
      </c>
      <c r="R153" s="183" t="s">
        <v>702</v>
      </c>
      <c r="S153" s="185">
        <v>2850</v>
      </c>
      <c r="T153" s="189">
        <f t="shared" si="2"/>
        <v>47.5</v>
      </c>
      <c r="U153" s="183" t="s">
        <v>703</v>
      </c>
      <c r="V153" s="183" t="s">
        <v>526</v>
      </c>
      <c r="W153" s="183"/>
      <c r="X153" s="183"/>
      <c r="Y153" s="183"/>
      <c r="Z153" s="183"/>
      <c r="AA153" s="183"/>
      <c r="AB153" s="183"/>
      <c r="AC153" s="183"/>
      <c r="AD153" s="183"/>
      <c r="AE153" s="183"/>
    </row>
    <row r="154" spans="1:31" ht="27.6" hidden="1">
      <c r="A154" s="183" t="s">
        <v>694</v>
      </c>
      <c r="B154" s="183" t="s">
        <v>162</v>
      </c>
      <c r="C154" s="183" t="s">
        <v>162</v>
      </c>
      <c r="D154" s="184" t="s">
        <v>1237</v>
      </c>
      <c r="E154" s="183" t="s">
        <v>696</v>
      </c>
      <c r="F154" s="183" t="s">
        <v>697</v>
      </c>
      <c r="G154" s="183" t="s">
        <v>698</v>
      </c>
      <c r="H154" s="183" t="s">
        <v>1</v>
      </c>
      <c r="I154" s="183" t="s">
        <v>1238</v>
      </c>
      <c r="J154" s="188">
        <v>46295</v>
      </c>
      <c r="K154" s="183" t="s">
        <v>1239</v>
      </c>
      <c r="L154" s="183" t="s">
        <v>186</v>
      </c>
      <c r="M154" s="183"/>
      <c r="N154" s="185">
        <v>1</v>
      </c>
      <c r="O154" s="186">
        <v>175</v>
      </c>
      <c r="P154" s="185">
        <v>19</v>
      </c>
      <c r="Q154" s="185">
        <v>176</v>
      </c>
      <c r="R154" s="183" t="s">
        <v>702</v>
      </c>
      <c r="S154" s="185">
        <v>10519</v>
      </c>
      <c r="T154" s="189">
        <f t="shared" si="2"/>
        <v>175.31666666666666</v>
      </c>
      <c r="U154" s="183" t="s">
        <v>703</v>
      </c>
      <c r="V154" s="183" t="s">
        <v>526</v>
      </c>
      <c r="W154" s="183"/>
      <c r="X154" s="183"/>
      <c r="Y154" s="183"/>
      <c r="Z154" s="183"/>
      <c r="AA154" s="183"/>
      <c r="AB154" s="183"/>
      <c r="AC154" s="183"/>
      <c r="AD154" s="183"/>
      <c r="AE154" s="183"/>
    </row>
    <row r="155" spans="1:31" ht="27.6" hidden="1">
      <c r="A155" s="183" t="s">
        <v>694</v>
      </c>
      <c r="B155" s="183" t="s">
        <v>162</v>
      </c>
      <c r="C155" s="183" t="s">
        <v>162</v>
      </c>
      <c r="D155" s="184" t="s">
        <v>1179</v>
      </c>
      <c r="E155" s="183" t="s">
        <v>696</v>
      </c>
      <c r="F155" s="183" t="s">
        <v>697</v>
      </c>
      <c r="G155" s="183" t="s">
        <v>698</v>
      </c>
      <c r="H155" s="183" t="s">
        <v>1</v>
      </c>
      <c r="I155" s="183" t="s">
        <v>1220</v>
      </c>
      <c r="J155" s="188">
        <v>46295</v>
      </c>
      <c r="K155" s="183" t="s">
        <v>1240</v>
      </c>
      <c r="L155" s="183" t="s">
        <v>187</v>
      </c>
      <c r="M155" s="183"/>
      <c r="N155" s="185">
        <v>1</v>
      </c>
      <c r="O155" s="186">
        <v>8</v>
      </c>
      <c r="P155" s="185">
        <v>59</v>
      </c>
      <c r="Q155" s="185">
        <v>9</v>
      </c>
      <c r="R155" s="183" t="s">
        <v>702</v>
      </c>
      <c r="S155" s="185">
        <v>539</v>
      </c>
      <c r="T155" s="189">
        <f t="shared" si="2"/>
        <v>8.9833333333333325</v>
      </c>
      <c r="U155" s="183" t="s">
        <v>703</v>
      </c>
      <c r="V155" s="183" t="s">
        <v>526</v>
      </c>
      <c r="W155" s="183"/>
      <c r="X155" s="183"/>
      <c r="Y155" s="183"/>
      <c r="Z155" s="183"/>
      <c r="AA155" s="183"/>
      <c r="AB155" s="183"/>
      <c r="AC155" s="183"/>
      <c r="AD155" s="183"/>
      <c r="AE155" s="183"/>
    </row>
    <row r="156" spans="1:31" ht="27.6" hidden="1">
      <c r="A156" s="183" t="s">
        <v>694</v>
      </c>
      <c r="B156" s="183" t="s">
        <v>162</v>
      </c>
      <c r="C156" s="183" t="s">
        <v>162</v>
      </c>
      <c r="D156" s="184" t="s">
        <v>1179</v>
      </c>
      <c r="E156" s="183" t="s">
        <v>696</v>
      </c>
      <c r="F156" s="183" t="s">
        <v>697</v>
      </c>
      <c r="G156" s="183" t="s">
        <v>698</v>
      </c>
      <c r="H156" s="183" t="s">
        <v>1</v>
      </c>
      <c r="I156" s="183" t="s">
        <v>1200</v>
      </c>
      <c r="J156" s="188">
        <v>46295</v>
      </c>
      <c r="K156" s="183" t="s">
        <v>1241</v>
      </c>
      <c r="L156" s="183" t="s">
        <v>188</v>
      </c>
      <c r="M156" s="183"/>
      <c r="N156" s="185">
        <v>1</v>
      </c>
      <c r="O156" s="186">
        <v>640</v>
      </c>
      <c r="P156" s="185">
        <v>0</v>
      </c>
      <c r="Q156" s="185">
        <v>640</v>
      </c>
      <c r="R156" s="183" t="s">
        <v>702</v>
      </c>
      <c r="S156" s="185">
        <v>38400</v>
      </c>
      <c r="T156" s="189">
        <f t="shared" si="2"/>
        <v>640</v>
      </c>
      <c r="U156" s="183" t="s">
        <v>703</v>
      </c>
      <c r="V156" s="183" t="s">
        <v>704</v>
      </c>
      <c r="W156" s="183" t="s">
        <v>1242</v>
      </c>
      <c r="X156" s="183" t="s">
        <v>1243</v>
      </c>
      <c r="Y156" s="183"/>
      <c r="Z156" s="183"/>
      <c r="AA156" s="183"/>
      <c r="AB156" s="183"/>
      <c r="AC156" s="183"/>
      <c r="AD156" s="183"/>
      <c r="AE156" s="183"/>
    </row>
    <row r="157" spans="1:31" ht="27.6" hidden="1">
      <c r="A157" s="183" t="s">
        <v>694</v>
      </c>
      <c r="B157" s="183" t="s">
        <v>162</v>
      </c>
      <c r="C157" s="183" t="s">
        <v>162</v>
      </c>
      <c r="D157" s="184" t="s">
        <v>1183</v>
      </c>
      <c r="E157" s="183" t="s">
        <v>696</v>
      </c>
      <c r="F157" s="183" t="s">
        <v>697</v>
      </c>
      <c r="G157" s="183" t="s">
        <v>698</v>
      </c>
      <c r="H157" s="183" t="s">
        <v>1</v>
      </c>
      <c r="I157" s="183" t="s">
        <v>1200</v>
      </c>
      <c r="J157" s="188">
        <v>46254</v>
      </c>
      <c r="K157" s="183" t="s">
        <v>1244</v>
      </c>
      <c r="L157" s="183" t="s">
        <v>189</v>
      </c>
      <c r="M157" s="183"/>
      <c r="N157" s="185">
        <v>42</v>
      </c>
      <c r="O157" s="186">
        <v>35</v>
      </c>
      <c r="P157" s="185">
        <v>22</v>
      </c>
      <c r="Q157" s="185">
        <v>36</v>
      </c>
      <c r="R157" s="183" t="s">
        <v>702</v>
      </c>
      <c r="S157" s="185">
        <v>2122</v>
      </c>
      <c r="T157" s="189">
        <f t="shared" si="2"/>
        <v>35.366666666666667</v>
      </c>
      <c r="U157" s="183" t="s">
        <v>703</v>
      </c>
      <c r="V157" s="183" t="s">
        <v>526</v>
      </c>
      <c r="W157" s="183"/>
      <c r="X157" s="183"/>
      <c r="Y157" s="183"/>
      <c r="Z157" s="183"/>
      <c r="AA157" s="183"/>
      <c r="AB157" s="183"/>
      <c r="AC157" s="183"/>
      <c r="AD157" s="183"/>
      <c r="AE157" s="183"/>
    </row>
    <row r="158" spans="1:31" ht="27.6" hidden="1">
      <c r="A158" s="183" t="s">
        <v>694</v>
      </c>
      <c r="B158" s="183" t="s">
        <v>162</v>
      </c>
      <c r="C158" s="183" t="s">
        <v>162</v>
      </c>
      <c r="D158" s="184" t="s">
        <v>1245</v>
      </c>
      <c r="E158" s="183" t="s">
        <v>696</v>
      </c>
      <c r="F158" s="183" t="s">
        <v>697</v>
      </c>
      <c r="G158" s="183" t="s">
        <v>698</v>
      </c>
      <c r="H158" s="183" t="s">
        <v>1</v>
      </c>
      <c r="I158" s="183" t="s">
        <v>1246</v>
      </c>
      <c r="J158" s="188">
        <v>46281</v>
      </c>
      <c r="K158" s="183" t="s">
        <v>1247</v>
      </c>
      <c r="L158" s="183" t="s">
        <v>190</v>
      </c>
      <c r="M158" s="183"/>
      <c r="N158" s="185">
        <v>15</v>
      </c>
      <c r="O158" s="186">
        <v>146</v>
      </c>
      <c r="P158" s="185">
        <v>54</v>
      </c>
      <c r="Q158" s="185">
        <v>147</v>
      </c>
      <c r="R158" s="183" t="s">
        <v>702</v>
      </c>
      <c r="S158" s="185">
        <v>8814</v>
      </c>
      <c r="T158" s="189">
        <f t="shared" si="2"/>
        <v>146.9</v>
      </c>
      <c r="U158" s="183" t="s">
        <v>703</v>
      </c>
      <c r="V158" s="183" t="s">
        <v>526</v>
      </c>
      <c r="W158" s="183"/>
      <c r="X158" s="183"/>
      <c r="Y158" s="183"/>
      <c r="Z158" s="183"/>
      <c r="AA158" s="183"/>
      <c r="AB158" s="183"/>
      <c r="AC158" s="183"/>
      <c r="AD158" s="183"/>
      <c r="AE158" s="183"/>
    </row>
    <row r="159" spans="1:31" ht="27.6" hidden="1">
      <c r="A159" s="183" t="s">
        <v>694</v>
      </c>
      <c r="B159" s="183" t="s">
        <v>162</v>
      </c>
      <c r="C159" s="183" t="s">
        <v>162</v>
      </c>
      <c r="D159" s="184" t="s">
        <v>1245</v>
      </c>
      <c r="E159" s="183" t="s">
        <v>696</v>
      </c>
      <c r="F159" s="183" t="s">
        <v>697</v>
      </c>
      <c r="G159" s="183" t="s">
        <v>698</v>
      </c>
      <c r="H159" s="183" t="s">
        <v>1</v>
      </c>
      <c r="I159" s="183" t="s">
        <v>1248</v>
      </c>
      <c r="J159" s="188">
        <v>46234</v>
      </c>
      <c r="K159" s="183" t="s">
        <v>1249</v>
      </c>
      <c r="L159" s="183" t="s">
        <v>191</v>
      </c>
      <c r="M159" s="183"/>
      <c r="N159" s="185">
        <v>62</v>
      </c>
      <c r="O159" s="186">
        <v>6</v>
      </c>
      <c r="P159" s="185">
        <v>53</v>
      </c>
      <c r="Q159" s="185">
        <v>7</v>
      </c>
      <c r="R159" s="183" t="s">
        <v>702</v>
      </c>
      <c r="S159" s="185">
        <v>413</v>
      </c>
      <c r="T159" s="189">
        <f t="shared" si="2"/>
        <v>6.8833333333333337</v>
      </c>
      <c r="U159" s="183" t="s">
        <v>703</v>
      </c>
      <c r="V159" s="183" t="s">
        <v>526</v>
      </c>
      <c r="W159" s="183"/>
      <c r="X159" s="183"/>
      <c r="Y159" s="183"/>
      <c r="Z159" s="183"/>
      <c r="AA159" s="183"/>
      <c r="AB159" s="183"/>
      <c r="AC159" s="183"/>
      <c r="AD159" s="183"/>
      <c r="AE159" s="183"/>
    </row>
    <row r="160" spans="1:31" ht="27.6" hidden="1">
      <c r="A160" s="183" t="s">
        <v>694</v>
      </c>
      <c r="B160" s="183" t="s">
        <v>162</v>
      </c>
      <c r="C160" s="183" t="s">
        <v>162</v>
      </c>
      <c r="D160" s="184" t="s">
        <v>1250</v>
      </c>
      <c r="E160" s="183" t="s">
        <v>696</v>
      </c>
      <c r="F160" s="183" t="s">
        <v>697</v>
      </c>
      <c r="G160" s="183" t="s">
        <v>698</v>
      </c>
      <c r="H160" s="183" t="s">
        <v>1</v>
      </c>
      <c r="I160" s="183" t="s">
        <v>1251</v>
      </c>
      <c r="J160" s="188">
        <v>46295</v>
      </c>
      <c r="K160" s="183" t="s">
        <v>1252</v>
      </c>
      <c r="L160" s="183" t="s">
        <v>192</v>
      </c>
      <c r="M160" s="183"/>
      <c r="N160" s="185">
        <v>1</v>
      </c>
      <c r="O160" s="186">
        <v>20</v>
      </c>
      <c r="P160" s="185">
        <v>35</v>
      </c>
      <c r="Q160" s="185">
        <v>21</v>
      </c>
      <c r="R160" s="183" t="s">
        <v>702</v>
      </c>
      <c r="S160" s="185">
        <v>1235</v>
      </c>
      <c r="T160" s="189">
        <f t="shared" si="2"/>
        <v>20.583333333333332</v>
      </c>
      <c r="U160" s="183" t="s">
        <v>703</v>
      </c>
      <c r="V160" s="183" t="s">
        <v>526</v>
      </c>
      <c r="W160" s="183"/>
      <c r="X160" s="183"/>
      <c r="Y160" s="183"/>
      <c r="Z160" s="183"/>
      <c r="AA160" s="183"/>
      <c r="AB160" s="183"/>
      <c r="AC160" s="183"/>
      <c r="AD160" s="183"/>
      <c r="AE160" s="183"/>
    </row>
    <row r="161" spans="1:31" ht="27.6" hidden="1">
      <c r="A161" s="183" t="s">
        <v>694</v>
      </c>
      <c r="B161" s="183" t="s">
        <v>162</v>
      </c>
      <c r="C161" s="183" t="s">
        <v>162</v>
      </c>
      <c r="D161" s="184" t="s">
        <v>1170</v>
      </c>
      <c r="E161" s="183" t="s">
        <v>696</v>
      </c>
      <c r="F161" s="183" t="s">
        <v>697</v>
      </c>
      <c r="G161" s="183" t="s">
        <v>698</v>
      </c>
      <c r="H161" s="183" t="s">
        <v>1</v>
      </c>
      <c r="I161" s="183" t="s">
        <v>1197</v>
      </c>
      <c r="J161" s="188">
        <v>46287</v>
      </c>
      <c r="K161" s="183" t="s">
        <v>1253</v>
      </c>
      <c r="L161" s="183" t="s">
        <v>193</v>
      </c>
      <c r="M161" s="183"/>
      <c r="N161" s="185">
        <v>9</v>
      </c>
      <c r="O161" s="186">
        <v>219</v>
      </c>
      <c r="P161" s="185">
        <v>27</v>
      </c>
      <c r="Q161" s="185">
        <v>220</v>
      </c>
      <c r="R161" s="183" t="s">
        <v>702</v>
      </c>
      <c r="S161" s="185">
        <v>13167</v>
      </c>
      <c r="T161" s="189">
        <f t="shared" si="2"/>
        <v>219.45</v>
      </c>
      <c r="U161" s="183" t="s">
        <v>703</v>
      </c>
      <c r="V161" s="183" t="s">
        <v>526</v>
      </c>
      <c r="W161" s="183"/>
      <c r="X161" s="183"/>
      <c r="Y161" s="183"/>
      <c r="Z161" s="183"/>
      <c r="AA161" s="183"/>
      <c r="AB161" s="183"/>
      <c r="AC161" s="183"/>
      <c r="AD161" s="183"/>
      <c r="AE161" s="183"/>
    </row>
    <row r="162" spans="1:31" ht="27.6" hidden="1">
      <c r="A162" s="183" t="s">
        <v>694</v>
      </c>
      <c r="B162" s="183" t="s">
        <v>197</v>
      </c>
      <c r="C162" s="183" t="s">
        <v>197</v>
      </c>
      <c r="D162" s="184" t="s">
        <v>1254</v>
      </c>
      <c r="E162" s="183" t="s">
        <v>696</v>
      </c>
      <c r="F162" s="183" t="s">
        <v>795</v>
      </c>
      <c r="G162" s="183" t="s">
        <v>698</v>
      </c>
      <c r="H162" s="183" t="s">
        <v>4</v>
      </c>
      <c r="I162" s="183" t="s">
        <v>729</v>
      </c>
      <c r="J162" s="188">
        <v>45909</v>
      </c>
      <c r="K162" s="183" t="s">
        <v>1255</v>
      </c>
      <c r="L162" s="183" t="s">
        <v>194</v>
      </c>
      <c r="M162" s="183" t="s">
        <v>1256</v>
      </c>
      <c r="N162" s="185">
        <v>387</v>
      </c>
      <c r="O162" s="186">
        <v>1</v>
      </c>
      <c r="P162" s="185">
        <v>0</v>
      </c>
      <c r="Q162" s="185">
        <v>1</v>
      </c>
      <c r="R162" s="183" t="s">
        <v>702</v>
      </c>
      <c r="S162" s="185">
        <v>60</v>
      </c>
      <c r="T162" s="189">
        <f t="shared" si="2"/>
        <v>1</v>
      </c>
      <c r="U162" s="183" t="s">
        <v>703</v>
      </c>
      <c r="V162" s="183" t="s">
        <v>704</v>
      </c>
      <c r="W162" s="183" t="s">
        <v>1257</v>
      </c>
      <c r="X162" s="183"/>
      <c r="Y162" s="183"/>
      <c r="Z162" s="183" t="s">
        <v>733</v>
      </c>
      <c r="AA162" s="183" t="s">
        <v>734</v>
      </c>
      <c r="AB162" s="183" t="s">
        <v>821</v>
      </c>
      <c r="AC162" s="183"/>
      <c r="AD162" s="183" t="s">
        <v>1258</v>
      </c>
      <c r="AE162" s="183" t="s">
        <v>741</v>
      </c>
    </row>
    <row r="163" spans="1:31" ht="27.6" hidden="1">
      <c r="A163" s="183" t="s">
        <v>694</v>
      </c>
      <c r="B163" s="183" t="s">
        <v>197</v>
      </c>
      <c r="C163" s="183" t="s">
        <v>197</v>
      </c>
      <c r="D163" s="184" t="s">
        <v>1217</v>
      </c>
      <c r="E163" s="183" t="s">
        <v>696</v>
      </c>
      <c r="F163" s="183" t="s">
        <v>697</v>
      </c>
      <c r="G163" s="183" t="s">
        <v>698</v>
      </c>
      <c r="H163" s="183" t="s">
        <v>4</v>
      </c>
      <c r="I163" s="183" t="s">
        <v>729</v>
      </c>
      <c r="J163" s="188">
        <v>46077</v>
      </c>
      <c r="K163" s="183" t="s">
        <v>1259</v>
      </c>
      <c r="L163" s="183" t="s">
        <v>195</v>
      </c>
      <c r="M163" s="183" t="s">
        <v>763</v>
      </c>
      <c r="N163" s="185">
        <v>219</v>
      </c>
      <c r="O163" s="186">
        <v>0</v>
      </c>
      <c r="P163" s="185">
        <v>12</v>
      </c>
      <c r="Q163" s="185">
        <v>1</v>
      </c>
      <c r="R163" s="183" t="s">
        <v>702</v>
      </c>
      <c r="S163" s="185">
        <v>12</v>
      </c>
      <c r="T163" s="189">
        <f t="shared" si="2"/>
        <v>0.2</v>
      </c>
      <c r="U163" s="183" t="s">
        <v>703</v>
      </c>
      <c r="V163" s="183" t="s">
        <v>704</v>
      </c>
      <c r="W163" s="183" t="s">
        <v>1260</v>
      </c>
      <c r="X163" s="183"/>
      <c r="Y163" s="183"/>
      <c r="Z163" s="183" t="s">
        <v>733</v>
      </c>
      <c r="AA163" s="183" t="s">
        <v>734</v>
      </c>
      <c r="AB163" s="183"/>
      <c r="AC163" s="183"/>
      <c r="AD163" s="183" t="s">
        <v>1261</v>
      </c>
      <c r="AE163" s="183" t="s">
        <v>741</v>
      </c>
    </row>
    <row r="164" spans="1:31" ht="27.6" hidden="1">
      <c r="A164" s="183" t="s">
        <v>694</v>
      </c>
      <c r="B164" s="183" t="s">
        <v>197</v>
      </c>
      <c r="C164" s="183" t="s">
        <v>197</v>
      </c>
      <c r="D164" s="184" t="s">
        <v>1217</v>
      </c>
      <c r="E164" s="183" t="s">
        <v>696</v>
      </c>
      <c r="F164" s="183" t="s">
        <v>697</v>
      </c>
      <c r="G164" s="183" t="s">
        <v>698</v>
      </c>
      <c r="H164" s="183" t="s">
        <v>4</v>
      </c>
      <c r="I164" s="183" t="s">
        <v>729</v>
      </c>
      <c r="J164" s="188">
        <v>46105</v>
      </c>
      <c r="K164" s="183" t="s">
        <v>1262</v>
      </c>
      <c r="L164" s="183" t="s">
        <v>196</v>
      </c>
      <c r="M164" s="183" t="s">
        <v>1263</v>
      </c>
      <c r="N164" s="185">
        <v>191</v>
      </c>
      <c r="O164" s="186">
        <v>0</v>
      </c>
      <c r="P164" s="185">
        <v>19</v>
      </c>
      <c r="Q164" s="185">
        <v>1</v>
      </c>
      <c r="R164" s="183" t="s">
        <v>702</v>
      </c>
      <c r="S164" s="185">
        <v>19</v>
      </c>
      <c r="T164" s="189">
        <f t="shared" si="2"/>
        <v>0.31666666666666665</v>
      </c>
      <c r="U164" s="183" t="s">
        <v>703</v>
      </c>
      <c r="V164" s="183" t="s">
        <v>704</v>
      </c>
      <c r="W164" s="183" t="s">
        <v>1264</v>
      </c>
      <c r="X164" s="183"/>
      <c r="Y164" s="183"/>
      <c r="Z164" s="183" t="s">
        <v>733</v>
      </c>
      <c r="AA164" s="183" t="s">
        <v>734</v>
      </c>
      <c r="AB164" s="183"/>
      <c r="AC164" s="183"/>
      <c r="AD164" s="183" t="s">
        <v>1265</v>
      </c>
      <c r="AE164" s="183" t="s">
        <v>741</v>
      </c>
    </row>
    <row r="165" spans="1:31" ht="27.6">
      <c r="A165" s="183" t="s">
        <v>694</v>
      </c>
      <c r="B165" s="183" t="s">
        <v>197</v>
      </c>
      <c r="C165" s="183" t="s">
        <v>197</v>
      </c>
      <c r="D165" s="184" t="s">
        <v>1217</v>
      </c>
      <c r="E165" s="183" t="s">
        <v>696</v>
      </c>
      <c r="F165" s="183" t="s">
        <v>697</v>
      </c>
      <c r="G165" s="183" t="s">
        <v>698</v>
      </c>
      <c r="H165" s="183" t="s">
        <v>4</v>
      </c>
      <c r="I165" s="183" t="s">
        <v>729</v>
      </c>
      <c r="J165" s="188">
        <v>46287</v>
      </c>
      <c r="K165" s="183" t="s">
        <v>1266</v>
      </c>
      <c r="L165" s="183" t="s">
        <v>68</v>
      </c>
      <c r="M165" s="183" t="s">
        <v>862</v>
      </c>
      <c r="N165" s="185">
        <v>9</v>
      </c>
      <c r="O165" s="186">
        <v>8</v>
      </c>
      <c r="P165" s="185">
        <v>14</v>
      </c>
      <c r="Q165" s="185">
        <v>9</v>
      </c>
      <c r="R165" s="183" t="s">
        <v>702</v>
      </c>
      <c r="S165" s="185">
        <v>494</v>
      </c>
      <c r="T165" s="189">
        <f t="shared" si="2"/>
        <v>8.2333333333333325</v>
      </c>
      <c r="U165" s="183" t="s">
        <v>703</v>
      </c>
      <c r="V165" s="183" t="s">
        <v>704</v>
      </c>
      <c r="W165" s="183" t="s">
        <v>1267</v>
      </c>
      <c r="X165" s="183"/>
      <c r="Y165" s="183"/>
      <c r="Z165" s="183" t="s">
        <v>733</v>
      </c>
      <c r="AA165" s="183" t="s">
        <v>734</v>
      </c>
      <c r="AB165" s="183"/>
      <c r="AC165" s="183"/>
      <c r="AD165" s="183" t="s">
        <v>1268</v>
      </c>
      <c r="AE165" s="183" t="s">
        <v>741</v>
      </c>
    </row>
    <row r="166" spans="1:31" ht="27.6">
      <c r="A166" s="183" t="s">
        <v>694</v>
      </c>
      <c r="B166" s="183" t="s">
        <v>197</v>
      </c>
      <c r="C166" s="183" t="s">
        <v>197</v>
      </c>
      <c r="D166" s="184" t="s">
        <v>1217</v>
      </c>
      <c r="E166" s="183" t="s">
        <v>696</v>
      </c>
      <c r="F166" s="183" t="s">
        <v>697</v>
      </c>
      <c r="G166" s="183" t="s">
        <v>698</v>
      </c>
      <c r="H166" s="183" t="s">
        <v>4</v>
      </c>
      <c r="I166" s="183" t="s">
        <v>729</v>
      </c>
      <c r="J166" s="188">
        <v>46287</v>
      </c>
      <c r="K166" s="183" t="s">
        <v>1269</v>
      </c>
      <c r="L166" s="183" t="s">
        <v>45</v>
      </c>
      <c r="M166" s="183" t="s">
        <v>755</v>
      </c>
      <c r="N166" s="185">
        <v>9</v>
      </c>
      <c r="O166" s="186">
        <v>17</v>
      </c>
      <c r="P166" s="185">
        <v>0</v>
      </c>
      <c r="Q166" s="185">
        <v>18</v>
      </c>
      <c r="R166" s="183" t="s">
        <v>702</v>
      </c>
      <c r="S166" s="185">
        <v>1020</v>
      </c>
      <c r="T166" s="189">
        <f t="shared" si="2"/>
        <v>17</v>
      </c>
      <c r="U166" s="183" t="s">
        <v>703</v>
      </c>
      <c r="V166" s="183" t="s">
        <v>704</v>
      </c>
      <c r="W166" s="183" t="s">
        <v>1270</v>
      </c>
      <c r="X166" s="183"/>
      <c r="Y166" s="183"/>
      <c r="Z166" s="183" t="s">
        <v>733</v>
      </c>
      <c r="AA166" s="183" t="s">
        <v>734</v>
      </c>
      <c r="AB166" s="183"/>
      <c r="AC166" s="183"/>
      <c r="AD166" s="183" t="s">
        <v>1271</v>
      </c>
      <c r="AE166" s="183" t="s">
        <v>741</v>
      </c>
    </row>
    <row r="167" spans="1:31" ht="27.6">
      <c r="A167" s="183" t="s">
        <v>694</v>
      </c>
      <c r="B167" s="183" t="s">
        <v>197</v>
      </c>
      <c r="C167" s="183" t="s">
        <v>197</v>
      </c>
      <c r="D167" s="184" t="s">
        <v>1217</v>
      </c>
      <c r="E167" s="183" t="s">
        <v>696</v>
      </c>
      <c r="F167" s="183" t="s">
        <v>697</v>
      </c>
      <c r="G167" s="183" t="s">
        <v>698</v>
      </c>
      <c r="H167" s="183" t="s">
        <v>4</v>
      </c>
      <c r="I167" s="183" t="s">
        <v>729</v>
      </c>
      <c r="J167" s="188">
        <v>46287</v>
      </c>
      <c r="K167" s="183" t="s">
        <v>1272</v>
      </c>
      <c r="L167" s="183" t="s">
        <v>76</v>
      </c>
      <c r="M167" s="183" t="s">
        <v>897</v>
      </c>
      <c r="N167" s="185">
        <v>9</v>
      </c>
      <c r="O167" s="186">
        <v>5</v>
      </c>
      <c r="P167" s="185">
        <v>17</v>
      </c>
      <c r="Q167" s="185">
        <v>6</v>
      </c>
      <c r="R167" s="183" t="s">
        <v>702</v>
      </c>
      <c r="S167" s="185">
        <v>317</v>
      </c>
      <c r="T167" s="189">
        <f t="shared" si="2"/>
        <v>5.2833333333333332</v>
      </c>
      <c r="U167" s="183" t="s">
        <v>703</v>
      </c>
      <c r="V167" s="183" t="s">
        <v>704</v>
      </c>
      <c r="W167" s="183" t="s">
        <v>1273</v>
      </c>
      <c r="X167" s="183"/>
      <c r="Y167" s="183"/>
      <c r="Z167" s="183" t="s">
        <v>733</v>
      </c>
      <c r="AA167" s="183" t="s">
        <v>734</v>
      </c>
      <c r="AB167" s="183"/>
      <c r="AC167" s="183"/>
      <c r="AD167" s="183" t="s">
        <v>1274</v>
      </c>
      <c r="AE167" s="183" t="s">
        <v>741</v>
      </c>
    </row>
    <row r="168" spans="1:31" ht="27.6">
      <c r="A168" s="183" t="s">
        <v>694</v>
      </c>
      <c r="B168" s="183" t="s">
        <v>197</v>
      </c>
      <c r="C168" s="183" t="s">
        <v>197</v>
      </c>
      <c r="D168" s="184" t="s">
        <v>1217</v>
      </c>
      <c r="E168" s="183" t="s">
        <v>696</v>
      </c>
      <c r="F168" s="183" t="s">
        <v>697</v>
      </c>
      <c r="G168" s="183" t="s">
        <v>698</v>
      </c>
      <c r="H168" s="183" t="s">
        <v>4</v>
      </c>
      <c r="I168" s="183" t="s">
        <v>729</v>
      </c>
      <c r="J168" s="188">
        <v>46287</v>
      </c>
      <c r="K168" s="183" t="s">
        <v>1275</v>
      </c>
      <c r="L168" s="183" t="s">
        <v>198</v>
      </c>
      <c r="M168" s="183" t="s">
        <v>1276</v>
      </c>
      <c r="N168" s="185">
        <v>9</v>
      </c>
      <c r="O168" s="186">
        <v>13</v>
      </c>
      <c r="P168" s="185">
        <v>9</v>
      </c>
      <c r="Q168" s="185">
        <v>14</v>
      </c>
      <c r="R168" s="183" t="s">
        <v>702</v>
      </c>
      <c r="S168" s="185">
        <v>789</v>
      </c>
      <c r="T168" s="189">
        <f t="shared" si="2"/>
        <v>13.15</v>
      </c>
      <c r="U168" s="183" t="s">
        <v>703</v>
      </c>
      <c r="V168" s="183" t="s">
        <v>704</v>
      </c>
      <c r="W168" s="183" t="s">
        <v>1277</v>
      </c>
      <c r="X168" s="183"/>
      <c r="Y168" s="183"/>
      <c r="Z168" s="183" t="s">
        <v>733</v>
      </c>
      <c r="AA168" s="183" t="s">
        <v>734</v>
      </c>
      <c r="AB168" s="183"/>
      <c r="AC168" s="183"/>
      <c r="AD168" s="183" t="s">
        <v>1278</v>
      </c>
      <c r="AE168" s="183" t="s">
        <v>741</v>
      </c>
    </row>
    <row r="169" spans="1:31" ht="27.6">
      <c r="A169" s="183" t="s">
        <v>694</v>
      </c>
      <c r="B169" s="183" t="s">
        <v>197</v>
      </c>
      <c r="C169" s="183" t="s">
        <v>197</v>
      </c>
      <c r="D169" s="184" t="s">
        <v>1217</v>
      </c>
      <c r="E169" s="183" t="s">
        <v>696</v>
      </c>
      <c r="F169" s="183" t="s">
        <v>697</v>
      </c>
      <c r="G169" s="183" t="s">
        <v>698</v>
      </c>
      <c r="H169" s="183" t="s">
        <v>4</v>
      </c>
      <c r="I169" s="183" t="s">
        <v>729</v>
      </c>
      <c r="J169" s="188">
        <v>46287</v>
      </c>
      <c r="K169" s="183" t="s">
        <v>1279</v>
      </c>
      <c r="L169" s="183" t="s">
        <v>199</v>
      </c>
      <c r="M169" s="183" t="s">
        <v>1280</v>
      </c>
      <c r="N169" s="185">
        <v>9</v>
      </c>
      <c r="O169" s="186">
        <v>6</v>
      </c>
      <c r="P169" s="185">
        <v>9</v>
      </c>
      <c r="Q169" s="185">
        <v>7</v>
      </c>
      <c r="R169" s="183" t="s">
        <v>702</v>
      </c>
      <c r="S169" s="185">
        <v>369</v>
      </c>
      <c r="T169" s="189">
        <f t="shared" si="2"/>
        <v>6.15</v>
      </c>
      <c r="U169" s="183" t="s">
        <v>703</v>
      </c>
      <c r="V169" s="183" t="s">
        <v>704</v>
      </c>
      <c r="W169" s="183" t="s">
        <v>1281</v>
      </c>
      <c r="X169" s="183"/>
      <c r="Y169" s="183"/>
      <c r="Z169" s="183" t="s">
        <v>733</v>
      </c>
      <c r="AA169" s="183" t="s">
        <v>734</v>
      </c>
      <c r="AB169" s="183"/>
      <c r="AC169" s="183"/>
      <c r="AD169" s="183" t="s">
        <v>1282</v>
      </c>
      <c r="AE169" s="183" t="s">
        <v>741</v>
      </c>
    </row>
    <row r="170" spans="1:31" ht="27.6">
      <c r="A170" s="183" t="s">
        <v>694</v>
      </c>
      <c r="B170" s="183" t="s">
        <v>197</v>
      </c>
      <c r="C170" s="183" t="s">
        <v>197</v>
      </c>
      <c r="D170" s="184" t="s">
        <v>1217</v>
      </c>
      <c r="E170" s="183" t="s">
        <v>696</v>
      </c>
      <c r="F170" s="183" t="s">
        <v>697</v>
      </c>
      <c r="G170" s="183" t="s">
        <v>698</v>
      </c>
      <c r="H170" s="183" t="s">
        <v>4</v>
      </c>
      <c r="I170" s="183" t="s">
        <v>729</v>
      </c>
      <c r="J170" s="188">
        <v>46287</v>
      </c>
      <c r="K170" s="183" t="s">
        <v>1283</v>
      </c>
      <c r="L170" s="183" t="s">
        <v>77</v>
      </c>
      <c r="M170" s="183" t="s">
        <v>901</v>
      </c>
      <c r="N170" s="185">
        <v>9</v>
      </c>
      <c r="O170" s="186">
        <v>11</v>
      </c>
      <c r="P170" s="185">
        <v>14</v>
      </c>
      <c r="Q170" s="185">
        <v>12</v>
      </c>
      <c r="R170" s="183" t="s">
        <v>702</v>
      </c>
      <c r="S170" s="185">
        <v>674</v>
      </c>
      <c r="T170" s="189">
        <f t="shared" si="2"/>
        <v>11.233333333333333</v>
      </c>
      <c r="U170" s="183" t="s">
        <v>703</v>
      </c>
      <c r="V170" s="183" t="s">
        <v>704</v>
      </c>
      <c r="W170" s="183" t="s">
        <v>1284</v>
      </c>
      <c r="X170" s="183"/>
      <c r="Y170" s="183"/>
      <c r="Z170" s="183" t="s">
        <v>733</v>
      </c>
      <c r="AA170" s="183" t="s">
        <v>734</v>
      </c>
      <c r="AB170" s="183"/>
      <c r="AC170" s="183"/>
      <c r="AD170" s="183" t="s">
        <v>1285</v>
      </c>
      <c r="AE170" s="183" t="s">
        <v>741</v>
      </c>
    </row>
    <row r="171" spans="1:31" ht="27.6">
      <c r="A171" s="183" t="s">
        <v>694</v>
      </c>
      <c r="B171" s="183" t="s">
        <v>197</v>
      </c>
      <c r="C171" s="183" t="s">
        <v>197</v>
      </c>
      <c r="D171" s="184" t="s">
        <v>1217</v>
      </c>
      <c r="E171" s="183" t="s">
        <v>696</v>
      </c>
      <c r="F171" s="183" t="s">
        <v>697</v>
      </c>
      <c r="G171" s="183" t="s">
        <v>698</v>
      </c>
      <c r="H171" s="183" t="s">
        <v>4</v>
      </c>
      <c r="I171" s="183" t="s">
        <v>729</v>
      </c>
      <c r="J171" s="188">
        <v>46287</v>
      </c>
      <c r="K171" s="183" t="s">
        <v>1286</v>
      </c>
      <c r="L171" s="183" t="s">
        <v>75</v>
      </c>
      <c r="M171" s="183" t="s">
        <v>893</v>
      </c>
      <c r="N171" s="185">
        <v>9</v>
      </c>
      <c r="O171" s="186">
        <v>4</v>
      </c>
      <c r="P171" s="185">
        <v>7</v>
      </c>
      <c r="Q171" s="185">
        <v>4</v>
      </c>
      <c r="R171" s="183" t="s">
        <v>702</v>
      </c>
      <c r="S171" s="185">
        <v>247</v>
      </c>
      <c r="T171" s="189">
        <f t="shared" si="2"/>
        <v>4.1166666666666663</v>
      </c>
      <c r="U171" s="183" t="s">
        <v>703</v>
      </c>
      <c r="V171" s="183" t="s">
        <v>704</v>
      </c>
      <c r="W171" s="183" t="s">
        <v>1287</v>
      </c>
      <c r="X171" s="183"/>
      <c r="Y171" s="183"/>
      <c r="Z171" s="183" t="s">
        <v>733</v>
      </c>
      <c r="AA171" s="183" t="s">
        <v>734</v>
      </c>
      <c r="AB171" s="183"/>
      <c r="AC171" s="183"/>
      <c r="AD171" s="183" t="s">
        <v>1288</v>
      </c>
      <c r="AE171" s="183" t="s">
        <v>741</v>
      </c>
    </row>
    <row r="172" spans="1:31" ht="27.6">
      <c r="A172" s="183" t="s">
        <v>694</v>
      </c>
      <c r="B172" s="183" t="s">
        <v>197</v>
      </c>
      <c r="C172" s="183" t="s">
        <v>197</v>
      </c>
      <c r="D172" s="184" t="s">
        <v>1217</v>
      </c>
      <c r="E172" s="183" t="s">
        <v>696</v>
      </c>
      <c r="F172" s="183" t="s">
        <v>697</v>
      </c>
      <c r="G172" s="183" t="s">
        <v>698</v>
      </c>
      <c r="H172" s="183" t="s">
        <v>4</v>
      </c>
      <c r="I172" s="183" t="s">
        <v>729</v>
      </c>
      <c r="J172" s="188">
        <v>46287</v>
      </c>
      <c r="K172" s="183" t="s">
        <v>1289</v>
      </c>
      <c r="L172" s="183" t="s">
        <v>200</v>
      </c>
      <c r="M172" s="183" t="s">
        <v>1290</v>
      </c>
      <c r="N172" s="185">
        <v>9</v>
      </c>
      <c r="O172" s="186">
        <v>9</v>
      </c>
      <c r="P172" s="185">
        <v>22</v>
      </c>
      <c r="Q172" s="185">
        <v>10</v>
      </c>
      <c r="R172" s="183" t="s">
        <v>702</v>
      </c>
      <c r="S172" s="185">
        <v>562</v>
      </c>
      <c r="T172" s="189">
        <f t="shared" si="2"/>
        <v>9.3666666666666671</v>
      </c>
      <c r="U172" s="183" t="s">
        <v>703</v>
      </c>
      <c r="V172" s="183" t="s">
        <v>704</v>
      </c>
      <c r="W172" s="183" t="s">
        <v>1291</v>
      </c>
      <c r="X172" s="183"/>
      <c r="Y172" s="183"/>
      <c r="Z172" s="183" t="s">
        <v>733</v>
      </c>
      <c r="AA172" s="183" t="s">
        <v>734</v>
      </c>
      <c r="AB172" s="183"/>
      <c r="AC172" s="183"/>
      <c r="AD172" s="183" t="s">
        <v>1292</v>
      </c>
      <c r="AE172" s="183" t="s">
        <v>741</v>
      </c>
    </row>
    <row r="173" spans="1:31" ht="27.6">
      <c r="A173" s="183" t="s">
        <v>694</v>
      </c>
      <c r="B173" s="183" t="s">
        <v>197</v>
      </c>
      <c r="C173" s="183" t="s">
        <v>197</v>
      </c>
      <c r="D173" s="184" t="s">
        <v>1217</v>
      </c>
      <c r="E173" s="183" t="s">
        <v>696</v>
      </c>
      <c r="F173" s="183" t="s">
        <v>697</v>
      </c>
      <c r="G173" s="183" t="s">
        <v>698</v>
      </c>
      <c r="H173" s="183" t="s">
        <v>4</v>
      </c>
      <c r="I173" s="183" t="s">
        <v>729</v>
      </c>
      <c r="J173" s="188">
        <v>46287</v>
      </c>
      <c r="K173" s="183" t="s">
        <v>1293</v>
      </c>
      <c r="L173" s="183" t="s">
        <v>201</v>
      </c>
      <c r="M173" s="183" t="s">
        <v>1294</v>
      </c>
      <c r="N173" s="185">
        <v>9</v>
      </c>
      <c r="O173" s="186">
        <v>20</v>
      </c>
      <c r="P173" s="185">
        <v>51</v>
      </c>
      <c r="Q173" s="185">
        <v>21</v>
      </c>
      <c r="R173" s="183" t="s">
        <v>702</v>
      </c>
      <c r="S173" s="185">
        <v>1251</v>
      </c>
      <c r="T173" s="189">
        <f t="shared" si="2"/>
        <v>20.85</v>
      </c>
      <c r="U173" s="183" t="s">
        <v>703</v>
      </c>
      <c r="V173" s="183" t="s">
        <v>704</v>
      </c>
      <c r="W173" s="183" t="s">
        <v>1295</v>
      </c>
      <c r="X173" s="183"/>
      <c r="Y173" s="183"/>
      <c r="Z173" s="183" t="s">
        <v>733</v>
      </c>
      <c r="AA173" s="183" t="s">
        <v>734</v>
      </c>
      <c r="AB173" s="183"/>
      <c r="AC173" s="183"/>
      <c r="AD173" s="183" t="s">
        <v>1296</v>
      </c>
      <c r="AE173" s="183" t="s">
        <v>741</v>
      </c>
    </row>
    <row r="174" spans="1:31" ht="27.6">
      <c r="A174" s="183" t="s">
        <v>694</v>
      </c>
      <c r="B174" s="183" t="s">
        <v>197</v>
      </c>
      <c r="C174" s="183" t="s">
        <v>197</v>
      </c>
      <c r="D174" s="184" t="s">
        <v>1217</v>
      </c>
      <c r="E174" s="183" t="s">
        <v>696</v>
      </c>
      <c r="F174" s="183" t="s">
        <v>697</v>
      </c>
      <c r="G174" s="183" t="s">
        <v>698</v>
      </c>
      <c r="H174" s="183" t="s">
        <v>4</v>
      </c>
      <c r="I174" s="183" t="s">
        <v>729</v>
      </c>
      <c r="J174" s="188">
        <v>46287</v>
      </c>
      <c r="K174" s="183" t="s">
        <v>1297</v>
      </c>
      <c r="L174" s="183" t="s">
        <v>202</v>
      </c>
      <c r="M174" s="183" t="s">
        <v>1298</v>
      </c>
      <c r="N174" s="185">
        <v>9</v>
      </c>
      <c r="O174" s="186">
        <v>16</v>
      </c>
      <c r="P174" s="185">
        <v>36</v>
      </c>
      <c r="Q174" s="185">
        <v>17</v>
      </c>
      <c r="R174" s="183" t="s">
        <v>702</v>
      </c>
      <c r="S174" s="185">
        <v>996</v>
      </c>
      <c r="T174" s="189">
        <f t="shared" si="2"/>
        <v>16.600000000000001</v>
      </c>
      <c r="U174" s="183" t="s">
        <v>703</v>
      </c>
      <c r="V174" s="183" t="s">
        <v>704</v>
      </c>
      <c r="W174" s="183" t="s">
        <v>1299</v>
      </c>
      <c r="X174" s="183"/>
      <c r="Y174" s="183"/>
      <c r="Z174" s="183" t="s">
        <v>733</v>
      </c>
      <c r="AA174" s="183" t="s">
        <v>734</v>
      </c>
      <c r="AB174" s="183"/>
      <c r="AC174" s="183"/>
      <c r="AD174" s="183" t="s">
        <v>1300</v>
      </c>
      <c r="AE174" s="183" t="s">
        <v>741</v>
      </c>
    </row>
    <row r="175" spans="1:31" ht="27.6">
      <c r="A175" s="183" t="s">
        <v>694</v>
      </c>
      <c r="B175" s="183" t="s">
        <v>197</v>
      </c>
      <c r="C175" s="183" t="s">
        <v>197</v>
      </c>
      <c r="D175" s="184" t="s">
        <v>1217</v>
      </c>
      <c r="E175" s="183" t="s">
        <v>696</v>
      </c>
      <c r="F175" s="183" t="s">
        <v>697</v>
      </c>
      <c r="G175" s="183" t="s">
        <v>698</v>
      </c>
      <c r="H175" s="183" t="s">
        <v>4</v>
      </c>
      <c r="I175" s="183" t="s">
        <v>729</v>
      </c>
      <c r="J175" s="188">
        <v>46287</v>
      </c>
      <c r="K175" s="183" t="s">
        <v>1301</v>
      </c>
      <c r="L175" s="183" t="s">
        <v>80</v>
      </c>
      <c r="M175" s="183" t="s">
        <v>913</v>
      </c>
      <c r="N175" s="185">
        <v>9</v>
      </c>
      <c r="O175" s="186">
        <v>10</v>
      </c>
      <c r="P175" s="185">
        <v>23</v>
      </c>
      <c r="Q175" s="185">
        <v>11</v>
      </c>
      <c r="R175" s="183" t="s">
        <v>702</v>
      </c>
      <c r="S175" s="185">
        <v>623</v>
      </c>
      <c r="T175" s="189">
        <f t="shared" si="2"/>
        <v>10.383333333333333</v>
      </c>
      <c r="U175" s="183" t="s">
        <v>703</v>
      </c>
      <c r="V175" s="183" t="s">
        <v>704</v>
      </c>
      <c r="W175" s="183" t="s">
        <v>1302</v>
      </c>
      <c r="X175" s="183"/>
      <c r="Y175" s="183"/>
      <c r="Z175" s="183" t="s">
        <v>733</v>
      </c>
      <c r="AA175" s="183" t="s">
        <v>734</v>
      </c>
      <c r="AB175" s="183"/>
      <c r="AC175" s="183"/>
      <c r="AD175" s="183" t="s">
        <v>1303</v>
      </c>
      <c r="AE175" s="183" t="s">
        <v>741</v>
      </c>
    </row>
    <row r="176" spans="1:31" ht="27.6">
      <c r="A176" s="183" t="s">
        <v>694</v>
      </c>
      <c r="B176" s="183" t="s">
        <v>197</v>
      </c>
      <c r="C176" s="183" t="s">
        <v>197</v>
      </c>
      <c r="D176" s="184" t="s">
        <v>1217</v>
      </c>
      <c r="E176" s="183" t="s">
        <v>696</v>
      </c>
      <c r="F176" s="183" t="s">
        <v>697</v>
      </c>
      <c r="G176" s="183" t="s">
        <v>698</v>
      </c>
      <c r="H176" s="183" t="s">
        <v>4</v>
      </c>
      <c r="I176" s="183" t="s">
        <v>729</v>
      </c>
      <c r="J176" s="188">
        <v>46287</v>
      </c>
      <c r="K176" s="183" t="s">
        <v>1304</v>
      </c>
      <c r="L176" s="183" t="s">
        <v>203</v>
      </c>
      <c r="M176" s="183" t="s">
        <v>1305</v>
      </c>
      <c r="N176" s="185">
        <v>9</v>
      </c>
      <c r="O176" s="186">
        <v>21</v>
      </c>
      <c r="P176" s="185">
        <v>55</v>
      </c>
      <c r="Q176" s="185">
        <v>22</v>
      </c>
      <c r="R176" s="183" t="s">
        <v>702</v>
      </c>
      <c r="S176" s="185">
        <v>1315</v>
      </c>
      <c r="T176" s="189">
        <f t="shared" si="2"/>
        <v>21.916666666666668</v>
      </c>
      <c r="U176" s="183" t="s">
        <v>703</v>
      </c>
      <c r="V176" s="183" t="s">
        <v>704</v>
      </c>
      <c r="W176" s="183" t="s">
        <v>1306</v>
      </c>
      <c r="X176" s="183"/>
      <c r="Y176" s="183"/>
      <c r="Z176" s="183" t="s">
        <v>733</v>
      </c>
      <c r="AA176" s="183" t="s">
        <v>734</v>
      </c>
      <c r="AB176" s="183"/>
      <c r="AC176" s="183"/>
      <c r="AD176" s="183" t="s">
        <v>1307</v>
      </c>
      <c r="AE176" s="183" t="s">
        <v>741</v>
      </c>
    </row>
    <row r="177" spans="1:31" ht="27.6">
      <c r="A177" s="183" t="s">
        <v>694</v>
      </c>
      <c r="B177" s="183" t="s">
        <v>197</v>
      </c>
      <c r="C177" s="183" t="s">
        <v>197</v>
      </c>
      <c r="D177" s="184" t="s">
        <v>1217</v>
      </c>
      <c r="E177" s="183" t="s">
        <v>696</v>
      </c>
      <c r="F177" s="183" t="s">
        <v>697</v>
      </c>
      <c r="G177" s="183" t="s">
        <v>698</v>
      </c>
      <c r="H177" s="183" t="s">
        <v>4</v>
      </c>
      <c r="I177" s="183" t="s">
        <v>729</v>
      </c>
      <c r="J177" s="188">
        <v>46287</v>
      </c>
      <c r="K177" s="183" t="s">
        <v>1308</v>
      </c>
      <c r="L177" s="183" t="s">
        <v>83</v>
      </c>
      <c r="M177" s="183" t="s">
        <v>763</v>
      </c>
      <c r="N177" s="185">
        <v>9</v>
      </c>
      <c r="O177" s="186">
        <v>7</v>
      </c>
      <c r="P177" s="185">
        <v>14</v>
      </c>
      <c r="Q177" s="185">
        <v>8</v>
      </c>
      <c r="R177" s="183" t="s">
        <v>702</v>
      </c>
      <c r="S177" s="185">
        <v>434</v>
      </c>
      <c r="T177" s="189">
        <f t="shared" si="2"/>
        <v>7.2333333333333334</v>
      </c>
      <c r="U177" s="183" t="s">
        <v>703</v>
      </c>
      <c r="V177" s="183" t="s">
        <v>704</v>
      </c>
      <c r="W177" s="183" t="s">
        <v>1309</v>
      </c>
      <c r="X177" s="183"/>
      <c r="Y177" s="183"/>
      <c r="Z177" s="183" t="s">
        <v>733</v>
      </c>
      <c r="AA177" s="183" t="s">
        <v>734</v>
      </c>
      <c r="AB177" s="183"/>
      <c r="AC177" s="183"/>
      <c r="AD177" s="183" t="s">
        <v>1310</v>
      </c>
      <c r="AE177" s="183" t="s">
        <v>741</v>
      </c>
    </row>
    <row r="178" spans="1:31" ht="27.6">
      <c r="A178" s="183" t="s">
        <v>694</v>
      </c>
      <c r="B178" s="183" t="s">
        <v>197</v>
      </c>
      <c r="C178" s="183" t="s">
        <v>197</v>
      </c>
      <c r="D178" s="184" t="s">
        <v>1217</v>
      </c>
      <c r="E178" s="183" t="s">
        <v>696</v>
      </c>
      <c r="F178" s="183" t="s">
        <v>697</v>
      </c>
      <c r="G178" s="183" t="s">
        <v>698</v>
      </c>
      <c r="H178" s="183" t="s">
        <v>4</v>
      </c>
      <c r="I178" s="183" t="s">
        <v>729</v>
      </c>
      <c r="J178" s="188">
        <v>46287</v>
      </c>
      <c r="K178" s="183" t="s">
        <v>1311</v>
      </c>
      <c r="L178" s="183" t="s">
        <v>204</v>
      </c>
      <c r="M178" s="183" t="s">
        <v>1312</v>
      </c>
      <c r="N178" s="185">
        <v>9</v>
      </c>
      <c r="O178" s="186">
        <v>6</v>
      </c>
      <c r="P178" s="185">
        <v>21</v>
      </c>
      <c r="Q178" s="185">
        <v>7</v>
      </c>
      <c r="R178" s="183" t="s">
        <v>702</v>
      </c>
      <c r="S178" s="185">
        <v>381</v>
      </c>
      <c r="T178" s="189">
        <f t="shared" si="2"/>
        <v>6.35</v>
      </c>
      <c r="U178" s="183" t="s">
        <v>703</v>
      </c>
      <c r="V178" s="183" t="s">
        <v>704</v>
      </c>
      <c r="W178" s="183" t="s">
        <v>1313</v>
      </c>
      <c r="X178" s="183"/>
      <c r="Y178" s="183"/>
      <c r="Z178" s="183" t="s">
        <v>733</v>
      </c>
      <c r="AA178" s="183" t="s">
        <v>734</v>
      </c>
      <c r="AB178" s="183"/>
      <c r="AC178" s="183"/>
      <c r="AD178" s="183" t="s">
        <v>1314</v>
      </c>
      <c r="AE178" s="183" t="s">
        <v>741</v>
      </c>
    </row>
    <row r="179" spans="1:31" ht="27.6">
      <c r="A179" s="183" t="s">
        <v>694</v>
      </c>
      <c r="B179" s="183" t="s">
        <v>197</v>
      </c>
      <c r="C179" s="183" t="s">
        <v>197</v>
      </c>
      <c r="D179" s="184" t="s">
        <v>1217</v>
      </c>
      <c r="E179" s="183" t="s">
        <v>696</v>
      </c>
      <c r="F179" s="183" t="s">
        <v>697</v>
      </c>
      <c r="G179" s="183" t="s">
        <v>698</v>
      </c>
      <c r="H179" s="183" t="s">
        <v>4</v>
      </c>
      <c r="I179" s="183" t="s">
        <v>729</v>
      </c>
      <c r="J179" s="188">
        <v>46287</v>
      </c>
      <c r="K179" s="183" t="s">
        <v>1315</v>
      </c>
      <c r="L179" s="183" t="s">
        <v>205</v>
      </c>
      <c r="M179" s="183" t="s">
        <v>1316</v>
      </c>
      <c r="N179" s="185">
        <v>9</v>
      </c>
      <c r="O179" s="186">
        <v>30</v>
      </c>
      <c r="P179" s="185">
        <v>20</v>
      </c>
      <c r="Q179" s="185">
        <v>31</v>
      </c>
      <c r="R179" s="183" t="s">
        <v>702</v>
      </c>
      <c r="S179" s="185">
        <v>1820</v>
      </c>
      <c r="T179" s="189">
        <f t="shared" si="2"/>
        <v>30.333333333333332</v>
      </c>
      <c r="U179" s="183" t="s">
        <v>703</v>
      </c>
      <c r="V179" s="183" t="s">
        <v>704</v>
      </c>
      <c r="W179" s="183" t="s">
        <v>1317</v>
      </c>
      <c r="X179" s="183"/>
      <c r="Y179" s="183"/>
      <c r="Z179" s="183" t="s">
        <v>733</v>
      </c>
      <c r="AA179" s="183" t="s">
        <v>734</v>
      </c>
      <c r="AB179" s="183"/>
      <c r="AC179" s="183"/>
      <c r="AD179" s="183" t="s">
        <v>1318</v>
      </c>
      <c r="AE179" s="183" t="s">
        <v>741</v>
      </c>
    </row>
    <row r="180" spans="1:31" ht="27.6">
      <c r="A180" s="183" t="s">
        <v>694</v>
      </c>
      <c r="B180" s="183" t="s">
        <v>197</v>
      </c>
      <c r="C180" s="183" t="s">
        <v>197</v>
      </c>
      <c r="D180" s="184" t="s">
        <v>1217</v>
      </c>
      <c r="E180" s="183" t="s">
        <v>696</v>
      </c>
      <c r="F180" s="183" t="s">
        <v>697</v>
      </c>
      <c r="G180" s="183" t="s">
        <v>698</v>
      </c>
      <c r="H180" s="183" t="s">
        <v>4</v>
      </c>
      <c r="I180" s="183" t="s">
        <v>729</v>
      </c>
      <c r="J180" s="188">
        <v>46287</v>
      </c>
      <c r="K180" s="183" t="s">
        <v>1319</v>
      </c>
      <c r="L180" s="183" t="s">
        <v>206</v>
      </c>
      <c r="M180" s="183" t="s">
        <v>1320</v>
      </c>
      <c r="N180" s="185">
        <v>9</v>
      </c>
      <c r="O180" s="186">
        <v>8</v>
      </c>
      <c r="P180" s="185">
        <v>37</v>
      </c>
      <c r="Q180" s="185">
        <v>9</v>
      </c>
      <c r="R180" s="183" t="s">
        <v>702</v>
      </c>
      <c r="S180" s="185">
        <v>517</v>
      </c>
      <c r="T180" s="189">
        <f t="shared" si="2"/>
        <v>8.6166666666666671</v>
      </c>
      <c r="U180" s="183" t="s">
        <v>703</v>
      </c>
      <c r="V180" s="183" t="s">
        <v>704</v>
      </c>
      <c r="W180" s="183" t="s">
        <v>1321</v>
      </c>
      <c r="X180" s="183"/>
      <c r="Y180" s="183"/>
      <c r="Z180" s="183" t="s">
        <v>733</v>
      </c>
      <c r="AA180" s="183" t="s">
        <v>734</v>
      </c>
      <c r="AB180" s="183"/>
      <c r="AC180" s="183"/>
      <c r="AD180" s="183" t="s">
        <v>1322</v>
      </c>
      <c r="AE180" s="183" t="s">
        <v>741</v>
      </c>
    </row>
    <row r="181" spans="1:31" ht="27.6">
      <c r="A181" s="183" t="s">
        <v>694</v>
      </c>
      <c r="B181" s="183" t="s">
        <v>197</v>
      </c>
      <c r="C181" s="183" t="s">
        <v>197</v>
      </c>
      <c r="D181" s="184" t="s">
        <v>1217</v>
      </c>
      <c r="E181" s="183" t="s">
        <v>696</v>
      </c>
      <c r="F181" s="183" t="s">
        <v>697</v>
      </c>
      <c r="G181" s="183" t="s">
        <v>698</v>
      </c>
      <c r="H181" s="183" t="s">
        <v>4</v>
      </c>
      <c r="I181" s="183" t="s">
        <v>729</v>
      </c>
      <c r="J181" s="188">
        <v>46287</v>
      </c>
      <c r="K181" s="183" t="s">
        <v>1323</v>
      </c>
      <c r="L181" s="183" t="s">
        <v>207</v>
      </c>
      <c r="M181" s="183" t="s">
        <v>1324</v>
      </c>
      <c r="N181" s="185">
        <v>9</v>
      </c>
      <c r="O181" s="186">
        <v>32</v>
      </c>
      <c r="P181" s="185">
        <v>45</v>
      </c>
      <c r="Q181" s="185">
        <v>33</v>
      </c>
      <c r="R181" s="183" t="s">
        <v>702</v>
      </c>
      <c r="S181" s="185">
        <v>1965</v>
      </c>
      <c r="T181" s="189">
        <f t="shared" si="2"/>
        <v>32.75</v>
      </c>
      <c r="U181" s="183" t="s">
        <v>703</v>
      </c>
      <c r="V181" s="183" t="s">
        <v>704</v>
      </c>
      <c r="W181" s="183" t="s">
        <v>1325</v>
      </c>
      <c r="X181" s="183"/>
      <c r="Y181" s="183"/>
      <c r="Z181" s="183" t="s">
        <v>733</v>
      </c>
      <c r="AA181" s="183" t="s">
        <v>734</v>
      </c>
      <c r="AB181" s="183" t="s">
        <v>1326</v>
      </c>
      <c r="AC181" s="183"/>
      <c r="AD181" s="183" t="s">
        <v>1327</v>
      </c>
      <c r="AE181" s="183" t="s">
        <v>741</v>
      </c>
    </row>
    <row r="182" spans="1:31" ht="27.6">
      <c r="A182" s="183" t="s">
        <v>694</v>
      </c>
      <c r="B182" s="183" t="s">
        <v>197</v>
      </c>
      <c r="C182" s="183" t="s">
        <v>197</v>
      </c>
      <c r="D182" s="184" t="s">
        <v>1217</v>
      </c>
      <c r="E182" s="183" t="s">
        <v>696</v>
      </c>
      <c r="F182" s="183" t="s">
        <v>697</v>
      </c>
      <c r="G182" s="183" t="s">
        <v>698</v>
      </c>
      <c r="H182" s="183" t="s">
        <v>4</v>
      </c>
      <c r="I182" s="183" t="s">
        <v>729</v>
      </c>
      <c r="J182" s="188">
        <v>46287</v>
      </c>
      <c r="K182" s="183" t="s">
        <v>1328</v>
      </c>
      <c r="L182" s="183" t="s">
        <v>208</v>
      </c>
      <c r="M182" s="183" t="s">
        <v>763</v>
      </c>
      <c r="N182" s="185">
        <v>9</v>
      </c>
      <c r="O182" s="186">
        <v>3</v>
      </c>
      <c r="P182" s="185">
        <v>5</v>
      </c>
      <c r="Q182" s="185">
        <v>3</v>
      </c>
      <c r="R182" s="183" t="s">
        <v>702</v>
      </c>
      <c r="S182" s="185">
        <v>185</v>
      </c>
      <c r="T182" s="189">
        <f t="shared" si="2"/>
        <v>3.0833333333333335</v>
      </c>
      <c r="U182" s="183" t="s">
        <v>703</v>
      </c>
      <c r="V182" s="183" t="s">
        <v>704</v>
      </c>
      <c r="W182" s="183" t="s">
        <v>1329</v>
      </c>
      <c r="X182" s="183"/>
      <c r="Y182" s="183"/>
      <c r="Z182" s="183" t="s">
        <v>733</v>
      </c>
      <c r="AA182" s="183" t="s">
        <v>734</v>
      </c>
      <c r="AB182" s="183"/>
      <c r="AC182" s="183"/>
      <c r="AD182" s="183" t="s">
        <v>1330</v>
      </c>
      <c r="AE182" s="183" t="s">
        <v>741</v>
      </c>
    </row>
    <row r="183" spans="1:31" ht="27.6">
      <c r="A183" s="183" t="s">
        <v>694</v>
      </c>
      <c r="B183" s="183" t="s">
        <v>197</v>
      </c>
      <c r="C183" s="183" t="s">
        <v>197</v>
      </c>
      <c r="D183" s="184" t="s">
        <v>1217</v>
      </c>
      <c r="E183" s="183" t="s">
        <v>696</v>
      </c>
      <c r="F183" s="183" t="s">
        <v>697</v>
      </c>
      <c r="G183" s="183" t="s">
        <v>698</v>
      </c>
      <c r="H183" s="183" t="s">
        <v>4</v>
      </c>
      <c r="I183" s="183" t="s">
        <v>729</v>
      </c>
      <c r="J183" s="188">
        <v>46287</v>
      </c>
      <c r="K183" s="183" t="s">
        <v>1331</v>
      </c>
      <c r="L183" s="183" t="s">
        <v>209</v>
      </c>
      <c r="M183" s="183" t="s">
        <v>1332</v>
      </c>
      <c r="N183" s="185">
        <v>9</v>
      </c>
      <c r="O183" s="186">
        <v>7</v>
      </c>
      <c r="P183" s="185">
        <v>36</v>
      </c>
      <c r="Q183" s="185">
        <v>8</v>
      </c>
      <c r="R183" s="183" t="s">
        <v>702</v>
      </c>
      <c r="S183" s="185">
        <v>456</v>
      </c>
      <c r="T183" s="189">
        <f t="shared" si="2"/>
        <v>7.6</v>
      </c>
      <c r="U183" s="183" t="s">
        <v>703</v>
      </c>
      <c r="V183" s="183" t="s">
        <v>704</v>
      </c>
      <c r="W183" s="183" t="s">
        <v>1333</v>
      </c>
      <c r="X183" s="183"/>
      <c r="Y183" s="183"/>
      <c r="Z183" s="183" t="s">
        <v>733</v>
      </c>
      <c r="AA183" s="183" t="s">
        <v>734</v>
      </c>
      <c r="AB183" s="183"/>
      <c r="AC183" s="183"/>
      <c r="AD183" s="183" t="s">
        <v>1334</v>
      </c>
      <c r="AE183" s="183" t="s">
        <v>741</v>
      </c>
    </row>
    <row r="184" spans="1:31" ht="27.6">
      <c r="A184" s="183" t="s">
        <v>694</v>
      </c>
      <c r="B184" s="183" t="s">
        <v>197</v>
      </c>
      <c r="C184" s="183" t="s">
        <v>197</v>
      </c>
      <c r="D184" s="184" t="s">
        <v>1217</v>
      </c>
      <c r="E184" s="183" t="s">
        <v>696</v>
      </c>
      <c r="F184" s="183" t="s">
        <v>697</v>
      </c>
      <c r="G184" s="183" t="s">
        <v>698</v>
      </c>
      <c r="H184" s="183" t="s">
        <v>4</v>
      </c>
      <c r="I184" s="183" t="s">
        <v>729</v>
      </c>
      <c r="J184" s="188">
        <v>46287</v>
      </c>
      <c r="K184" s="183" t="s">
        <v>1335</v>
      </c>
      <c r="L184" s="183" t="s">
        <v>89</v>
      </c>
      <c r="M184" s="183" t="s">
        <v>951</v>
      </c>
      <c r="N184" s="185">
        <v>9</v>
      </c>
      <c r="O184" s="186">
        <v>6</v>
      </c>
      <c r="P184" s="185">
        <v>43</v>
      </c>
      <c r="Q184" s="185">
        <v>7</v>
      </c>
      <c r="R184" s="183" t="s">
        <v>702</v>
      </c>
      <c r="S184" s="185">
        <v>403</v>
      </c>
      <c r="T184" s="189">
        <f t="shared" si="2"/>
        <v>6.7166666666666668</v>
      </c>
      <c r="U184" s="183" t="s">
        <v>703</v>
      </c>
      <c r="V184" s="183" t="s">
        <v>704</v>
      </c>
      <c r="W184" s="183" t="s">
        <v>1336</v>
      </c>
      <c r="X184" s="183"/>
      <c r="Y184" s="183"/>
      <c r="Z184" s="183" t="s">
        <v>733</v>
      </c>
      <c r="AA184" s="183" t="s">
        <v>734</v>
      </c>
      <c r="AB184" s="183" t="s">
        <v>821</v>
      </c>
      <c r="AC184" s="183"/>
      <c r="AD184" s="183" t="s">
        <v>1337</v>
      </c>
      <c r="AE184" s="183" t="s">
        <v>741</v>
      </c>
    </row>
    <row r="185" spans="1:31" ht="27.6">
      <c r="A185" s="183" t="s">
        <v>694</v>
      </c>
      <c r="B185" s="183" t="s">
        <v>197</v>
      </c>
      <c r="C185" s="183" t="s">
        <v>197</v>
      </c>
      <c r="D185" s="184" t="s">
        <v>1217</v>
      </c>
      <c r="E185" s="183" t="s">
        <v>696</v>
      </c>
      <c r="F185" s="183" t="s">
        <v>697</v>
      </c>
      <c r="G185" s="183" t="s">
        <v>698</v>
      </c>
      <c r="H185" s="183" t="s">
        <v>4</v>
      </c>
      <c r="I185" s="183" t="s">
        <v>729</v>
      </c>
      <c r="J185" s="188">
        <v>46287</v>
      </c>
      <c r="K185" s="183" t="s">
        <v>1338</v>
      </c>
      <c r="L185" s="183" t="s">
        <v>90</v>
      </c>
      <c r="M185" s="183" t="s">
        <v>917</v>
      </c>
      <c r="N185" s="185">
        <v>9</v>
      </c>
      <c r="O185" s="186">
        <v>17</v>
      </c>
      <c r="P185" s="185">
        <v>20</v>
      </c>
      <c r="Q185" s="185">
        <v>18</v>
      </c>
      <c r="R185" s="183" t="s">
        <v>702</v>
      </c>
      <c r="S185" s="185">
        <v>1040</v>
      </c>
      <c r="T185" s="189">
        <f t="shared" si="2"/>
        <v>17.333333333333332</v>
      </c>
      <c r="U185" s="183" t="s">
        <v>703</v>
      </c>
      <c r="V185" s="183" t="s">
        <v>704</v>
      </c>
      <c r="W185" s="183" t="s">
        <v>1339</v>
      </c>
      <c r="X185" s="183"/>
      <c r="Y185" s="183"/>
      <c r="Z185" s="183" t="s">
        <v>733</v>
      </c>
      <c r="AA185" s="183" t="s">
        <v>734</v>
      </c>
      <c r="AB185" s="183" t="s">
        <v>821</v>
      </c>
      <c r="AC185" s="183"/>
      <c r="AD185" s="183" t="s">
        <v>1340</v>
      </c>
      <c r="AE185" s="183" t="s">
        <v>741</v>
      </c>
    </row>
    <row r="186" spans="1:31" ht="27.6">
      <c r="A186" s="183" t="s">
        <v>694</v>
      </c>
      <c r="B186" s="183" t="s">
        <v>197</v>
      </c>
      <c r="C186" s="183" t="s">
        <v>197</v>
      </c>
      <c r="D186" s="184" t="s">
        <v>1217</v>
      </c>
      <c r="E186" s="183" t="s">
        <v>696</v>
      </c>
      <c r="F186" s="183" t="s">
        <v>697</v>
      </c>
      <c r="G186" s="183" t="s">
        <v>698</v>
      </c>
      <c r="H186" s="183" t="s">
        <v>4</v>
      </c>
      <c r="I186" s="183" t="s">
        <v>729</v>
      </c>
      <c r="J186" s="188">
        <v>46287</v>
      </c>
      <c r="K186" s="183" t="s">
        <v>1341</v>
      </c>
      <c r="L186" s="183" t="s">
        <v>210</v>
      </c>
      <c r="M186" s="183" t="s">
        <v>1342</v>
      </c>
      <c r="N186" s="185">
        <v>9</v>
      </c>
      <c r="O186" s="186">
        <v>2</v>
      </c>
      <c r="P186" s="185">
        <v>58</v>
      </c>
      <c r="Q186" s="185">
        <v>3</v>
      </c>
      <c r="R186" s="183" t="s">
        <v>702</v>
      </c>
      <c r="S186" s="185">
        <v>178</v>
      </c>
      <c r="T186" s="189">
        <f t="shared" si="2"/>
        <v>2.9666666666666668</v>
      </c>
      <c r="U186" s="183" t="s">
        <v>703</v>
      </c>
      <c r="V186" s="183" t="s">
        <v>704</v>
      </c>
      <c r="W186" s="183" t="s">
        <v>1343</v>
      </c>
      <c r="X186" s="183"/>
      <c r="Y186" s="183"/>
      <c r="Z186" s="183" t="s">
        <v>733</v>
      </c>
      <c r="AA186" s="183" t="s">
        <v>734</v>
      </c>
      <c r="AB186" s="183"/>
      <c r="AC186" s="183"/>
      <c r="AD186" s="183" t="s">
        <v>1344</v>
      </c>
      <c r="AE186" s="183" t="s">
        <v>741</v>
      </c>
    </row>
    <row r="187" spans="1:31" ht="27.6">
      <c r="A187" s="183" t="s">
        <v>694</v>
      </c>
      <c r="B187" s="183" t="s">
        <v>197</v>
      </c>
      <c r="C187" s="183" t="s">
        <v>197</v>
      </c>
      <c r="D187" s="184" t="s">
        <v>1217</v>
      </c>
      <c r="E187" s="183" t="s">
        <v>696</v>
      </c>
      <c r="F187" s="183" t="s">
        <v>697</v>
      </c>
      <c r="G187" s="183" t="s">
        <v>698</v>
      </c>
      <c r="H187" s="183" t="s">
        <v>4</v>
      </c>
      <c r="I187" s="183" t="s">
        <v>729</v>
      </c>
      <c r="J187" s="188">
        <v>46287</v>
      </c>
      <c r="K187" s="183" t="s">
        <v>1345</v>
      </c>
      <c r="L187" s="183" t="s">
        <v>211</v>
      </c>
      <c r="M187" s="183" t="s">
        <v>1346</v>
      </c>
      <c r="N187" s="185">
        <v>9</v>
      </c>
      <c r="O187" s="186">
        <v>3</v>
      </c>
      <c r="P187" s="185">
        <v>31</v>
      </c>
      <c r="Q187" s="185">
        <v>4</v>
      </c>
      <c r="R187" s="183" t="s">
        <v>702</v>
      </c>
      <c r="S187" s="185">
        <v>211</v>
      </c>
      <c r="T187" s="189">
        <f t="shared" si="2"/>
        <v>3.5166666666666666</v>
      </c>
      <c r="U187" s="183" t="s">
        <v>703</v>
      </c>
      <c r="V187" s="183" t="s">
        <v>704</v>
      </c>
      <c r="W187" s="183" t="s">
        <v>1347</v>
      </c>
      <c r="X187" s="183"/>
      <c r="Y187" s="183"/>
      <c r="Z187" s="183" t="s">
        <v>733</v>
      </c>
      <c r="AA187" s="183" t="s">
        <v>734</v>
      </c>
      <c r="AB187" s="183"/>
      <c r="AC187" s="183"/>
      <c r="AD187" s="183" t="s">
        <v>1348</v>
      </c>
      <c r="AE187" s="183" t="s">
        <v>741</v>
      </c>
    </row>
    <row r="188" spans="1:31" ht="27.6" hidden="1">
      <c r="A188" s="183" t="s">
        <v>694</v>
      </c>
      <c r="B188" s="183" t="s">
        <v>197</v>
      </c>
      <c r="C188" s="183" t="s">
        <v>197</v>
      </c>
      <c r="D188" s="184" t="s">
        <v>1217</v>
      </c>
      <c r="E188" s="183" t="s">
        <v>696</v>
      </c>
      <c r="F188" s="183" t="s">
        <v>697</v>
      </c>
      <c r="G188" s="183" t="s">
        <v>698</v>
      </c>
      <c r="H188" s="183" t="s">
        <v>4</v>
      </c>
      <c r="I188" s="183" t="s">
        <v>729</v>
      </c>
      <c r="J188" s="188">
        <v>46294</v>
      </c>
      <c r="K188" s="183" t="s">
        <v>1349</v>
      </c>
      <c r="L188" s="183" t="s">
        <v>212</v>
      </c>
      <c r="M188" s="183" t="s">
        <v>802</v>
      </c>
      <c r="N188" s="185">
        <v>2</v>
      </c>
      <c r="O188" s="186">
        <v>66</v>
      </c>
      <c r="P188" s="185">
        <v>0</v>
      </c>
      <c r="Q188" s="185">
        <v>66</v>
      </c>
      <c r="R188" s="183" t="s">
        <v>702</v>
      </c>
      <c r="S188" s="185">
        <v>3960</v>
      </c>
      <c r="T188" s="189">
        <f t="shared" si="2"/>
        <v>66</v>
      </c>
      <c r="U188" s="183" t="s">
        <v>703</v>
      </c>
      <c r="V188" s="183" t="s">
        <v>526</v>
      </c>
      <c r="W188" s="183"/>
      <c r="X188" s="183"/>
      <c r="Y188" s="183"/>
      <c r="Z188" s="183" t="s">
        <v>803</v>
      </c>
      <c r="AA188" s="183" t="s">
        <v>804</v>
      </c>
      <c r="AB188" s="183"/>
      <c r="AC188" s="183"/>
      <c r="AD188" s="183" t="s">
        <v>1350</v>
      </c>
      <c r="AE188" s="183" t="s">
        <v>741</v>
      </c>
    </row>
    <row r="189" spans="1:31" ht="27.6" hidden="1">
      <c r="A189" s="183" t="s">
        <v>694</v>
      </c>
      <c r="B189" s="183" t="s">
        <v>197</v>
      </c>
      <c r="C189" s="183" t="s">
        <v>197</v>
      </c>
      <c r="D189" s="184" t="s">
        <v>1217</v>
      </c>
      <c r="E189" s="183" t="s">
        <v>696</v>
      </c>
      <c r="F189" s="183" t="s">
        <v>697</v>
      </c>
      <c r="G189" s="183" t="s">
        <v>698</v>
      </c>
      <c r="H189" s="183" t="s">
        <v>1</v>
      </c>
      <c r="I189" s="183" t="s">
        <v>1351</v>
      </c>
      <c r="J189" s="188">
        <v>46279</v>
      </c>
      <c r="K189" s="183" t="s">
        <v>1352</v>
      </c>
      <c r="L189" s="183" t="s">
        <v>52</v>
      </c>
      <c r="M189" s="183" t="s">
        <v>162</v>
      </c>
      <c r="N189" s="185">
        <v>17</v>
      </c>
      <c r="O189" s="186">
        <v>18</v>
      </c>
      <c r="P189" s="185">
        <v>12.9</v>
      </c>
      <c r="Q189" s="185">
        <v>19</v>
      </c>
      <c r="R189" s="183" t="s">
        <v>702</v>
      </c>
      <c r="S189" s="185">
        <v>1092.9000000000001</v>
      </c>
      <c r="T189" s="189">
        <f t="shared" si="2"/>
        <v>18.215</v>
      </c>
      <c r="U189" s="183" t="s">
        <v>703</v>
      </c>
      <c r="V189" s="183" t="s">
        <v>526</v>
      </c>
      <c r="W189" s="183"/>
      <c r="X189" s="183"/>
      <c r="Y189" s="183"/>
      <c r="Z189" s="183" t="s">
        <v>715</v>
      </c>
      <c r="AA189" s="183" t="s">
        <v>716</v>
      </c>
      <c r="AB189" s="183"/>
      <c r="AC189" s="183"/>
      <c r="AD189" s="183" t="s">
        <v>1353</v>
      </c>
      <c r="AE189" s="183" t="s">
        <v>741</v>
      </c>
    </row>
    <row r="190" spans="1:31" ht="27.6" hidden="1">
      <c r="A190" s="183" t="s">
        <v>694</v>
      </c>
      <c r="B190" s="183" t="s">
        <v>197</v>
      </c>
      <c r="C190" s="183" t="s">
        <v>197</v>
      </c>
      <c r="D190" s="184" t="s">
        <v>1217</v>
      </c>
      <c r="E190" s="183" t="s">
        <v>696</v>
      </c>
      <c r="F190" s="183" t="s">
        <v>697</v>
      </c>
      <c r="G190" s="183" t="s">
        <v>698</v>
      </c>
      <c r="H190" s="183" t="s">
        <v>1</v>
      </c>
      <c r="I190" s="183" t="s">
        <v>1354</v>
      </c>
      <c r="J190" s="188">
        <v>46279</v>
      </c>
      <c r="K190" s="183" t="s">
        <v>1355</v>
      </c>
      <c r="L190" s="183" t="s">
        <v>39</v>
      </c>
      <c r="M190" s="183" t="s">
        <v>725</v>
      </c>
      <c r="N190" s="185">
        <v>17</v>
      </c>
      <c r="O190" s="186">
        <v>27</v>
      </c>
      <c r="P190" s="185">
        <v>15.8</v>
      </c>
      <c r="Q190" s="185">
        <v>28</v>
      </c>
      <c r="R190" s="183" t="s">
        <v>702</v>
      </c>
      <c r="S190" s="185">
        <v>1635.8</v>
      </c>
      <c r="T190" s="189">
        <f t="shared" si="2"/>
        <v>27.263333333333332</v>
      </c>
      <c r="U190" s="183" t="s">
        <v>703</v>
      </c>
      <c r="V190" s="183" t="s">
        <v>526</v>
      </c>
      <c r="W190" s="183"/>
      <c r="X190" s="183"/>
      <c r="Y190" s="183"/>
      <c r="Z190" s="183" t="s">
        <v>715</v>
      </c>
      <c r="AA190" s="183" t="s">
        <v>716</v>
      </c>
      <c r="AB190" s="183"/>
      <c r="AC190" s="183"/>
      <c r="AD190" s="183" t="s">
        <v>1356</v>
      </c>
      <c r="AE190" s="183" t="s">
        <v>741</v>
      </c>
    </row>
    <row r="191" spans="1:31" ht="27.6" hidden="1">
      <c r="A191" s="183" t="s">
        <v>694</v>
      </c>
      <c r="B191" s="183" t="s">
        <v>197</v>
      </c>
      <c r="C191" s="183" t="s">
        <v>197</v>
      </c>
      <c r="D191" s="184" t="s">
        <v>1217</v>
      </c>
      <c r="E191" s="183" t="s">
        <v>696</v>
      </c>
      <c r="F191" s="183" t="s">
        <v>697</v>
      </c>
      <c r="G191" s="183" t="s">
        <v>698</v>
      </c>
      <c r="H191" s="183" t="s">
        <v>1</v>
      </c>
      <c r="I191" s="183" t="s">
        <v>1357</v>
      </c>
      <c r="J191" s="188">
        <v>46279</v>
      </c>
      <c r="K191" s="183" t="s">
        <v>1358</v>
      </c>
      <c r="L191" s="183" t="s">
        <v>38</v>
      </c>
      <c r="M191" s="183" t="s">
        <v>720</v>
      </c>
      <c r="N191" s="185">
        <v>17</v>
      </c>
      <c r="O191" s="186">
        <v>21</v>
      </c>
      <c r="P191" s="185">
        <v>18.2</v>
      </c>
      <c r="Q191" s="185">
        <v>22</v>
      </c>
      <c r="R191" s="183" t="s">
        <v>702</v>
      </c>
      <c r="S191" s="185">
        <v>1278.2</v>
      </c>
      <c r="T191" s="189">
        <f t="shared" si="2"/>
        <v>21.303333333333335</v>
      </c>
      <c r="U191" s="183" t="s">
        <v>703</v>
      </c>
      <c r="V191" s="183" t="s">
        <v>526</v>
      </c>
      <c r="W191" s="183"/>
      <c r="X191" s="183"/>
      <c r="Y191" s="183"/>
      <c r="Z191" s="183" t="s">
        <v>715</v>
      </c>
      <c r="AA191" s="183" t="s">
        <v>716</v>
      </c>
      <c r="AB191" s="183"/>
      <c r="AC191" s="183"/>
      <c r="AD191" s="183" t="s">
        <v>1359</v>
      </c>
      <c r="AE191" s="183" t="s">
        <v>741</v>
      </c>
    </row>
    <row r="192" spans="1:31" ht="27.6" hidden="1">
      <c r="A192" s="183" t="s">
        <v>694</v>
      </c>
      <c r="B192" s="183" t="s">
        <v>197</v>
      </c>
      <c r="C192" s="183" t="s">
        <v>197</v>
      </c>
      <c r="D192" s="184" t="s">
        <v>1217</v>
      </c>
      <c r="E192" s="183" t="s">
        <v>696</v>
      </c>
      <c r="F192" s="183" t="s">
        <v>697</v>
      </c>
      <c r="G192" s="183" t="s">
        <v>698</v>
      </c>
      <c r="H192" s="183" t="s">
        <v>1</v>
      </c>
      <c r="I192" s="183" t="s">
        <v>1360</v>
      </c>
      <c r="J192" s="188">
        <v>46279</v>
      </c>
      <c r="K192" s="183" t="s">
        <v>1361</v>
      </c>
      <c r="L192" s="183" t="s">
        <v>213</v>
      </c>
      <c r="M192" s="183" t="s">
        <v>1362</v>
      </c>
      <c r="N192" s="185">
        <v>17</v>
      </c>
      <c r="O192" s="186">
        <v>31</v>
      </c>
      <c r="P192" s="185">
        <v>0.1</v>
      </c>
      <c r="Q192" s="185">
        <v>31</v>
      </c>
      <c r="R192" s="183" t="s">
        <v>702</v>
      </c>
      <c r="S192" s="185">
        <v>1860.1</v>
      </c>
      <c r="T192" s="189">
        <f t="shared" si="2"/>
        <v>31.001666666666665</v>
      </c>
      <c r="U192" s="183" t="s">
        <v>703</v>
      </c>
      <c r="V192" s="183" t="s">
        <v>526</v>
      </c>
      <c r="W192" s="183"/>
      <c r="X192" s="183"/>
      <c r="Y192" s="183"/>
      <c r="Z192" s="183" t="s">
        <v>715</v>
      </c>
      <c r="AA192" s="183" t="s">
        <v>716</v>
      </c>
      <c r="AB192" s="183"/>
      <c r="AC192" s="183"/>
      <c r="AD192" s="183" t="s">
        <v>1363</v>
      </c>
      <c r="AE192" s="183" t="s">
        <v>741</v>
      </c>
    </row>
    <row r="193" spans="1:31" ht="27.6" hidden="1">
      <c r="A193" s="183" t="s">
        <v>694</v>
      </c>
      <c r="B193" s="183" t="s">
        <v>197</v>
      </c>
      <c r="C193" s="183" t="s">
        <v>197</v>
      </c>
      <c r="D193" s="184" t="s">
        <v>1217</v>
      </c>
      <c r="E193" s="183" t="s">
        <v>696</v>
      </c>
      <c r="F193" s="183" t="s">
        <v>697</v>
      </c>
      <c r="G193" s="183" t="s">
        <v>698</v>
      </c>
      <c r="H193" s="183" t="s">
        <v>1</v>
      </c>
      <c r="I193" s="183" t="s">
        <v>1364</v>
      </c>
      <c r="J193" s="188">
        <v>46279</v>
      </c>
      <c r="K193" s="183" t="s">
        <v>1365</v>
      </c>
      <c r="L193" s="183" t="s">
        <v>37</v>
      </c>
      <c r="M193" s="183" t="s">
        <v>713</v>
      </c>
      <c r="N193" s="185">
        <v>17</v>
      </c>
      <c r="O193" s="186">
        <v>20</v>
      </c>
      <c r="P193" s="185">
        <v>37.1</v>
      </c>
      <c r="Q193" s="185">
        <v>21</v>
      </c>
      <c r="R193" s="183" t="s">
        <v>702</v>
      </c>
      <c r="S193" s="185">
        <v>1237.0999999999999</v>
      </c>
      <c r="T193" s="189">
        <f t="shared" si="2"/>
        <v>20.618333333333332</v>
      </c>
      <c r="U193" s="183" t="s">
        <v>703</v>
      </c>
      <c r="V193" s="183" t="s">
        <v>526</v>
      </c>
      <c r="W193" s="183"/>
      <c r="X193" s="183"/>
      <c r="Y193" s="183"/>
      <c r="Z193" s="183" t="s">
        <v>715</v>
      </c>
      <c r="AA193" s="183" t="s">
        <v>716</v>
      </c>
      <c r="AB193" s="183"/>
      <c r="AC193" s="183"/>
      <c r="AD193" s="183" t="s">
        <v>1366</v>
      </c>
      <c r="AE193" s="183" t="s">
        <v>741</v>
      </c>
    </row>
    <row r="194" spans="1:31" ht="27.6" hidden="1">
      <c r="A194" s="183" t="s">
        <v>694</v>
      </c>
      <c r="B194" s="183" t="s">
        <v>197</v>
      </c>
      <c r="C194" s="183" t="s">
        <v>197</v>
      </c>
      <c r="D194" s="184" t="s">
        <v>1217</v>
      </c>
      <c r="E194" s="183" t="s">
        <v>696</v>
      </c>
      <c r="F194" s="183" t="s">
        <v>697</v>
      </c>
      <c r="G194" s="183" t="s">
        <v>698</v>
      </c>
      <c r="H194" s="183" t="s">
        <v>1</v>
      </c>
      <c r="I194" s="183" t="s">
        <v>1367</v>
      </c>
      <c r="J194" s="188">
        <v>46279</v>
      </c>
      <c r="K194" s="183" t="s">
        <v>1368</v>
      </c>
      <c r="L194" s="183" t="s">
        <v>214</v>
      </c>
      <c r="M194" s="183" t="s">
        <v>1369</v>
      </c>
      <c r="N194" s="185">
        <v>17</v>
      </c>
      <c r="O194" s="186">
        <v>18</v>
      </c>
      <c r="P194" s="185">
        <v>3.8</v>
      </c>
      <c r="Q194" s="185">
        <v>18</v>
      </c>
      <c r="R194" s="183" t="s">
        <v>702</v>
      </c>
      <c r="S194" s="185">
        <v>1083.8</v>
      </c>
      <c r="T194" s="189">
        <f t="shared" si="2"/>
        <v>18.063333333333333</v>
      </c>
      <c r="U194" s="183" t="s">
        <v>703</v>
      </c>
      <c r="V194" s="183" t="s">
        <v>526</v>
      </c>
      <c r="W194" s="183"/>
      <c r="X194" s="183"/>
      <c r="Y194" s="183"/>
      <c r="Z194" s="183" t="s">
        <v>715</v>
      </c>
      <c r="AA194" s="183" t="s">
        <v>716</v>
      </c>
      <c r="AB194" s="183"/>
      <c r="AC194" s="183"/>
      <c r="AD194" s="183" t="s">
        <v>1370</v>
      </c>
      <c r="AE194" s="183" t="s">
        <v>741</v>
      </c>
    </row>
    <row r="195" spans="1:31" ht="27.6">
      <c r="A195" s="183" t="s">
        <v>694</v>
      </c>
      <c r="B195" s="183" t="s">
        <v>197</v>
      </c>
      <c r="C195" s="183" t="s">
        <v>197</v>
      </c>
      <c r="D195" s="184" t="s">
        <v>1217</v>
      </c>
      <c r="E195" s="183" t="s">
        <v>696</v>
      </c>
      <c r="F195" s="183" t="s">
        <v>697</v>
      </c>
      <c r="G195" s="183" t="s">
        <v>698</v>
      </c>
      <c r="H195" s="183" t="s">
        <v>8</v>
      </c>
      <c r="I195" s="183" t="s">
        <v>729</v>
      </c>
      <c r="J195" s="188">
        <v>46287</v>
      </c>
      <c r="K195" s="183" t="s">
        <v>1371</v>
      </c>
      <c r="L195" s="183" t="s">
        <v>215</v>
      </c>
      <c r="M195" s="183" t="s">
        <v>1372</v>
      </c>
      <c r="N195" s="185">
        <v>9</v>
      </c>
      <c r="O195" s="186">
        <v>2</v>
      </c>
      <c r="P195" s="185">
        <v>6</v>
      </c>
      <c r="Q195" s="185">
        <v>2</v>
      </c>
      <c r="R195" s="183" t="s">
        <v>702</v>
      </c>
      <c r="S195" s="185">
        <v>126</v>
      </c>
      <c r="T195" s="189">
        <f t="shared" ref="T195:T258" si="3">S195/60</f>
        <v>2.1</v>
      </c>
      <c r="U195" s="183" t="s">
        <v>703</v>
      </c>
      <c r="V195" s="183" t="s">
        <v>704</v>
      </c>
      <c r="W195" s="183" t="s">
        <v>1373</v>
      </c>
      <c r="X195" s="183"/>
      <c r="Y195" s="183"/>
      <c r="Z195" s="183" t="s">
        <v>733</v>
      </c>
      <c r="AA195" s="183" t="s">
        <v>734</v>
      </c>
      <c r="AB195" s="183"/>
      <c r="AC195" s="183"/>
      <c r="AD195" s="183" t="s">
        <v>1374</v>
      </c>
      <c r="AE195" s="183" t="s">
        <v>741</v>
      </c>
    </row>
    <row r="196" spans="1:31" ht="27.6">
      <c r="A196" s="183" t="s">
        <v>694</v>
      </c>
      <c r="B196" s="183" t="s">
        <v>197</v>
      </c>
      <c r="C196" s="183" t="s">
        <v>197</v>
      </c>
      <c r="D196" s="184" t="s">
        <v>1217</v>
      </c>
      <c r="E196" s="183" t="s">
        <v>696</v>
      </c>
      <c r="F196" s="183" t="s">
        <v>697</v>
      </c>
      <c r="G196" s="183" t="s">
        <v>698</v>
      </c>
      <c r="H196" s="183" t="s">
        <v>8</v>
      </c>
      <c r="I196" s="183" t="s">
        <v>729</v>
      </c>
      <c r="J196" s="188">
        <v>46287</v>
      </c>
      <c r="K196" s="183" t="s">
        <v>1375</v>
      </c>
      <c r="L196" s="183" t="s">
        <v>216</v>
      </c>
      <c r="M196" s="183" t="s">
        <v>797</v>
      </c>
      <c r="N196" s="185">
        <v>9</v>
      </c>
      <c r="O196" s="186">
        <v>8</v>
      </c>
      <c r="P196" s="185">
        <v>19</v>
      </c>
      <c r="Q196" s="185">
        <v>9</v>
      </c>
      <c r="R196" s="183" t="s">
        <v>702</v>
      </c>
      <c r="S196" s="185">
        <v>499</v>
      </c>
      <c r="T196" s="189">
        <f t="shared" si="3"/>
        <v>8.3166666666666664</v>
      </c>
      <c r="U196" s="183" t="s">
        <v>703</v>
      </c>
      <c r="V196" s="183" t="s">
        <v>704</v>
      </c>
      <c r="W196" s="183" t="s">
        <v>1376</v>
      </c>
      <c r="X196" s="183"/>
      <c r="Y196" s="183"/>
      <c r="Z196" s="183" t="s">
        <v>733</v>
      </c>
      <c r="AA196" s="183" t="s">
        <v>734</v>
      </c>
      <c r="AB196" s="183"/>
      <c r="AC196" s="183"/>
      <c r="AD196" s="183" t="s">
        <v>1377</v>
      </c>
      <c r="AE196" s="183" t="s">
        <v>741</v>
      </c>
    </row>
    <row r="197" spans="1:31" ht="27.6">
      <c r="A197" s="183" t="s">
        <v>694</v>
      </c>
      <c r="B197" s="183" t="s">
        <v>197</v>
      </c>
      <c r="C197" s="183" t="s">
        <v>197</v>
      </c>
      <c r="D197" s="184" t="s">
        <v>1217</v>
      </c>
      <c r="E197" s="183" t="s">
        <v>696</v>
      </c>
      <c r="F197" s="183" t="s">
        <v>697</v>
      </c>
      <c r="G197" s="183" t="s">
        <v>698</v>
      </c>
      <c r="H197" s="183" t="s">
        <v>8</v>
      </c>
      <c r="I197" s="183" t="s">
        <v>729</v>
      </c>
      <c r="J197" s="188">
        <v>46287</v>
      </c>
      <c r="K197" s="183" t="s">
        <v>1378</v>
      </c>
      <c r="L197" s="183" t="s">
        <v>217</v>
      </c>
      <c r="M197" s="183" t="s">
        <v>1379</v>
      </c>
      <c r="N197" s="185">
        <v>9</v>
      </c>
      <c r="O197" s="186">
        <v>14</v>
      </c>
      <c r="P197" s="185">
        <v>33</v>
      </c>
      <c r="Q197" s="185">
        <v>15</v>
      </c>
      <c r="R197" s="183" t="s">
        <v>702</v>
      </c>
      <c r="S197" s="185">
        <v>873</v>
      </c>
      <c r="T197" s="189">
        <f t="shared" si="3"/>
        <v>14.55</v>
      </c>
      <c r="U197" s="183" t="s">
        <v>703</v>
      </c>
      <c r="V197" s="183" t="s">
        <v>704</v>
      </c>
      <c r="W197" s="183" t="s">
        <v>1380</v>
      </c>
      <c r="X197" s="183"/>
      <c r="Y197" s="183"/>
      <c r="Z197" s="183" t="s">
        <v>733</v>
      </c>
      <c r="AA197" s="183" t="s">
        <v>734</v>
      </c>
      <c r="AB197" s="183"/>
      <c r="AC197" s="183"/>
      <c r="AD197" s="183" t="s">
        <v>1381</v>
      </c>
      <c r="AE197" s="183" t="s">
        <v>741</v>
      </c>
    </row>
    <row r="198" spans="1:31" ht="27.6">
      <c r="A198" s="183" t="s">
        <v>694</v>
      </c>
      <c r="B198" s="183" t="s">
        <v>197</v>
      </c>
      <c r="C198" s="183" t="s">
        <v>197</v>
      </c>
      <c r="D198" s="184" t="s">
        <v>1217</v>
      </c>
      <c r="E198" s="183" t="s">
        <v>696</v>
      </c>
      <c r="F198" s="183" t="s">
        <v>697</v>
      </c>
      <c r="G198" s="183" t="s">
        <v>698</v>
      </c>
      <c r="H198" s="183" t="s">
        <v>7</v>
      </c>
      <c r="I198" s="183" t="s">
        <v>729</v>
      </c>
      <c r="J198" s="188">
        <v>46287</v>
      </c>
      <c r="K198" s="183" t="s">
        <v>1382</v>
      </c>
      <c r="L198" s="183" t="s">
        <v>218</v>
      </c>
      <c r="M198" s="183" t="s">
        <v>763</v>
      </c>
      <c r="N198" s="185">
        <v>9</v>
      </c>
      <c r="O198" s="186">
        <v>7</v>
      </c>
      <c r="P198" s="185">
        <v>13</v>
      </c>
      <c r="Q198" s="185">
        <v>8</v>
      </c>
      <c r="R198" s="183" t="s">
        <v>702</v>
      </c>
      <c r="S198" s="185">
        <v>433</v>
      </c>
      <c r="T198" s="189">
        <f t="shared" si="3"/>
        <v>7.2166666666666668</v>
      </c>
      <c r="U198" s="183" t="s">
        <v>703</v>
      </c>
      <c r="V198" s="183" t="s">
        <v>704</v>
      </c>
      <c r="W198" s="183" t="s">
        <v>1383</v>
      </c>
      <c r="X198" s="183"/>
      <c r="Y198" s="183"/>
      <c r="Z198" s="183" t="s">
        <v>733</v>
      </c>
      <c r="AA198" s="183" t="s">
        <v>734</v>
      </c>
      <c r="AB198" s="183"/>
      <c r="AC198" s="183"/>
      <c r="AD198" s="183" t="s">
        <v>1384</v>
      </c>
      <c r="AE198" s="183" t="s">
        <v>741</v>
      </c>
    </row>
    <row r="199" spans="1:31" ht="27.6">
      <c r="A199" s="183" t="s">
        <v>694</v>
      </c>
      <c r="B199" s="183" t="s">
        <v>197</v>
      </c>
      <c r="C199" s="183" t="s">
        <v>197</v>
      </c>
      <c r="D199" s="184" t="s">
        <v>1217</v>
      </c>
      <c r="E199" s="183" t="s">
        <v>696</v>
      </c>
      <c r="F199" s="183" t="s">
        <v>697</v>
      </c>
      <c r="G199" s="183" t="s">
        <v>698</v>
      </c>
      <c r="H199" s="183" t="s">
        <v>5</v>
      </c>
      <c r="I199" s="183" t="s">
        <v>729</v>
      </c>
      <c r="J199" s="188">
        <v>46287</v>
      </c>
      <c r="K199" s="183" t="s">
        <v>1385</v>
      </c>
      <c r="L199" s="183" t="s">
        <v>219</v>
      </c>
      <c r="M199" s="183" t="s">
        <v>1386</v>
      </c>
      <c r="N199" s="185">
        <v>9</v>
      </c>
      <c r="O199" s="186">
        <v>51</v>
      </c>
      <c r="P199" s="185">
        <v>17</v>
      </c>
      <c r="Q199" s="185">
        <v>52</v>
      </c>
      <c r="R199" s="183" t="s">
        <v>702</v>
      </c>
      <c r="S199" s="185">
        <v>3077</v>
      </c>
      <c r="T199" s="189">
        <f t="shared" si="3"/>
        <v>51.283333333333331</v>
      </c>
      <c r="U199" s="183" t="s">
        <v>703</v>
      </c>
      <c r="V199" s="183" t="s">
        <v>704</v>
      </c>
      <c r="W199" s="183" t="s">
        <v>1387</v>
      </c>
      <c r="X199" s="183"/>
      <c r="Y199" s="183"/>
      <c r="Z199" s="183" t="s">
        <v>733</v>
      </c>
      <c r="AA199" s="183" t="s">
        <v>734</v>
      </c>
      <c r="AB199" s="183"/>
      <c r="AC199" s="183"/>
      <c r="AD199" s="183" t="s">
        <v>1388</v>
      </c>
      <c r="AE199" s="183" t="s">
        <v>741</v>
      </c>
    </row>
    <row r="200" spans="1:31" ht="27.6">
      <c r="A200" s="183" t="s">
        <v>694</v>
      </c>
      <c r="B200" s="183" t="s">
        <v>197</v>
      </c>
      <c r="C200" s="183" t="s">
        <v>197</v>
      </c>
      <c r="D200" s="184" t="s">
        <v>1217</v>
      </c>
      <c r="E200" s="183" t="s">
        <v>696</v>
      </c>
      <c r="F200" s="183" t="s">
        <v>697</v>
      </c>
      <c r="G200" s="183" t="s">
        <v>698</v>
      </c>
      <c r="H200" s="183" t="s">
        <v>5</v>
      </c>
      <c r="I200" s="183" t="s">
        <v>729</v>
      </c>
      <c r="J200" s="188">
        <v>46287</v>
      </c>
      <c r="K200" s="183" t="s">
        <v>1389</v>
      </c>
      <c r="L200" s="183" t="s">
        <v>112</v>
      </c>
      <c r="M200" s="183" t="s">
        <v>1040</v>
      </c>
      <c r="N200" s="185">
        <v>9</v>
      </c>
      <c r="O200" s="186">
        <v>16</v>
      </c>
      <c r="P200" s="185">
        <v>42</v>
      </c>
      <c r="Q200" s="185">
        <v>17</v>
      </c>
      <c r="R200" s="183" t="s">
        <v>702</v>
      </c>
      <c r="S200" s="185">
        <v>1002</v>
      </c>
      <c r="T200" s="189">
        <f t="shared" si="3"/>
        <v>16.7</v>
      </c>
      <c r="U200" s="183" t="s">
        <v>703</v>
      </c>
      <c r="V200" s="183" t="s">
        <v>704</v>
      </c>
      <c r="W200" s="183" t="s">
        <v>1390</v>
      </c>
      <c r="X200" s="183"/>
      <c r="Y200" s="183"/>
      <c r="Z200" s="183" t="s">
        <v>733</v>
      </c>
      <c r="AA200" s="183" t="s">
        <v>734</v>
      </c>
      <c r="AB200" s="183"/>
      <c r="AC200" s="183"/>
      <c r="AD200" s="183" t="s">
        <v>1391</v>
      </c>
      <c r="AE200" s="183" t="s">
        <v>741</v>
      </c>
    </row>
    <row r="201" spans="1:31" ht="27.6">
      <c r="A201" s="183" t="s">
        <v>694</v>
      </c>
      <c r="B201" s="183" t="s">
        <v>197</v>
      </c>
      <c r="C201" s="183" t="s">
        <v>197</v>
      </c>
      <c r="D201" s="184" t="s">
        <v>1217</v>
      </c>
      <c r="E201" s="183" t="s">
        <v>696</v>
      </c>
      <c r="F201" s="183" t="s">
        <v>697</v>
      </c>
      <c r="G201" s="183" t="s">
        <v>698</v>
      </c>
      <c r="H201" s="183" t="s">
        <v>5</v>
      </c>
      <c r="I201" s="183" t="s">
        <v>729</v>
      </c>
      <c r="J201" s="188">
        <v>46287</v>
      </c>
      <c r="K201" s="183" t="s">
        <v>1392</v>
      </c>
      <c r="L201" s="183" t="s">
        <v>53</v>
      </c>
      <c r="M201" s="183" t="s">
        <v>791</v>
      </c>
      <c r="N201" s="185">
        <v>9</v>
      </c>
      <c r="O201" s="186">
        <v>25</v>
      </c>
      <c r="P201" s="185">
        <v>46</v>
      </c>
      <c r="Q201" s="185">
        <v>26</v>
      </c>
      <c r="R201" s="183" t="s">
        <v>702</v>
      </c>
      <c r="S201" s="185">
        <v>1546</v>
      </c>
      <c r="T201" s="189">
        <f t="shared" si="3"/>
        <v>25.766666666666666</v>
      </c>
      <c r="U201" s="183" t="s">
        <v>703</v>
      </c>
      <c r="V201" s="183" t="s">
        <v>704</v>
      </c>
      <c r="W201" s="183" t="s">
        <v>1393</v>
      </c>
      <c r="X201" s="183"/>
      <c r="Y201" s="183"/>
      <c r="Z201" s="183" t="s">
        <v>733</v>
      </c>
      <c r="AA201" s="183" t="s">
        <v>734</v>
      </c>
      <c r="AB201" s="183"/>
      <c r="AC201" s="183"/>
      <c r="AD201" s="183" t="s">
        <v>1394</v>
      </c>
      <c r="AE201" s="183" t="s">
        <v>741</v>
      </c>
    </row>
    <row r="202" spans="1:31" ht="27.6">
      <c r="A202" s="183" t="s">
        <v>694</v>
      </c>
      <c r="B202" s="183" t="s">
        <v>197</v>
      </c>
      <c r="C202" s="183" t="s">
        <v>197</v>
      </c>
      <c r="D202" s="184" t="s">
        <v>1217</v>
      </c>
      <c r="E202" s="183" t="s">
        <v>696</v>
      </c>
      <c r="F202" s="183" t="s">
        <v>697</v>
      </c>
      <c r="G202" s="183" t="s">
        <v>698</v>
      </c>
      <c r="H202" s="183" t="s">
        <v>5</v>
      </c>
      <c r="I202" s="183" t="s">
        <v>729</v>
      </c>
      <c r="J202" s="188">
        <v>46287</v>
      </c>
      <c r="K202" s="183" t="s">
        <v>1395</v>
      </c>
      <c r="L202" s="183" t="s">
        <v>220</v>
      </c>
      <c r="M202" s="183" t="s">
        <v>1396</v>
      </c>
      <c r="N202" s="185">
        <v>9</v>
      </c>
      <c r="O202" s="186">
        <v>16</v>
      </c>
      <c r="P202" s="185">
        <v>2</v>
      </c>
      <c r="Q202" s="185">
        <v>16</v>
      </c>
      <c r="R202" s="183" t="s">
        <v>702</v>
      </c>
      <c r="S202" s="185">
        <v>962</v>
      </c>
      <c r="T202" s="189">
        <f t="shared" si="3"/>
        <v>16.033333333333335</v>
      </c>
      <c r="U202" s="183" t="s">
        <v>703</v>
      </c>
      <c r="V202" s="183" t="s">
        <v>704</v>
      </c>
      <c r="W202" s="183" t="s">
        <v>1397</v>
      </c>
      <c r="X202" s="183"/>
      <c r="Y202" s="183"/>
      <c r="Z202" s="183" t="s">
        <v>733</v>
      </c>
      <c r="AA202" s="183" t="s">
        <v>734</v>
      </c>
      <c r="AB202" s="183"/>
      <c r="AC202" s="183"/>
      <c r="AD202" s="183" t="s">
        <v>1398</v>
      </c>
      <c r="AE202" s="183" t="s">
        <v>741</v>
      </c>
    </row>
    <row r="203" spans="1:31" ht="27.6" hidden="1">
      <c r="A203" s="183" t="s">
        <v>694</v>
      </c>
      <c r="B203" s="183" t="s">
        <v>197</v>
      </c>
      <c r="C203" s="183" t="s">
        <v>197</v>
      </c>
      <c r="D203" s="184" t="s">
        <v>1150</v>
      </c>
      <c r="E203" s="183" t="s">
        <v>696</v>
      </c>
      <c r="F203" s="183" t="s">
        <v>697</v>
      </c>
      <c r="G203" s="183" t="s">
        <v>698</v>
      </c>
      <c r="H203" s="183" t="s">
        <v>4</v>
      </c>
      <c r="I203" s="183" t="s">
        <v>729</v>
      </c>
      <c r="J203" s="188">
        <v>46105</v>
      </c>
      <c r="K203" s="183" t="s">
        <v>1399</v>
      </c>
      <c r="L203" s="183" t="s">
        <v>221</v>
      </c>
      <c r="M203" s="183" t="s">
        <v>1400</v>
      </c>
      <c r="N203" s="185">
        <v>191</v>
      </c>
      <c r="O203" s="186">
        <v>1</v>
      </c>
      <c r="P203" s="185">
        <v>1</v>
      </c>
      <c r="Q203" s="185">
        <v>2</v>
      </c>
      <c r="R203" s="183" t="s">
        <v>702</v>
      </c>
      <c r="S203" s="185">
        <v>61</v>
      </c>
      <c r="T203" s="189">
        <f t="shared" si="3"/>
        <v>1.0166666666666666</v>
      </c>
      <c r="U203" s="183" t="s">
        <v>703</v>
      </c>
      <c r="V203" s="183" t="s">
        <v>704</v>
      </c>
      <c r="W203" s="183" t="s">
        <v>1401</v>
      </c>
      <c r="X203" s="183"/>
      <c r="Y203" s="183"/>
      <c r="Z203" s="183" t="s">
        <v>733</v>
      </c>
      <c r="AA203" s="183" t="s">
        <v>734</v>
      </c>
      <c r="AB203" s="183"/>
      <c r="AC203" s="183"/>
      <c r="AD203" s="183" t="s">
        <v>1402</v>
      </c>
      <c r="AE203" s="183" t="s">
        <v>1088</v>
      </c>
    </row>
    <row r="204" spans="1:31" ht="27.6">
      <c r="A204" s="183" t="s">
        <v>694</v>
      </c>
      <c r="B204" s="183" t="s">
        <v>197</v>
      </c>
      <c r="C204" s="183" t="s">
        <v>197</v>
      </c>
      <c r="D204" s="184" t="s">
        <v>1150</v>
      </c>
      <c r="E204" s="183" t="s">
        <v>696</v>
      </c>
      <c r="F204" s="183" t="s">
        <v>697</v>
      </c>
      <c r="G204" s="183" t="s">
        <v>698</v>
      </c>
      <c r="H204" s="183" t="s">
        <v>4</v>
      </c>
      <c r="I204" s="183" t="s">
        <v>729</v>
      </c>
      <c r="J204" s="188">
        <v>46287</v>
      </c>
      <c r="K204" s="183" t="s">
        <v>1403</v>
      </c>
      <c r="L204" s="183" t="s">
        <v>222</v>
      </c>
      <c r="M204" s="183" t="s">
        <v>1404</v>
      </c>
      <c r="N204" s="185">
        <v>9</v>
      </c>
      <c r="O204" s="186">
        <v>9</v>
      </c>
      <c r="P204" s="185">
        <v>0</v>
      </c>
      <c r="Q204" s="185">
        <v>10</v>
      </c>
      <c r="R204" s="183" t="s">
        <v>702</v>
      </c>
      <c r="S204" s="185">
        <v>540</v>
      </c>
      <c r="T204" s="189">
        <f t="shared" si="3"/>
        <v>9</v>
      </c>
      <c r="U204" s="183" t="s">
        <v>703</v>
      </c>
      <c r="V204" s="183" t="s">
        <v>704</v>
      </c>
      <c r="W204" s="183" t="s">
        <v>1405</v>
      </c>
      <c r="X204" s="183"/>
      <c r="Y204" s="183"/>
      <c r="Z204" s="183" t="s">
        <v>733</v>
      </c>
      <c r="AA204" s="183" t="s">
        <v>734</v>
      </c>
      <c r="AB204" s="183"/>
      <c r="AC204" s="183"/>
      <c r="AD204" s="183" t="s">
        <v>1406</v>
      </c>
      <c r="AE204" s="183" t="s">
        <v>800</v>
      </c>
    </row>
    <row r="205" spans="1:31" ht="27.6">
      <c r="A205" s="183" t="s">
        <v>694</v>
      </c>
      <c r="B205" s="183" t="s">
        <v>197</v>
      </c>
      <c r="C205" s="183" t="s">
        <v>197</v>
      </c>
      <c r="D205" s="184" t="s">
        <v>1150</v>
      </c>
      <c r="E205" s="183" t="s">
        <v>696</v>
      </c>
      <c r="F205" s="183" t="s">
        <v>697</v>
      </c>
      <c r="G205" s="183" t="s">
        <v>698</v>
      </c>
      <c r="H205" s="183" t="s">
        <v>4</v>
      </c>
      <c r="I205" s="183" t="s">
        <v>729</v>
      </c>
      <c r="J205" s="188">
        <v>46287</v>
      </c>
      <c r="K205" s="183" t="s">
        <v>1407</v>
      </c>
      <c r="L205" s="183" t="s">
        <v>223</v>
      </c>
      <c r="M205" s="183" t="s">
        <v>1408</v>
      </c>
      <c r="N205" s="185">
        <v>9</v>
      </c>
      <c r="O205" s="186">
        <v>12</v>
      </c>
      <c r="P205" s="185">
        <v>22</v>
      </c>
      <c r="Q205" s="185">
        <v>13</v>
      </c>
      <c r="R205" s="183" t="s">
        <v>702</v>
      </c>
      <c r="S205" s="185">
        <v>742</v>
      </c>
      <c r="T205" s="189">
        <f t="shared" si="3"/>
        <v>12.366666666666667</v>
      </c>
      <c r="U205" s="183" t="s">
        <v>703</v>
      </c>
      <c r="V205" s="183" t="s">
        <v>704</v>
      </c>
      <c r="W205" s="183" t="s">
        <v>1409</v>
      </c>
      <c r="X205" s="183"/>
      <c r="Y205" s="183"/>
      <c r="Z205" s="183" t="s">
        <v>733</v>
      </c>
      <c r="AA205" s="183" t="s">
        <v>734</v>
      </c>
      <c r="AB205" s="183" t="s">
        <v>821</v>
      </c>
      <c r="AC205" s="183"/>
      <c r="AD205" s="183" t="s">
        <v>1410</v>
      </c>
      <c r="AE205" s="183" t="s">
        <v>1088</v>
      </c>
    </row>
    <row r="206" spans="1:31" ht="27.6">
      <c r="A206" s="183" t="s">
        <v>694</v>
      </c>
      <c r="B206" s="183" t="s">
        <v>197</v>
      </c>
      <c r="C206" s="183" t="s">
        <v>197</v>
      </c>
      <c r="D206" s="184" t="s">
        <v>1150</v>
      </c>
      <c r="E206" s="183" t="s">
        <v>696</v>
      </c>
      <c r="F206" s="183" t="s">
        <v>697</v>
      </c>
      <c r="G206" s="183" t="s">
        <v>698</v>
      </c>
      <c r="H206" s="183" t="s">
        <v>4</v>
      </c>
      <c r="I206" s="183" t="s">
        <v>729</v>
      </c>
      <c r="J206" s="188">
        <v>46287</v>
      </c>
      <c r="K206" s="183" t="s">
        <v>1411</v>
      </c>
      <c r="L206" s="183" t="s">
        <v>224</v>
      </c>
      <c r="M206" s="183" t="s">
        <v>1412</v>
      </c>
      <c r="N206" s="185">
        <v>9</v>
      </c>
      <c r="O206" s="186">
        <v>8</v>
      </c>
      <c r="P206" s="185">
        <v>21</v>
      </c>
      <c r="Q206" s="185">
        <v>9</v>
      </c>
      <c r="R206" s="183" t="s">
        <v>702</v>
      </c>
      <c r="S206" s="185">
        <v>501</v>
      </c>
      <c r="T206" s="189">
        <f t="shared" si="3"/>
        <v>8.35</v>
      </c>
      <c r="U206" s="183" t="s">
        <v>703</v>
      </c>
      <c r="V206" s="183" t="s">
        <v>704</v>
      </c>
      <c r="W206" s="183" t="s">
        <v>1413</v>
      </c>
      <c r="X206" s="183"/>
      <c r="Y206" s="183"/>
      <c r="Z206" s="183" t="s">
        <v>733</v>
      </c>
      <c r="AA206" s="183" t="s">
        <v>734</v>
      </c>
      <c r="AB206" s="183"/>
      <c r="AC206" s="183"/>
      <c r="AD206" s="183" t="s">
        <v>1414</v>
      </c>
      <c r="AE206" s="183" t="s">
        <v>1088</v>
      </c>
    </row>
    <row r="207" spans="1:31" ht="27.6">
      <c r="A207" s="183" t="s">
        <v>694</v>
      </c>
      <c r="B207" s="183" t="s">
        <v>197</v>
      </c>
      <c r="C207" s="183" t="s">
        <v>197</v>
      </c>
      <c r="D207" s="184" t="s">
        <v>1150</v>
      </c>
      <c r="E207" s="183" t="s">
        <v>696</v>
      </c>
      <c r="F207" s="183" t="s">
        <v>697</v>
      </c>
      <c r="G207" s="183" t="s">
        <v>698</v>
      </c>
      <c r="H207" s="183" t="s">
        <v>4</v>
      </c>
      <c r="I207" s="183" t="s">
        <v>729</v>
      </c>
      <c r="J207" s="188">
        <v>46287</v>
      </c>
      <c r="K207" s="183" t="s">
        <v>1415</v>
      </c>
      <c r="L207" s="183" t="s">
        <v>225</v>
      </c>
      <c r="M207" s="183" t="s">
        <v>1416</v>
      </c>
      <c r="N207" s="185">
        <v>9</v>
      </c>
      <c r="O207" s="186">
        <v>13</v>
      </c>
      <c r="P207" s="185">
        <v>16</v>
      </c>
      <c r="Q207" s="185">
        <v>14</v>
      </c>
      <c r="R207" s="183" t="s">
        <v>702</v>
      </c>
      <c r="S207" s="185">
        <v>796</v>
      </c>
      <c r="T207" s="189">
        <f t="shared" si="3"/>
        <v>13.266666666666667</v>
      </c>
      <c r="U207" s="183" t="s">
        <v>703</v>
      </c>
      <c r="V207" s="183" t="s">
        <v>704</v>
      </c>
      <c r="W207" s="183" t="s">
        <v>1417</v>
      </c>
      <c r="X207" s="183"/>
      <c r="Y207" s="183"/>
      <c r="Z207" s="183" t="s">
        <v>733</v>
      </c>
      <c r="AA207" s="183" t="s">
        <v>734</v>
      </c>
      <c r="AB207" s="183"/>
      <c r="AC207" s="183"/>
      <c r="AD207" s="183" t="s">
        <v>1418</v>
      </c>
      <c r="AE207" s="183" t="s">
        <v>1088</v>
      </c>
    </row>
    <row r="208" spans="1:31" ht="27.6">
      <c r="A208" s="183" t="s">
        <v>694</v>
      </c>
      <c r="B208" s="183" t="s">
        <v>197</v>
      </c>
      <c r="C208" s="183" t="s">
        <v>197</v>
      </c>
      <c r="D208" s="184" t="s">
        <v>1150</v>
      </c>
      <c r="E208" s="183" t="s">
        <v>696</v>
      </c>
      <c r="F208" s="183" t="s">
        <v>697</v>
      </c>
      <c r="G208" s="183" t="s">
        <v>698</v>
      </c>
      <c r="H208" s="183" t="s">
        <v>4</v>
      </c>
      <c r="I208" s="183" t="s">
        <v>729</v>
      </c>
      <c r="J208" s="188">
        <v>46287</v>
      </c>
      <c r="K208" s="183" t="s">
        <v>1419</v>
      </c>
      <c r="L208" s="183" t="s">
        <v>46</v>
      </c>
      <c r="M208" s="183" t="s">
        <v>917</v>
      </c>
      <c r="N208" s="185">
        <v>9</v>
      </c>
      <c r="O208" s="186">
        <v>11</v>
      </c>
      <c r="P208" s="185">
        <v>58</v>
      </c>
      <c r="Q208" s="185">
        <v>12</v>
      </c>
      <c r="R208" s="183" t="s">
        <v>702</v>
      </c>
      <c r="S208" s="185">
        <v>718</v>
      </c>
      <c r="T208" s="189">
        <f t="shared" si="3"/>
        <v>11.966666666666667</v>
      </c>
      <c r="U208" s="183" t="s">
        <v>703</v>
      </c>
      <c r="V208" s="183" t="s">
        <v>704</v>
      </c>
      <c r="W208" s="183" t="s">
        <v>1420</v>
      </c>
      <c r="X208" s="183"/>
      <c r="Y208" s="183"/>
      <c r="Z208" s="183" t="s">
        <v>733</v>
      </c>
      <c r="AA208" s="183" t="s">
        <v>734</v>
      </c>
      <c r="AB208" s="183"/>
      <c r="AC208" s="183"/>
      <c r="AD208" s="183" t="s">
        <v>1421</v>
      </c>
      <c r="AE208" s="183" t="s">
        <v>1088</v>
      </c>
    </row>
    <row r="209" spans="1:31" ht="27.6">
      <c r="A209" s="183" t="s">
        <v>694</v>
      </c>
      <c r="B209" s="183" t="s">
        <v>197</v>
      </c>
      <c r="C209" s="183" t="s">
        <v>197</v>
      </c>
      <c r="D209" s="184" t="s">
        <v>1150</v>
      </c>
      <c r="E209" s="183" t="s">
        <v>696</v>
      </c>
      <c r="F209" s="183" t="s">
        <v>697</v>
      </c>
      <c r="G209" s="183" t="s">
        <v>698</v>
      </c>
      <c r="H209" s="183" t="s">
        <v>4</v>
      </c>
      <c r="I209" s="183" t="s">
        <v>729</v>
      </c>
      <c r="J209" s="188">
        <v>46287</v>
      </c>
      <c r="K209" s="183" t="s">
        <v>1422</v>
      </c>
      <c r="L209" s="183" t="s">
        <v>226</v>
      </c>
      <c r="M209" s="183" t="s">
        <v>1423</v>
      </c>
      <c r="N209" s="185">
        <v>9</v>
      </c>
      <c r="O209" s="186">
        <v>8</v>
      </c>
      <c r="P209" s="185">
        <v>25</v>
      </c>
      <c r="Q209" s="185">
        <v>9</v>
      </c>
      <c r="R209" s="183" t="s">
        <v>702</v>
      </c>
      <c r="S209" s="185">
        <v>505</v>
      </c>
      <c r="T209" s="189">
        <f t="shared" si="3"/>
        <v>8.4166666666666661</v>
      </c>
      <c r="U209" s="183" t="s">
        <v>703</v>
      </c>
      <c r="V209" s="183" t="s">
        <v>704</v>
      </c>
      <c r="W209" s="183" t="s">
        <v>1424</v>
      </c>
      <c r="X209" s="183"/>
      <c r="Y209" s="183"/>
      <c r="Z209" s="183" t="s">
        <v>733</v>
      </c>
      <c r="AA209" s="183" t="s">
        <v>734</v>
      </c>
      <c r="AB209" s="183"/>
      <c r="AC209" s="183"/>
      <c r="AD209" s="183" t="s">
        <v>1425</v>
      </c>
      <c r="AE209" s="183" t="s">
        <v>1088</v>
      </c>
    </row>
    <row r="210" spans="1:31" ht="27.6">
      <c r="A210" s="183" t="s">
        <v>694</v>
      </c>
      <c r="B210" s="183" t="s">
        <v>197</v>
      </c>
      <c r="C210" s="183" t="s">
        <v>197</v>
      </c>
      <c r="D210" s="184" t="s">
        <v>1150</v>
      </c>
      <c r="E210" s="183" t="s">
        <v>696</v>
      </c>
      <c r="F210" s="183" t="s">
        <v>697</v>
      </c>
      <c r="G210" s="183" t="s">
        <v>698</v>
      </c>
      <c r="H210" s="183" t="s">
        <v>4</v>
      </c>
      <c r="I210" s="183" t="s">
        <v>729</v>
      </c>
      <c r="J210" s="188">
        <v>46287</v>
      </c>
      <c r="K210" s="183" t="s">
        <v>1426</v>
      </c>
      <c r="L210" s="183" t="s">
        <v>227</v>
      </c>
      <c r="M210" s="183" t="s">
        <v>1316</v>
      </c>
      <c r="N210" s="185">
        <v>9</v>
      </c>
      <c r="O210" s="186">
        <v>51</v>
      </c>
      <c r="P210" s="185">
        <v>24</v>
      </c>
      <c r="Q210" s="185">
        <v>52</v>
      </c>
      <c r="R210" s="183" t="s">
        <v>702</v>
      </c>
      <c r="S210" s="185">
        <v>3084</v>
      </c>
      <c r="T210" s="189">
        <f t="shared" si="3"/>
        <v>51.4</v>
      </c>
      <c r="U210" s="183" t="s">
        <v>703</v>
      </c>
      <c r="V210" s="183" t="s">
        <v>704</v>
      </c>
      <c r="W210" s="183" t="s">
        <v>1427</v>
      </c>
      <c r="X210" s="183"/>
      <c r="Y210" s="183"/>
      <c r="Z210" s="183" t="s">
        <v>733</v>
      </c>
      <c r="AA210" s="183" t="s">
        <v>734</v>
      </c>
      <c r="AB210" s="183"/>
      <c r="AC210" s="183"/>
      <c r="AD210" s="183" t="s">
        <v>1428</v>
      </c>
      <c r="AE210" s="183" t="s">
        <v>1057</v>
      </c>
    </row>
    <row r="211" spans="1:31" ht="27.6">
      <c r="A211" s="183" t="s">
        <v>694</v>
      </c>
      <c r="B211" s="183" t="s">
        <v>197</v>
      </c>
      <c r="C211" s="183" t="s">
        <v>197</v>
      </c>
      <c r="D211" s="184" t="s">
        <v>1150</v>
      </c>
      <c r="E211" s="183" t="s">
        <v>696</v>
      </c>
      <c r="F211" s="183" t="s">
        <v>697</v>
      </c>
      <c r="G211" s="183" t="s">
        <v>698</v>
      </c>
      <c r="H211" s="183" t="s">
        <v>4</v>
      </c>
      <c r="I211" s="183" t="s">
        <v>729</v>
      </c>
      <c r="J211" s="188">
        <v>46287</v>
      </c>
      <c r="K211" s="183" t="s">
        <v>1429</v>
      </c>
      <c r="L211" s="183" t="s">
        <v>47</v>
      </c>
      <c r="M211" s="183" t="s">
        <v>763</v>
      </c>
      <c r="N211" s="185">
        <v>9</v>
      </c>
      <c r="O211" s="186">
        <v>5</v>
      </c>
      <c r="P211" s="185">
        <v>8</v>
      </c>
      <c r="Q211" s="185">
        <v>6</v>
      </c>
      <c r="R211" s="183" t="s">
        <v>702</v>
      </c>
      <c r="S211" s="185">
        <v>308</v>
      </c>
      <c r="T211" s="189">
        <f t="shared" si="3"/>
        <v>5.1333333333333337</v>
      </c>
      <c r="U211" s="183" t="s">
        <v>703</v>
      </c>
      <c r="V211" s="183" t="s">
        <v>704</v>
      </c>
      <c r="W211" s="183" t="s">
        <v>1430</v>
      </c>
      <c r="X211" s="183"/>
      <c r="Y211" s="183"/>
      <c r="Z211" s="183" t="s">
        <v>733</v>
      </c>
      <c r="AA211" s="183" t="s">
        <v>734</v>
      </c>
      <c r="AB211" s="183" t="s">
        <v>765</v>
      </c>
      <c r="AC211" s="183"/>
      <c r="AD211" s="183" t="s">
        <v>1431</v>
      </c>
      <c r="AE211" s="183" t="s">
        <v>800</v>
      </c>
    </row>
    <row r="212" spans="1:31" ht="27.6">
      <c r="A212" s="183" t="s">
        <v>694</v>
      </c>
      <c r="B212" s="183" t="s">
        <v>197</v>
      </c>
      <c r="C212" s="183" t="s">
        <v>197</v>
      </c>
      <c r="D212" s="184" t="s">
        <v>1150</v>
      </c>
      <c r="E212" s="183" t="s">
        <v>696</v>
      </c>
      <c r="F212" s="183" t="s">
        <v>697</v>
      </c>
      <c r="G212" s="183" t="s">
        <v>698</v>
      </c>
      <c r="H212" s="183" t="s">
        <v>4</v>
      </c>
      <c r="I212" s="183" t="s">
        <v>729</v>
      </c>
      <c r="J212" s="188">
        <v>46287</v>
      </c>
      <c r="K212" s="183" t="s">
        <v>1432</v>
      </c>
      <c r="L212" s="183" t="s">
        <v>48</v>
      </c>
      <c r="M212" s="183" t="s">
        <v>768</v>
      </c>
      <c r="N212" s="185">
        <v>9</v>
      </c>
      <c r="O212" s="186">
        <v>13</v>
      </c>
      <c r="P212" s="185">
        <v>54</v>
      </c>
      <c r="Q212" s="185">
        <v>14</v>
      </c>
      <c r="R212" s="183" t="s">
        <v>702</v>
      </c>
      <c r="S212" s="185">
        <v>834</v>
      </c>
      <c r="T212" s="189">
        <f t="shared" si="3"/>
        <v>13.9</v>
      </c>
      <c r="U212" s="183" t="s">
        <v>703</v>
      </c>
      <c r="V212" s="183" t="s">
        <v>704</v>
      </c>
      <c r="W212" s="183" t="s">
        <v>1433</v>
      </c>
      <c r="X212" s="183"/>
      <c r="Y212" s="183"/>
      <c r="Z212" s="183" t="s">
        <v>733</v>
      </c>
      <c r="AA212" s="183" t="s">
        <v>734</v>
      </c>
      <c r="AB212" s="183"/>
      <c r="AC212" s="183"/>
      <c r="AD212" s="183" t="s">
        <v>1434</v>
      </c>
      <c r="AE212" s="183" t="s">
        <v>1088</v>
      </c>
    </row>
    <row r="213" spans="1:31" ht="27.6">
      <c r="A213" s="183" t="s">
        <v>694</v>
      </c>
      <c r="B213" s="183" t="s">
        <v>197</v>
      </c>
      <c r="C213" s="183" t="s">
        <v>197</v>
      </c>
      <c r="D213" s="184" t="s">
        <v>1150</v>
      </c>
      <c r="E213" s="183" t="s">
        <v>696</v>
      </c>
      <c r="F213" s="183" t="s">
        <v>697</v>
      </c>
      <c r="G213" s="183" t="s">
        <v>698</v>
      </c>
      <c r="H213" s="183" t="s">
        <v>4</v>
      </c>
      <c r="I213" s="183" t="s">
        <v>729</v>
      </c>
      <c r="J213" s="188">
        <v>46287</v>
      </c>
      <c r="K213" s="183" t="s">
        <v>1435</v>
      </c>
      <c r="L213" s="183" t="s">
        <v>121</v>
      </c>
      <c r="M213" s="183" t="s">
        <v>1078</v>
      </c>
      <c r="N213" s="185">
        <v>9</v>
      </c>
      <c r="O213" s="186">
        <v>20</v>
      </c>
      <c r="P213" s="185">
        <v>27</v>
      </c>
      <c r="Q213" s="185">
        <v>21</v>
      </c>
      <c r="R213" s="183" t="s">
        <v>702</v>
      </c>
      <c r="S213" s="185">
        <v>1227</v>
      </c>
      <c r="T213" s="189">
        <f t="shared" si="3"/>
        <v>20.45</v>
      </c>
      <c r="U213" s="183" t="s">
        <v>703</v>
      </c>
      <c r="V213" s="183" t="s">
        <v>704</v>
      </c>
      <c r="W213" s="183" t="s">
        <v>1436</v>
      </c>
      <c r="X213" s="183"/>
      <c r="Y213" s="183"/>
      <c r="Z213" s="183" t="s">
        <v>733</v>
      </c>
      <c r="AA213" s="183" t="s">
        <v>734</v>
      </c>
      <c r="AB213" s="183" t="s">
        <v>1080</v>
      </c>
      <c r="AC213" s="183"/>
      <c r="AD213" s="183" t="s">
        <v>1437</v>
      </c>
      <c r="AE213" s="183" t="s">
        <v>800</v>
      </c>
    </row>
    <row r="214" spans="1:31" ht="27.6">
      <c r="A214" s="183" t="s">
        <v>694</v>
      </c>
      <c r="B214" s="183" t="s">
        <v>197</v>
      </c>
      <c r="C214" s="183" t="s">
        <v>197</v>
      </c>
      <c r="D214" s="184" t="s">
        <v>1150</v>
      </c>
      <c r="E214" s="183" t="s">
        <v>696</v>
      </c>
      <c r="F214" s="183" t="s">
        <v>697</v>
      </c>
      <c r="G214" s="183" t="s">
        <v>698</v>
      </c>
      <c r="H214" s="183" t="s">
        <v>8</v>
      </c>
      <c r="I214" s="183" t="s">
        <v>729</v>
      </c>
      <c r="J214" s="188">
        <v>46287</v>
      </c>
      <c r="K214" s="183" t="s">
        <v>1438</v>
      </c>
      <c r="L214" s="183" t="s">
        <v>228</v>
      </c>
      <c r="M214" s="183" t="s">
        <v>763</v>
      </c>
      <c r="N214" s="185">
        <v>9</v>
      </c>
      <c r="O214" s="186">
        <v>9</v>
      </c>
      <c r="P214" s="185">
        <v>53</v>
      </c>
      <c r="Q214" s="185">
        <v>10</v>
      </c>
      <c r="R214" s="183" t="s">
        <v>702</v>
      </c>
      <c r="S214" s="185">
        <v>593</v>
      </c>
      <c r="T214" s="189">
        <f t="shared" si="3"/>
        <v>9.8833333333333329</v>
      </c>
      <c r="U214" s="183" t="s">
        <v>703</v>
      </c>
      <c r="V214" s="183" t="s">
        <v>704</v>
      </c>
      <c r="W214" s="183" t="s">
        <v>1439</v>
      </c>
      <c r="X214" s="183"/>
      <c r="Y214" s="183"/>
      <c r="Z214" s="183" t="s">
        <v>733</v>
      </c>
      <c r="AA214" s="183" t="s">
        <v>734</v>
      </c>
      <c r="AB214" s="183"/>
      <c r="AC214" s="183"/>
      <c r="AD214" s="183" t="s">
        <v>1440</v>
      </c>
      <c r="AE214" s="183" t="s">
        <v>806</v>
      </c>
    </row>
    <row r="215" spans="1:31" ht="27.6">
      <c r="A215" s="183" t="s">
        <v>694</v>
      </c>
      <c r="B215" s="183" t="s">
        <v>197</v>
      </c>
      <c r="C215" s="183" t="s">
        <v>197</v>
      </c>
      <c r="D215" s="184" t="s">
        <v>1150</v>
      </c>
      <c r="E215" s="183" t="s">
        <v>696</v>
      </c>
      <c r="F215" s="183" t="s">
        <v>697</v>
      </c>
      <c r="G215" s="183" t="s">
        <v>698</v>
      </c>
      <c r="H215" s="183" t="s">
        <v>8</v>
      </c>
      <c r="I215" s="183" t="s">
        <v>729</v>
      </c>
      <c r="J215" s="188">
        <v>46287</v>
      </c>
      <c r="K215" s="183" t="s">
        <v>1441</v>
      </c>
      <c r="L215" s="183" t="s">
        <v>229</v>
      </c>
      <c r="M215" s="183" t="s">
        <v>1442</v>
      </c>
      <c r="N215" s="185">
        <v>9</v>
      </c>
      <c r="O215" s="186">
        <v>22</v>
      </c>
      <c r="P215" s="185">
        <v>26</v>
      </c>
      <c r="Q215" s="185">
        <v>23</v>
      </c>
      <c r="R215" s="183" t="s">
        <v>702</v>
      </c>
      <c r="S215" s="185">
        <v>1346</v>
      </c>
      <c r="T215" s="189">
        <f t="shared" si="3"/>
        <v>22.433333333333334</v>
      </c>
      <c r="U215" s="183" t="s">
        <v>703</v>
      </c>
      <c r="V215" s="183" t="s">
        <v>704</v>
      </c>
      <c r="W215" s="183" t="s">
        <v>1443</v>
      </c>
      <c r="X215" s="183"/>
      <c r="Y215" s="183"/>
      <c r="Z215" s="183" t="s">
        <v>733</v>
      </c>
      <c r="AA215" s="183" t="s">
        <v>734</v>
      </c>
      <c r="AB215" s="183"/>
      <c r="AC215" s="183"/>
      <c r="AD215" s="183" t="s">
        <v>1444</v>
      </c>
      <c r="AE215" s="183" t="s">
        <v>1088</v>
      </c>
    </row>
    <row r="216" spans="1:31" ht="27.6">
      <c r="A216" s="183" t="s">
        <v>694</v>
      </c>
      <c r="B216" s="183" t="s">
        <v>197</v>
      </c>
      <c r="C216" s="183" t="s">
        <v>197</v>
      </c>
      <c r="D216" s="184" t="s">
        <v>1150</v>
      </c>
      <c r="E216" s="183" t="s">
        <v>696</v>
      </c>
      <c r="F216" s="183" t="s">
        <v>697</v>
      </c>
      <c r="G216" s="183" t="s">
        <v>698</v>
      </c>
      <c r="H216" s="183" t="s">
        <v>7</v>
      </c>
      <c r="I216" s="183" t="s">
        <v>729</v>
      </c>
      <c r="J216" s="188">
        <v>46287</v>
      </c>
      <c r="K216" s="183" t="s">
        <v>1445</v>
      </c>
      <c r="L216" s="183" t="s">
        <v>124</v>
      </c>
      <c r="M216" s="183" t="s">
        <v>763</v>
      </c>
      <c r="N216" s="185">
        <v>9</v>
      </c>
      <c r="O216" s="186">
        <v>14</v>
      </c>
      <c r="P216" s="185">
        <v>37</v>
      </c>
      <c r="Q216" s="185">
        <v>15</v>
      </c>
      <c r="R216" s="183" t="s">
        <v>702</v>
      </c>
      <c r="S216" s="185">
        <v>877</v>
      </c>
      <c r="T216" s="189">
        <f t="shared" si="3"/>
        <v>14.616666666666667</v>
      </c>
      <c r="U216" s="183" t="s">
        <v>703</v>
      </c>
      <c r="V216" s="183" t="s">
        <v>704</v>
      </c>
      <c r="W216" s="183" t="s">
        <v>1446</v>
      </c>
      <c r="X216" s="183"/>
      <c r="Y216" s="183"/>
      <c r="Z216" s="183" t="s">
        <v>733</v>
      </c>
      <c r="AA216" s="183" t="s">
        <v>734</v>
      </c>
      <c r="AB216" s="183"/>
      <c r="AC216" s="183"/>
      <c r="AD216" s="183" t="s">
        <v>1447</v>
      </c>
      <c r="AE216" s="183" t="s">
        <v>800</v>
      </c>
    </row>
    <row r="217" spans="1:31" ht="27.6">
      <c r="A217" s="183" t="s">
        <v>694</v>
      </c>
      <c r="B217" s="183" t="s">
        <v>197</v>
      </c>
      <c r="C217" s="183" t="s">
        <v>197</v>
      </c>
      <c r="D217" s="184" t="s">
        <v>1150</v>
      </c>
      <c r="E217" s="183" t="s">
        <v>696</v>
      </c>
      <c r="F217" s="183" t="s">
        <v>697</v>
      </c>
      <c r="G217" s="183" t="s">
        <v>698</v>
      </c>
      <c r="H217" s="183" t="s">
        <v>7</v>
      </c>
      <c r="I217" s="183" t="s">
        <v>729</v>
      </c>
      <c r="J217" s="188">
        <v>46287</v>
      </c>
      <c r="K217" s="183" t="s">
        <v>1448</v>
      </c>
      <c r="L217" s="183" t="s">
        <v>230</v>
      </c>
      <c r="M217" s="183" t="s">
        <v>1449</v>
      </c>
      <c r="N217" s="185">
        <v>9</v>
      </c>
      <c r="O217" s="186">
        <v>5</v>
      </c>
      <c r="P217" s="185">
        <v>46</v>
      </c>
      <c r="Q217" s="185">
        <v>6</v>
      </c>
      <c r="R217" s="183" t="s">
        <v>702</v>
      </c>
      <c r="S217" s="185">
        <v>346</v>
      </c>
      <c r="T217" s="189">
        <f t="shared" si="3"/>
        <v>5.7666666666666666</v>
      </c>
      <c r="U217" s="183" t="s">
        <v>703</v>
      </c>
      <c r="V217" s="183" t="s">
        <v>704</v>
      </c>
      <c r="W217" s="183" t="s">
        <v>1450</v>
      </c>
      <c r="X217" s="183"/>
      <c r="Y217" s="183"/>
      <c r="Z217" s="183" t="s">
        <v>733</v>
      </c>
      <c r="AA217" s="183" t="s">
        <v>734</v>
      </c>
      <c r="AB217" s="183"/>
      <c r="AC217" s="183"/>
      <c r="AD217" s="183" t="s">
        <v>1451</v>
      </c>
      <c r="AE217" s="183" t="s">
        <v>806</v>
      </c>
    </row>
    <row r="218" spans="1:31" ht="27.6">
      <c r="A218" s="183" t="s">
        <v>694</v>
      </c>
      <c r="B218" s="183" t="s">
        <v>197</v>
      </c>
      <c r="C218" s="183" t="s">
        <v>197</v>
      </c>
      <c r="D218" s="184" t="s">
        <v>1150</v>
      </c>
      <c r="E218" s="183" t="s">
        <v>696</v>
      </c>
      <c r="F218" s="183" t="s">
        <v>697</v>
      </c>
      <c r="G218" s="183" t="s">
        <v>698</v>
      </c>
      <c r="H218" s="183" t="s">
        <v>6</v>
      </c>
      <c r="I218" s="183" t="s">
        <v>729</v>
      </c>
      <c r="J218" s="188">
        <v>46287</v>
      </c>
      <c r="K218" s="183" t="s">
        <v>1452</v>
      </c>
      <c r="L218" s="183" t="s">
        <v>231</v>
      </c>
      <c r="M218" s="183" t="s">
        <v>1453</v>
      </c>
      <c r="N218" s="185">
        <v>9</v>
      </c>
      <c r="O218" s="186">
        <v>8</v>
      </c>
      <c r="P218" s="185">
        <v>17</v>
      </c>
      <c r="Q218" s="185">
        <v>9</v>
      </c>
      <c r="R218" s="183" t="s">
        <v>702</v>
      </c>
      <c r="S218" s="185">
        <v>497</v>
      </c>
      <c r="T218" s="189">
        <f t="shared" si="3"/>
        <v>8.2833333333333332</v>
      </c>
      <c r="U218" s="183" t="s">
        <v>703</v>
      </c>
      <c r="V218" s="183" t="s">
        <v>704</v>
      </c>
      <c r="W218" s="183" t="s">
        <v>1454</v>
      </c>
      <c r="X218" s="183"/>
      <c r="Y218" s="183"/>
      <c r="Z218" s="183" t="s">
        <v>733</v>
      </c>
      <c r="AA218" s="183" t="s">
        <v>734</v>
      </c>
      <c r="AB218" s="183"/>
      <c r="AC218" s="183"/>
      <c r="AD218" s="183" t="s">
        <v>1455</v>
      </c>
      <c r="AE218" s="183" t="s">
        <v>800</v>
      </c>
    </row>
    <row r="219" spans="1:31" ht="27.6">
      <c r="A219" s="183" t="s">
        <v>694</v>
      </c>
      <c r="B219" s="183" t="s">
        <v>197</v>
      </c>
      <c r="C219" s="183" t="s">
        <v>197</v>
      </c>
      <c r="D219" s="184" t="s">
        <v>1150</v>
      </c>
      <c r="E219" s="183" t="s">
        <v>696</v>
      </c>
      <c r="F219" s="183" t="s">
        <v>697</v>
      </c>
      <c r="G219" s="183" t="s">
        <v>698</v>
      </c>
      <c r="H219" s="183" t="s">
        <v>6</v>
      </c>
      <c r="I219" s="183" t="s">
        <v>729</v>
      </c>
      <c r="J219" s="188">
        <v>46287</v>
      </c>
      <c r="K219" s="183" t="s">
        <v>1456</v>
      </c>
      <c r="L219" s="183" t="s">
        <v>232</v>
      </c>
      <c r="M219" s="183" t="s">
        <v>797</v>
      </c>
      <c r="N219" s="185">
        <v>9</v>
      </c>
      <c r="O219" s="186">
        <v>41</v>
      </c>
      <c r="P219" s="185">
        <v>16</v>
      </c>
      <c r="Q219" s="185">
        <v>42</v>
      </c>
      <c r="R219" s="183" t="s">
        <v>702</v>
      </c>
      <c r="S219" s="185">
        <v>2476</v>
      </c>
      <c r="T219" s="189">
        <f t="shared" si="3"/>
        <v>41.266666666666666</v>
      </c>
      <c r="U219" s="183" t="s">
        <v>703</v>
      </c>
      <c r="V219" s="183" t="s">
        <v>704</v>
      </c>
      <c r="W219" s="183" t="s">
        <v>1457</v>
      </c>
      <c r="X219" s="183"/>
      <c r="Y219" s="183"/>
      <c r="Z219" s="183" t="s">
        <v>733</v>
      </c>
      <c r="AA219" s="183" t="s">
        <v>734</v>
      </c>
      <c r="AB219" s="183"/>
      <c r="AC219" s="183"/>
      <c r="AD219" s="183" t="s">
        <v>1458</v>
      </c>
      <c r="AE219" s="183" t="s">
        <v>800</v>
      </c>
    </row>
    <row r="220" spans="1:31" ht="27.6">
      <c r="A220" s="183" t="s">
        <v>694</v>
      </c>
      <c r="B220" s="183" t="s">
        <v>197</v>
      </c>
      <c r="C220" s="183" t="s">
        <v>197</v>
      </c>
      <c r="D220" s="184" t="s">
        <v>1150</v>
      </c>
      <c r="E220" s="183" t="s">
        <v>696</v>
      </c>
      <c r="F220" s="183" t="s">
        <v>697</v>
      </c>
      <c r="G220" s="183" t="s">
        <v>698</v>
      </c>
      <c r="H220" s="183" t="s">
        <v>6</v>
      </c>
      <c r="I220" s="183" t="s">
        <v>729</v>
      </c>
      <c r="J220" s="188">
        <v>46287</v>
      </c>
      <c r="K220" s="183" t="s">
        <v>1459</v>
      </c>
      <c r="L220" s="183" t="s">
        <v>105</v>
      </c>
      <c r="M220" s="183" t="s">
        <v>1013</v>
      </c>
      <c r="N220" s="185">
        <v>9</v>
      </c>
      <c r="O220" s="186">
        <v>2</v>
      </c>
      <c r="P220" s="185">
        <v>20</v>
      </c>
      <c r="Q220" s="185">
        <v>3</v>
      </c>
      <c r="R220" s="183" t="s">
        <v>702</v>
      </c>
      <c r="S220" s="185">
        <v>140</v>
      </c>
      <c r="T220" s="189">
        <f t="shared" si="3"/>
        <v>2.3333333333333335</v>
      </c>
      <c r="U220" s="183" t="s">
        <v>703</v>
      </c>
      <c r="V220" s="183" t="s">
        <v>704</v>
      </c>
      <c r="W220" s="183" t="s">
        <v>1460</v>
      </c>
      <c r="X220" s="183"/>
      <c r="Y220" s="183"/>
      <c r="Z220" s="183" t="s">
        <v>733</v>
      </c>
      <c r="AA220" s="183" t="s">
        <v>734</v>
      </c>
      <c r="AB220" s="183"/>
      <c r="AC220" s="183"/>
      <c r="AD220" s="183" t="s">
        <v>1461</v>
      </c>
      <c r="AE220" s="183" t="s">
        <v>806</v>
      </c>
    </row>
    <row r="221" spans="1:31" ht="27.6">
      <c r="A221" s="183" t="s">
        <v>694</v>
      </c>
      <c r="B221" s="183" t="s">
        <v>197</v>
      </c>
      <c r="C221" s="183" t="s">
        <v>197</v>
      </c>
      <c r="D221" s="184" t="s">
        <v>1150</v>
      </c>
      <c r="E221" s="183" t="s">
        <v>696</v>
      </c>
      <c r="F221" s="183" t="s">
        <v>697</v>
      </c>
      <c r="G221" s="183" t="s">
        <v>698</v>
      </c>
      <c r="H221" s="183" t="s">
        <v>6</v>
      </c>
      <c r="I221" s="183" t="s">
        <v>729</v>
      </c>
      <c r="J221" s="188">
        <v>46287</v>
      </c>
      <c r="K221" s="183" t="s">
        <v>1462</v>
      </c>
      <c r="L221" s="183" t="s">
        <v>107</v>
      </c>
      <c r="M221" s="183" t="s">
        <v>1021</v>
      </c>
      <c r="N221" s="185">
        <v>9</v>
      </c>
      <c r="O221" s="186">
        <v>2</v>
      </c>
      <c r="P221" s="185">
        <v>19</v>
      </c>
      <c r="Q221" s="185">
        <v>3</v>
      </c>
      <c r="R221" s="183" t="s">
        <v>702</v>
      </c>
      <c r="S221" s="185">
        <v>139</v>
      </c>
      <c r="T221" s="189">
        <f t="shared" si="3"/>
        <v>2.3166666666666669</v>
      </c>
      <c r="U221" s="183" t="s">
        <v>703</v>
      </c>
      <c r="V221" s="183" t="s">
        <v>704</v>
      </c>
      <c r="W221" s="183" t="s">
        <v>1463</v>
      </c>
      <c r="X221" s="183"/>
      <c r="Y221" s="183"/>
      <c r="Z221" s="183" t="s">
        <v>733</v>
      </c>
      <c r="AA221" s="183" t="s">
        <v>734</v>
      </c>
      <c r="AB221" s="183"/>
      <c r="AC221" s="183"/>
      <c r="AD221" s="183" t="s">
        <v>1464</v>
      </c>
      <c r="AE221" s="183" t="s">
        <v>1057</v>
      </c>
    </row>
    <row r="222" spans="1:31" ht="27.6">
      <c r="A222" s="183" t="s">
        <v>694</v>
      </c>
      <c r="B222" s="183" t="s">
        <v>197</v>
      </c>
      <c r="C222" s="183" t="s">
        <v>197</v>
      </c>
      <c r="D222" s="184" t="s">
        <v>1150</v>
      </c>
      <c r="E222" s="183" t="s">
        <v>696</v>
      </c>
      <c r="F222" s="183" t="s">
        <v>697</v>
      </c>
      <c r="G222" s="183" t="s">
        <v>698</v>
      </c>
      <c r="H222" s="183" t="s">
        <v>6</v>
      </c>
      <c r="I222" s="183" t="s">
        <v>729</v>
      </c>
      <c r="J222" s="188">
        <v>46287</v>
      </c>
      <c r="K222" s="183" t="s">
        <v>1465</v>
      </c>
      <c r="L222" s="183" t="s">
        <v>233</v>
      </c>
      <c r="M222" s="183" t="s">
        <v>1466</v>
      </c>
      <c r="N222" s="185">
        <v>9</v>
      </c>
      <c r="O222" s="186">
        <v>22</v>
      </c>
      <c r="P222" s="185">
        <v>13</v>
      </c>
      <c r="Q222" s="185">
        <v>23</v>
      </c>
      <c r="R222" s="183" t="s">
        <v>702</v>
      </c>
      <c r="S222" s="185">
        <v>1333</v>
      </c>
      <c r="T222" s="189">
        <f t="shared" si="3"/>
        <v>22.216666666666665</v>
      </c>
      <c r="U222" s="183" t="s">
        <v>703</v>
      </c>
      <c r="V222" s="183" t="s">
        <v>704</v>
      </c>
      <c r="W222" s="183" t="s">
        <v>1467</v>
      </c>
      <c r="X222" s="183"/>
      <c r="Y222" s="183"/>
      <c r="Z222" s="183" t="s">
        <v>733</v>
      </c>
      <c r="AA222" s="183" t="s">
        <v>734</v>
      </c>
      <c r="AB222" s="183"/>
      <c r="AC222" s="183"/>
      <c r="AD222" s="183" t="s">
        <v>1468</v>
      </c>
      <c r="AE222" s="183" t="s">
        <v>1088</v>
      </c>
    </row>
    <row r="223" spans="1:31" ht="27.6">
      <c r="A223" s="183" t="s">
        <v>694</v>
      </c>
      <c r="B223" s="183" t="s">
        <v>197</v>
      </c>
      <c r="C223" s="183" t="s">
        <v>197</v>
      </c>
      <c r="D223" s="184" t="s">
        <v>1150</v>
      </c>
      <c r="E223" s="183" t="s">
        <v>696</v>
      </c>
      <c r="F223" s="183" t="s">
        <v>697</v>
      </c>
      <c r="G223" s="183" t="s">
        <v>698</v>
      </c>
      <c r="H223" s="183" t="s">
        <v>6</v>
      </c>
      <c r="I223" s="183" t="s">
        <v>729</v>
      </c>
      <c r="J223" s="188">
        <v>46287</v>
      </c>
      <c r="K223" s="183" t="s">
        <v>1469</v>
      </c>
      <c r="L223" s="183" t="s">
        <v>106</v>
      </c>
      <c r="M223" s="183" t="s">
        <v>1017</v>
      </c>
      <c r="N223" s="185">
        <v>9</v>
      </c>
      <c r="O223" s="186">
        <v>21</v>
      </c>
      <c r="P223" s="185">
        <v>48</v>
      </c>
      <c r="Q223" s="185">
        <v>22</v>
      </c>
      <c r="R223" s="183" t="s">
        <v>702</v>
      </c>
      <c r="S223" s="185">
        <v>1308</v>
      </c>
      <c r="T223" s="189">
        <f t="shared" si="3"/>
        <v>21.8</v>
      </c>
      <c r="U223" s="183" t="s">
        <v>703</v>
      </c>
      <c r="V223" s="183" t="s">
        <v>704</v>
      </c>
      <c r="W223" s="183" t="s">
        <v>1470</v>
      </c>
      <c r="X223" s="183"/>
      <c r="Y223" s="183"/>
      <c r="Z223" s="183" t="s">
        <v>733</v>
      </c>
      <c r="AA223" s="183" t="s">
        <v>734</v>
      </c>
      <c r="AB223" s="183"/>
      <c r="AC223" s="183"/>
      <c r="AD223" s="183" t="s">
        <v>1471</v>
      </c>
      <c r="AE223" s="183" t="s">
        <v>800</v>
      </c>
    </row>
    <row r="224" spans="1:31" ht="27.6">
      <c r="A224" s="183" t="s">
        <v>694</v>
      </c>
      <c r="B224" s="183" t="s">
        <v>197</v>
      </c>
      <c r="C224" s="183" t="s">
        <v>197</v>
      </c>
      <c r="D224" s="184" t="s">
        <v>1150</v>
      </c>
      <c r="E224" s="183" t="s">
        <v>696</v>
      </c>
      <c r="F224" s="183" t="s">
        <v>697</v>
      </c>
      <c r="G224" s="183" t="s">
        <v>698</v>
      </c>
      <c r="H224" s="183" t="s">
        <v>5</v>
      </c>
      <c r="I224" s="183" t="s">
        <v>729</v>
      </c>
      <c r="J224" s="188">
        <v>46287</v>
      </c>
      <c r="K224" s="183" t="s">
        <v>1472</v>
      </c>
      <c r="L224" s="183" t="s">
        <v>234</v>
      </c>
      <c r="M224" s="183" t="s">
        <v>797</v>
      </c>
      <c r="N224" s="185">
        <v>9</v>
      </c>
      <c r="O224" s="186">
        <v>14</v>
      </c>
      <c r="P224" s="185">
        <v>29</v>
      </c>
      <c r="Q224" s="185">
        <v>15</v>
      </c>
      <c r="R224" s="183" t="s">
        <v>702</v>
      </c>
      <c r="S224" s="185">
        <v>869</v>
      </c>
      <c r="T224" s="189">
        <f t="shared" si="3"/>
        <v>14.483333333333333</v>
      </c>
      <c r="U224" s="183" t="s">
        <v>703</v>
      </c>
      <c r="V224" s="183" t="s">
        <v>704</v>
      </c>
      <c r="W224" s="183" t="s">
        <v>1473</v>
      </c>
      <c r="X224" s="183"/>
      <c r="Y224" s="183"/>
      <c r="Z224" s="183" t="s">
        <v>733</v>
      </c>
      <c r="AA224" s="183" t="s">
        <v>734</v>
      </c>
      <c r="AB224" s="183"/>
      <c r="AC224" s="183"/>
      <c r="AD224" s="183" t="s">
        <v>1474</v>
      </c>
      <c r="AE224" s="183" t="s">
        <v>800</v>
      </c>
    </row>
    <row r="225" spans="1:31" ht="27.6">
      <c r="A225" s="183" t="s">
        <v>694</v>
      </c>
      <c r="B225" s="183" t="s">
        <v>197</v>
      </c>
      <c r="C225" s="183" t="s">
        <v>197</v>
      </c>
      <c r="D225" s="184" t="s">
        <v>1150</v>
      </c>
      <c r="E225" s="183" t="s">
        <v>696</v>
      </c>
      <c r="F225" s="183" t="s">
        <v>697</v>
      </c>
      <c r="G225" s="183" t="s">
        <v>698</v>
      </c>
      <c r="H225" s="183" t="s">
        <v>5</v>
      </c>
      <c r="I225" s="183" t="s">
        <v>729</v>
      </c>
      <c r="J225" s="188">
        <v>46287</v>
      </c>
      <c r="K225" s="183" t="s">
        <v>1475</v>
      </c>
      <c r="L225" s="183" t="s">
        <v>235</v>
      </c>
      <c r="M225" s="183" t="s">
        <v>1476</v>
      </c>
      <c r="N225" s="185">
        <v>9</v>
      </c>
      <c r="O225" s="186">
        <v>3</v>
      </c>
      <c r="P225" s="185">
        <v>0</v>
      </c>
      <c r="Q225" s="185">
        <v>3</v>
      </c>
      <c r="R225" s="183" t="s">
        <v>702</v>
      </c>
      <c r="S225" s="185">
        <v>180</v>
      </c>
      <c r="T225" s="189">
        <f t="shared" si="3"/>
        <v>3</v>
      </c>
      <c r="U225" s="183" t="s">
        <v>703</v>
      </c>
      <c r="V225" s="183" t="s">
        <v>704</v>
      </c>
      <c r="W225" s="183" t="s">
        <v>1477</v>
      </c>
      <c r="X225" s="183"/>
      <c r="Y225" s="183"/>
      <c r="Z225" s="183" t="s">
        <v>733</v>
      </c>
      <c r="AA225" s="183" t="s">
        <v>734</v>
      </c>
      <c r="AB225" s="183" t="s">
        <v>821</v>
      </c>
      <c r="AC225" s="183"/>
      <c r="AD225" s="183" t="s">
        <v>1478</v>
      </c>
      <c r="AE225" s="183" t="s">
        <v>1088</v>
      </c>
    </row>
    <row r="226" spans="1:31" ht="27.6">
      <c r="A226" s="183" t="s">
        <v>694</v>
      </c>
      <c r="B226" s="183" t="s">
        <v>197</v>
      </c>
      <c r="C226" s="183" t="s">
        <v>197</v>
      </c>
      <c r="D226" s="184" t="s">
        <v>1150</v>
      </c>
      <c r="E226" s="183" t="s">
        <v>696</v>
      </c>
      <c r="F226" s="183" t="s">
        <v>697</v>
      </c>
      <c r="G226" s="183" t="s">
        <v>698</v>
      </c>
      <c r="H226" s="183" t="s">
        <v>5</v>
      </c>
      <c r="I226" s="183" t="s">
        <v>729</v>
      </c>
      <c r="J226" s="188">
        <v>46287</v>
      </c>
      <c r="K226" s="183" t="s">
        <v>1479</v>
      </c>
      <c r="L226" s="183" t="s">
        <v>236</v>
      </c>
      <c r="M226" s="183" t="s">
        <v>1480</v>
      </c>
      <c r="N226" s="185">
        <v>9</v>
      </c>
      <c r="O226" s="186">
        <v>38</v>
      </c>
      <c r="P226" s="185">
        <v>56</v>
      </c>
      <c r="Q226" s="185">
        <v>39</v>
      </c>
      <c r="R226" s="183" t="s">
        <v>702</v>
      </c>
      <c r="S226" s="185">
        <v>2336</v>
      </c>
      <c r="T226" s="189">
        <f t="shared" si="3"/>
        <v>38.93333333333333</v>
      </c>
      <c r="U226" s="183" t="s">
        <v>703</v>
      </c>
      <c r="V226" s="183" t="s">
        <v>704</v>
      </c>
      <c r="W226" s="183" t="s">
        <v>1481</v>
      </c>
      <c r="X226" s="183"/>
      <c r="Y226" s="183"/>
      <c r="Z226" s="183" t="s">
        <v>733</v>
      </c>
      <c r="AA226" s="183" t="s">
        <v>734</v>
      </c>
      <c r="AB226" s="183"/>
      <c r="AC226" s="183"/>
      <c r="AD226" s="183" t="s">
        <v>1482</v>
      </c>
      <c r="AE226" s="183" t="s">
        <v>1088</v>
      </c>
    </row>
    <row r="227" spans="1:31" ht="27.6">
      <c r="A227" s="183" t="s">
        <v>694</v>
      </c>
      <c r="B227" s="183" t="s">
        <v>197</v>
      </c>
      <c r="C227" s="183" t="s">
        <v>197</v>
      </c>
      <c r="D227" s="184" t="s">
        <v>1150</v>
      </c>
      <c r="E227" s="183" t="s">
        <v>696</v>
      </c>
      <c r="F227" s="183" t="s">
        <v>697</v>
      </c>
      <c r="G227" s="183" t="s">
        <v>698</v>
      </c>
      <c r="H227" s="183" t="s">
        <v>5</v>
      </c>
      <c r="I227" s="183" t="s">
        <v>729</v>
      </c>
      <c r="J227" s="188">
        <v>46287</v>
      </c>
      <c r="K227" s="183" t="s">
        <v>1483</v>
      </c>
      <c r="L227" s="183" t="s">
        <v>237</v>
      </c>
      <c r="M227" s="183" t="s">
        <v>1484</v>
      </c>
      <c r="N227" s="185">
        <v>9</v>
      </c>
      <c r="O227" s="186">
        <v>12</v>
      </c>
      <c r="P227" s="185">
        <v>40</v>
      </c>
      <c r="Q227" s="185">
        <v>13</v>
      </c>
      <c r="R227" s="183" t="s">
        <v>702</v>
      </c>
      <c r="S227" s="185">
        <v>760</v>
      </c>
      <c r="T227" s="189">
        <f t="shared" si="3"/>
        <v>12.666666666666666</v>
      </c>
      <c r="U227" s="183" t="s">
        <v>703</v>
      </c>
      <c r="V227" s="183" t="s">
        <v>704</v>
      </c>
      <c r="W227" s="183" t="s">
        <v>1485</v>
      </c>
      <c r="X227" s="183"/>
      <c r="Y227" s="183"/>
      <c r="Z227" s="183" t="s">
        <v>733</v>
      </c>
      <c r="AA227" s="183" t="s">
        <v>734</v>
      </c>
      <c r="AB227" s="183"/>
      <c r="AC227" s="183"/>
      <c r="AD227" s="183" t="s">
        <v>1486</v>
      </c>
      <c r="AE227" s="183" t="s">
        <v>800</v>
      </c>
    </row>
    <row r="228" spans="1:31" ht="27.6" hidden="1">
      <c r="A228" s="183" t="s">
        <v>694</v>
      </c>
      <c r="B228" s="183" t="s">
        <v>197</v>
      </c>
      <c r="C228" s="183" t="s">
        <v>197</v>
      </c>
      <c r="D228" s="184" t="s">
        <v>1245</v>
      </c>
      <c r="E228" s="183" t="s">
        <v>696</v>
      </c>
      <c r="F228" s="183" t="s">
        <v>697</v>
      </c>
      <c r="G228" s="183" t="s">
        <v>698</v>
      </c>
      <c r="H228" s="183" t="s">
        <v>1</v>
      </c>
      <c r="I228" s="183" t="s">
        <v>1084</v>
      </c>
      <c r="J228" s="188">
        <v>46294</v>
      </c>
      <c r="K228" s="183" t="s">
        <v>1487</v>
      </c>
      <c r="L228" s="183" t="s">
        <v>238</v>
      </c>
      <c r="M228" s="183" t="s">
        <v>1488</v>
      </c>
      <c r="N228" s="185">
        <v>2</v>
      </c>
      <c r="O228" s="186">
        <v>2</v>
      </c>
      <c r="P228" s="185">
        <v>0.3</v>
      </c>
      <c r="Q228" s="185">
        <v>3</v>
      </c>
      <c r="R228" s="183" t="s">
        <v>702</v>
      </c>
      <c r="S228" s="185">
        <v>120.3</v>
      </c>
      <c r="T228" s="189">
        <f t="shared" si="3"/>
        <v>2.0049999999999999</v>
      </c>
      <c r="U228" s="183" t="s">
        <v>703</v>
      </c>
      <c r="V228" s="183" t="s">
        <v>526</v>
      </c>
      <c r="W228" s="183"/>
      <c r="X228" s="183"/>
      <c r="Y228" s="183"/>
      <c r="Z228" s="183" t="s">
        <v>733</v>
      </c>
      <c r="AA228" s="183" t="s">
        <v>734</v>
      </c>
      <c r="AB228" s="183"/>
      <c r="AC228" s="183"/>
      <c r="AD228" s="183" t="s">
        <v>1489</v>
      </c>
      <c r="AE228" s="183" t="s">
        <v>1490</v>
      </c>
    </row>
    <row r="229" spans="1:31" ht="27.6" hidden="1">
      <c r="A229" s="183" t="s">
        <v>694</v>
      </c>
      <c r="B229" s="183" t="s">
        <v>240</v>
      </c>
      <c r="C229" s="183" t="s">
        <v>240</v>
      </c>
      <c r="D229" s="184" t="s">
        <v>1491</v>
      </c>
      <c r="E229" s="183" t="s">
        <v>696</v>
      </c>
      <c r="F229" s="183" t="s">
        <v>697</v>
      </c>
      <c r="G229" s="183" t="s">
        <v>698</v>
      </c>
      <c r="H229" s="183" t="s">
        <v>1</v>
      </c>
      <c r="I229" s="183" t="s">
        <v>1492</v>
      </c>
      <c r="J229" s="188">
        <v>46203</v>
      </c>
      <c r="K229" s="183" t="s">
        <v>1493</v>
      </c>
      <c r="L229" s="183" t="s">
        <v>239</v>
      </c>
      <c r="M229" s="183"/>
      <c r="N229" s="185">
        <v>93</v>
      </c>
      <c r="O229" s="186">
        <v>0</v>
      </c>
      <c r="P229" s="185">
        <v>15</v>
      </c>
      <c r="Q229" s="185">
        <v>1</v>
      </c>
      <c r="R229" s="183" t="s">
        <v>702</v>
      </c>
      <c r="S229" s="185">
        <v>15</v>
      </c>
      <c r="T229" s="189">
        <f t="shared" si="3"/>
        <v>0.25</v>
      </c>
      <c r="U229" s="183" t="s">
        <v>703</v>
      </c>
      <c r="V229" s="183" t="s">
        <v>526</v>
      </c>
      <c r="W229" s="183"/>
      <c r="X229" s="183"/>
      <c r="Y229" s="183"/>
      <c r="Z229" s="183"/>
      <c r="AA229" s="183"/>
      <c r="AB229" s="183"/>
      <c r="AC229" s="183"/>
      <c r="AD229" s="183"/>
      <c r="AE229" s="183"/>
    </row>
    <row r="230" spans="1:31" ht="27.6" hidden="1">
      <c r="A230" s="183" t="s">
        <v>694</v>
      </c>
      <c r="B230" s="183" t="s">
        <v>240</v>
      </c>
      <c r="C230" s="183" t="s">
        <v>240</v>
      </c>
      <c r="D230" s="184" t="s">
        <v>1491</v>
      </c>
      <c r="E230" s="183" t="s">
        <v>696</v>
      </c>
      <c r="F230" s="183" t="s">
        <v>697</v>
      </c>
      <c r="G230" s="183" t="s">
        <v>698</v>
      </c>
      <c r="H230" s="183" t="s">
        <v>1</v>
      </c>
      <c r="I230" s="183" t="s">
        <v>1492</v>
      </c>
      <c r="J230" s="188">
        <v>46214</v>
      </c>
      <c r="K230" s="183" t="s">
        <v>1494</v>
      </c>
      <c r="L230" s="183" t="s">
        <v>241</v>
      </c>
      <c r="M230" s="183"/>
      <c r="N230" s="185">
        <v>82</v>
      </c>
      <c r="O230" s="186">
        <v>0</v>
      </c>
      <c r="P230" s="185">
        <v>15</v>
      </c>
      <c r="Q230" s="185">
        <v>1</v>
      </c>
      <c r="R230" s="183" t="s">
        <v>702</v>
      </c>
      <c r="S230" s="185">
        <v>15</v>
      </c>
      <c r="T230" s="189">
        <f t="shared" si="3"/>
        <v>0.25</v>
      </c>
      <c r="U230" s="183" t="s">
        <v>703</v>
      </c>
      <c r="V230" s="183" t="s">
        <v>526</v>
      </c>
      <c r="W230" s="183"/>
      <c r="X230" s="183"/>
      <c r="Y230" s="183"/>
      <c r="Z230" s="183"/>
      <c r="AA230" s="183"/>
      <c r="AB230" s="183" t="s">
        <v>708</v>
      </c>
      <c r="AC230" s="183"/>
      <c r="AD230" s="183"/>
      <c r="AE230" s="183"/>
    </row>
    <row r="231" spans="1:31" ht="27.6" hidden="1">
      <c r="A231" s="183" t="s">
        <v>694</v>
      </c>
      <c r="B231" s="183" t="s">
        <v>240</v>
      </c>
      <c r="C231" s="183" t="s">
        <v>240</v>
      </c>
      <c r="D231" s="184" t="s">
        <v>695</v>
      </c>
      <c r="E231" s="183" t="s">
        <v>696</v>
      </c>
      <c r="F231" s="183" t="s">
        <v>697</v>
      </c>
      <c r="G231" s="183" t="s">
        <v>698</v>
      </c>
      <c r="H231" s="183" t="s">
        <v>1</v>
      </c>
      <c r="I231" s="183" t="s">
        <v>1495</v>
      </c>
      <c r="J231" s="188">
        <v>46287</v>
      </c>
      <c r="K231" s="183" t="s">
        <v>1496</v>
      </c>
      <c r="L231" s="183" t="s">
        <v>242</v>
      </c>
      <c r="M231" s="183"/>
      <c r="N231" s="185">
        <v>9</v>
      </c>
      <c r="O231" s="186">
        <v>31</v>
      </c>
      <c r="P231" s="185">
        <v>34</v>
      </c>
      <c r="Q231" s="185">
        <v>32</v>
      </c>
      <c r="R231" s="183" t="s">
        <v>702</v>
      </c>
      <c r="S231" s="185">
        <v>1894</v>
      </c>
      <c r="T231" s="189">
        <f t="shared" si="3"/>
        <v>31.566666666666666</v>
      </c>
      <c r="U231" s="183" t="s">
        <v>703</v>
      </c>
      <c r="V231" s="183" t="s">
        <v>526</v>
      </c>
      <c r="W231" s="183"/>
      <c r="X231" s="183"/>
      <c r="Y231" s="183"/>
      <c r="Z231" s="183"/>
      <c r="AA231" s="183"/>
      <c r="AB231" s="183"/>
      <c r="AC231" s="183"/>
      <c r="AD231" s="183"/>
      <c r="AE231" s="183"/>
    </row>
    <row r="232" spans="1:31" ht="27.6" hidden="1">
      <c r="A232" s="183" t="s">
        <v>694</v>
      </c>
      <c r="B232" s="183" t="s">
        <v>240</v>
      </c>
      <c r="C232" s="183" t="s">
        <v>240</v>
      </c>
      <c r="D232" s="184" t="s">
        <v>817</v>
      </c>
      <c r="E232" s="183" t="s">
        <v>696</v>
      </c>
      <c r="F232" s="183" t="s">
        <v>697</v>
      </c>
      <c r="G232" s="183" t="s">
        <v>698</v>
      </c>
      <c r="H232" s="183" t="s">
        <v>1</v>
      </c>
      <c r="I232" s="183" t="s">
        <v>1497</v>
      </c>
      <c r="J232" s="188">
        <v>46281</v>
      </c>
      <c r="K232" s="183" t="s">
        <v>1498</v>
      </c>
      <c r="L232" s="183" t="s">
        <v>243</v>
      </c>
      <c r="M232" s="183"/>
      <c r="N232" s="185">
        <v>15</v>
      </c>
      <c r="O232" s="186">
        <v>16</v>
      </c>
      <c r="P232" s="185">
        <v>59</v>
      </c>
      <c r="Q232" s="185">
        <v>17</v>
      </c>
      <c r="R232" s="183" t="s">
        <v>702</v>
      </c>
      <c r="S232" s="185">
        <v>1019</v>
      </c>
      <c r="T232" s="189">
        <f t="shared" si="3"/>
        <v>16.983333333333334</v>
      </c>
      <c r="U232" s="183" t="s">
        <v>703</v>
      </c>
      <c r="V232" s="183" t="s">
        <v>526</v>
      </c>
      <c r="W232" s="183"/>
      <c r="X232" s="183"/>
      <c r="Y232" s="183"/>
      <c r="Z232" s="183"/>
      <c r="AA232" s="183"/>
      <c r="AB232" s="183"/>
      <c r="AC232" s="183"/>
      <c r="AD232" s="183"/>
      <c r="AE232" s="183"/>
    </row>
    <row r="233" spans="1:31" ht="27.6" hidden="1">
      <c r="A233" s="183" t="s">
        <v>694</v>
      </c>
      <c r="B233" s="183" t="s">
        <v>240</v>
      </c>
      <c r="C233" s="183" t="s">
        <v>240</v>
      </c>
      <c r="D233" s="184" t="s">
        <v>817</v>
      </c>
      <c r="E233" s="183" t="s">
        <v>696</v>
      </c>
      <c r="F233" s="183" t="s">
        <v>697</v>
      </c>
      <c r="G233" s="183" t="s">
        <v>698</v>
      </c>
      <c r="H233" s="183" t="s">
        <v>1</v>
      </c>
      <c r="I233" s="183" t="s">
        <v>1499</v>
      </c>
      <c r="J233" s="188">
        <v>46267</v>
      </c>
      <c r="K233" s="183" t="s">
        <v>1500</v>
      </c>
      <c r="L233" s="183" t="s">
        <v>244</v>
      </c>
      <c r="M233" s="183"/>
      <c r="N233" s="185">
        <v>29</v>
      </c>
      <c r="O233" s="186">
        <v>44</v>
      </c>
      <c r="P233" s="185">
        <v>21</v>
      </c>
      <c r="Q233" s="185">
        <v>45</v>
      </c>
      <c r="R233" s="183" t="s">
        <v>702</v>
      </c>
      <c r="S233" s="185">
        <v>2661</v>
      </c>
      <c r="T233" s="189">
        <f t="shared" si="3"/>
        <v>44.35</v>
      </c>
      <c r="U233" s="183" t="s">
        <v>703</v>
      </c>
      <c r="V233" s="183" t="s">
        <v>526</v>
      </c>
      <c r="W233" s="183"/>
      <c r="X233" s="183"/>
      <c r="Y233" s="183"/>
      <c r="Z233" s="183"/>
      <c r="AA233" s="183"/>
      <c r="AB233" s="183"/>
      <c r="AC233" s="183"/>
      <c r="AD233" s="183"/>
      <c r="AE233" s="183"/>
    </row>
    <row r="234" spans="1:31" ht="27.6" hidden="1">
      <c r="A234" s="183" t="s">
        <v>694</v>
      </c>
      <c r="B234" s="183" t="s">
        <v>240</v>
      </c>
      <c r="C234" s="183" t="s">
        <v>240</v>
      </c>
      <c r="D234" s="184" t="s">
        <v>1194</v>
      </c>
      <c r="E234" s="183" t="s">
        <v>696</v>
      </c>
      <c r="F234" s="183" t="s">
        <v>697</v>
      </c>
      <c r="G234" s="183" t="s">
        <v>698</v>
      </c>
      <c r="H234" s="183" t="s">
        <v>1</v>
      </c>
      <c r="I234" s="183" t="s">
        <v>1495</v>
      </c>
      <c r="J234" s="188">
        <v>46294</v>
      </c>
      <c r="K234" s="183" t="s">
        <v>1501</v>
      </c>
      <c r="L234" s="183" t="s">
        <v>245</v>
      </c>
      <c r="M234" s="183"/>
      <c r="N234" s="185">
        <v>2</v>
      </c>
      <c r="O234" s="186">
        <v>79</v>
      </c>
      <c r="P234" s="185">
        <v>38</v>
      </c>
      <c r="Q234" s="185">
        <v>80</v>
      </c>
      <c r="R234" s="183" t="s">
        <v>702</v>
      </c>
      <c r="S234" s="185">
        <v>4778</v>
      </c>
      <c r="T234" s="189">
        <f t="shared" si="3"/>
        <v>79.63333333333334</v>
      </c>
      <c r="U234" s="183" t="s">
        <v>703</v>
      </c>
      <c r="V234" s="183" t="s">
        <v>526</v>
      </c>
      <c r="W234" s="183"/>
      <c r="X234" s="183"/>
      <c r="Y234" s="183"/>
      <c r="Z234" s="183"/>
      <c r="AA234" s="183"/>
      <c r="AB234" s="183"/>
      <c r="AC234" s="183"/>
      <c r="AD234" s="183"/>
      <c r="AE234" s="183"/>
    </row>
    <row r="235" spans="1:31" ht="27.6" hidden="1">
      <c r="A235" s="183" t="s">
        <v>694</v>
      </c>
      <c r="B235" s="183" t="s">
        <v>240</v>
      </c>
      <c r="C235" s="183" t="s">
        <v>240</v>
      </c>
      <c r="D235" s="184" t="s">
        <v>1194</v>
      </c>
      <c r="E235" s="183" t="s">
        <v>696</v>
      </c>
      <c r="F235" s="183" t="s">
        <v>697</v>
      </c>
      <c r="G235" s="183" t="s">
        <v>698</v>
      </c>
      <c r="H235" s="183" t="s">
        <v>1</v>
      </c>
      <c r="I235" s="183" t="s">
        <v>1502</v>
      </c>
      <c r="J235" s="188">
        <v>46286</v>
      </c>
      <c r="K235" s="183" t="s">
        <v>1503</v>
      </c>
      <c r="L235" s="183" t="s">
        <v>246</v>
      </c>
      <c r="M235" s="183"/>
      <c r="N235" s="185">
        <v>10</v>
      </c>
      <c r="O235" s="186">
        <v>49</v>
      </c>
      <c r="P235" s="185">
        <v>6</v>
      </c>
      <c r="Q235" s="185">
        <v>49</v>
      </c>
      <c r="R235" s="183" t="s">
        <v>702</v>
      </c>
      <c r="S235" s="185">
        <v>2946</v>
      </c>
      <c r="T235" s="189">
        <f t="shared" si="3"/>
        <v>49.1</v>
      </c>
      <c r="U235" s="183" t="s">
        <v>703</v>
      </c>
      <c r="V235" s="183" t="s">
        <v>704</v>
      </c>
      <c r="W235" s="183" t="s">
        <v>1504</v>
      </c>
      <c r="X235" s="183" t="s">
        <v>1505</v>
      </c>
      <c r="Y235" s="183"/>
      <c r="Z235" s="183"/>
      <c r="AA235" s="183"/>
      <c r="AB235" s="183"/>
      <c r="AC235" s="183"/>
      <c r="AD235" s="183"/>
      <c r="AE235" s="183"/>
    </row>
    <row r="236" spans="1:31" ht="27.6" hidden="1">
      <c r="A236" s="183" t="s">
        <v>694</v>
      </c>
      <c r="B236" s="183" t="s">
        <v>240</v>
      </c>
      <c r="C236" s="183" t="s">
        <v>240</v>
      </c>
      <c r="D236" s="184" t="s">
        <v>1194</v>
      </c>
      <c r="E236" s="183" t="s">
        <v>696</v>
      </c>
      <c r="F236" s="183" t="s">
        <v>697</v>
      </c>
      <c r="G236" s="183" t="s">
        <v>698</v>
      </c>
      <c r="H236" s="183" t="s">
        <v>1</v>
      </c>
      <c r="I236" s="183" t="s">
        <v>1499</v>
      </c>
      <c r="J236" s="188">
        <v>46289</v>
      </c>
      <c r="K236" s="183" t="s">
        <v>1506</v>
      </c>
      <c r="L236" s="183" t="s">
        <v>247</v>
      </c>
      <c r="M236" s="183"/>
      <c r="N236" s="185">
        <v>7</v>
      </c>
      <c r="O236" s="186">
        <v>54</v>
      </c>
      <c r="P236" s="185">
        <v>15</v>
      </c>
      <c r="Q236" s="185">
        <v>55</v>
      </c>
      <c r="R236" s="183" t="s">
        <v>702</v>
      </c>
      <c r="S236" s="185">
        <v>3255</v>
      </c>
      <c r="T236" s="189">
        <f t="shared" si="3"/>
        <v>54.25</v>
      </c>
      <c r="U236" s="183" t="s">
        <v>703</v>
      </c>
      <c r="V236" s="183" t="s">
        <v>704</v>
      </c>
      <c r="W236" s="183" t="s">
        <v>1504</v>
      </c>
      <c r="X236" s="183" t="s">
        <v>1505</v>
      </c>
      <c r="Y236" s="183"/>
      <c r="Z236" s="183"/>
      <c r="AA236" s="183"/>
      <c r="AB236" s="183"/>
      <c r="AC236" s="183"/>
      <c r="AD236" s="183"/>
      <c r="AE236" s="183"/>
    </row>
    <row r="237" spans="1:31" ht="27.6" hidden="1">
      <c r="A237" s="183" t="s">
        <v>694</v>
      </c>
      <c r="B237" s="183" t="s">
        <v>240</v>
      </c>
      <c r="C237" s="183" t="s">
        <v>240</v>
      </c>
      <c r="D237" s="184" t="s">
        <v>1194</v>
      </c>
      <c r="E237" s="183" t="s">
        <v>696</v>
      </c>
      <c r="F237" s="183" t="s">
        <v>697</v>
      </c>
      <c r="G237" s="183" t="s">
        <v>698</v>
      </c>
      <c r="H237" s="183" t="s">
        <v>1</v>
      </c>
      <c r="I237" s="183" t="s">
        <v>1507</v>
      </c>
      <c r="J237" s="188">
        <v>46287</v>
      </c>
      <c r="K237" s="183" t="s">
        <v>1508</v>
      </c>
      <c r="L237" s="183" t="s">
        <v>248</v>
      </c>
      <c r="M237" s="183"/>
      <c r="N237" s="185">
        <v>9</v>
      </c>
      <c r="O237" s="186">
        <v>129</v>
      </c>
      <c r="P237" s="185">
        <v>3</v>
      </c>
      <c r="Q237" s="185">
        <v>129</v>
      </c>
      <c r="R237" s="183" t="s">
        <v>702</v>
      </c>
      <c r="S237" s="185">
        <v>7743</v>
      </c>
      <c r="T237" s="189">
        <f t="shared" si="3"/>
        <v>129.05000000000001</v>
      </c>
      <c r="U237" s="183" t="s">
        <v>703</v>
      </c>
      <c r="V237" s="183" t="s">
        <v>704</v>
      </c>
      <c r="W237" s="183" t="s">
        <v>1504</v>
      </c>
      <c r="X237" s="183" t="s">
        <v>1505</v>
      </c>
      <c r="Y237" s="183"/>
      <c r="Z237" s="183"/>
      <c r="AA237" s="183"/>
      <c r="AB237" s="183"/>
      <c r="AC237" s="183"/>
      <c r="AD237" s="183"/>
      <c r="AE237" s="183"/>
    </row>
    <row r="238" spans="1:31" ht="27.6" hidden="1">
      <c r="A238" s="183" t="s">
        <v>694</v>
      </c>
      <c r="B238" s="183" t="s">
        <v>240</v>
      </c>
      <c r="C238" s="183" t="s">
        <v>240</v>
      </c>
      <c r="D238" s="184" t="s">
        <v>1199</v>
      </c>
      <c r="E238" s="183" t="s">
        <v>696</v>
      </c>
      <c r="F238" s="183" t="s">
        <v>697</v>
      </c>
      <c r="G238" s="183" t="s">
        <v>698</v>
      </c>
      <c r="H238" s="183" t="s">
        <v>1</v>
      </c>
      <c r="I238" s="183" t="s">
        <v>1152</v>
      </c>
      <c r="J238" s="188">
        <v>46281</v>
      </c>
      <c r="K238" s="183" t="s">
        <v>1509</v>
      </c>
      <c r="L238" s="183" t="s">
        <v>249</v>
      </c>
      <c r="M238" s="183"/>
      <c r="N238" s="185">
        <v>15</v>
      </c>
      <c r="O238" s="186">
        <v>1</v>
      </c>
      <c r="P238" s="185">
        <v>23</v>
      </c>
      <c r="Q238" s="185">
        <v>2</v>
      </c>
      <c r="R238" s="183" t="s">
        <v>702</v>
      </c>
      <c r="S238" s="185">
        <v>83</v>
      </c>
      <c r="T238" s="189">
        <f t="shared" si="3"/>
        <v>1.3833333333333333</v>
      </c>
      <c r="U238" s="183" t="s">
        <v>703</v>
      </c>
      <c r="V238" s="183" t="s">
        <v>526</v>
      </c>
      <c r="W238" s="183"/>
      <c r="X238" s="183"/>
      <c r="Y238" s="183"/>
      <c r="Z238" s="183"/>
      <c r="AA238" s="183"/>
      <c r="AB238" s="183"/>
      <c r="AC238" s="183"/>
      <c r="AD238" s="183"/>
      <c r="AE238" s="183"/>
    </row>
    <row r="239" spans="1:31" ht="27.6" hidden="1">
      <c r="A239" s="183" t="s">
        <v>694</v>
      </c>
      <c r="B239" s="183" t="s">
        <v>240</v>
      </c>
      <c r="C239" s="183" t="s">
        <v>240</v>
      </c>
      <c r="D239" s="184" t="s">
        <v>1199</v>
      </c>
      <c r="E239" s="183" t="s">
        <v>696</v>
      </c>
      <c r="F239" s="183" t="s">
        <v>697</v>
      </c>
      <c r="G239" s="183" t="s">
        <v>698</v>
      </c>
      <c r="H239" s="183" t="s">
        <v>1</v>
      </c>
      <c r="I239" s="183" t="s">
        <v>1510</v>
      </c>
      <c r="J239" s="188">
        <v>46294</v>
      </c>
      <c r="K239" s="183" t="s">
        <v>1511</v>
      </c>
      <c r="L239" s="183" t="s">
        <v>250</v>
      </c>
      <c r="M239" s="183"/>
      <c r="N239" s="185">
        <v>2</v>
      </c>
      <c r="O239" s="186">
        <v>44</v>
      </c>
      <c r="P239" s="185">
        <v>51</v>
      </c>
      <c r="Q239" s="185">
        <v>45</v>
      </c>
      <c r="R239" s="183" t="s">
        <v>702</v>
      </c>
      <c r="S239" s="185">
        <v>2691</v>
      </c>
      <c r="T239" s="189">
        <f t="shared" si="3"/>
        <v>44.85</v>
      </c>
      <c r="U239" s="183" t="s">
        <v>703</v>
      </c>
      <c r="V239" s="183" t="s">
        <v>526</v>
      </c>
      <c r="W239" s="183"/>
      <c r="X239" s="183"/>
      <c r="Y239" s="183"/>
      <c r="Z239" s="183"/>
      <c r="AA239" s="183"/>
      <c r="AB239" s="183"/>
      <c r="AC239" s="183"/>
      <c r="AD239" s="183"/>
      <c r="AE239" s="183"/>
    </row>
    <row r="240" spans="1:31" ht="27.6" hidden="1">
      <c r="A240" s="183" t="s">
        <v>694</v>
      </c>
      <c r="B240" s="183" t="s">
        <v>240</v>
      </c>
      <c r="C240" s="183" t="s">
        <v>240</v>
      </c>
      <c r="D240" s="184" t="s">
        <v>1139</v>
      </c>
      <c r="E240" s="183" t="s">
        <v>696</v>
      </c>
      <c r="F240" s="183" t="s">
        <v>697</v>
      </c>
      <c r="G240" s="183" t="s">
        <v>698</v>
      </c>
      <c r="H240" s="183" t="s">
        <v>1</v>
      </c>
      <c r="I240" s="183" t="s">
        <v>1512</v>
      </c>
      <c r="J240" s="188">
        <v>46295</v>
      </c>
      <c r="K240" s="183" t="s">
        <v>1513</v>
      </c>
      <c r="L240" s="183" t="s">
        <v>251</v>
      </c>
      <c r="M240" s="183"/>
      <c r="N240" s="185">
        <v>1</v>
      </c>
      <c r="O240" s="186">
        <v>37</v>
      </c>
      <c r="P240" s="185">
        <v>42</v>
      </c>
      <c r="Q240" s="185">
        <v>38</v>
      </c>
      <c r="R240" s="183" t="s">
        <v>702</v>
      </c>
      <c r="S240" s="185">
        <v>2262</v>
      </c>
      <c r="T240" s="189">
        <f t="shared" si="3"/>
        <v>37.700000000000003</v>
      </c>
      <c r="U240" s="183" t="s">
        <v>703</v>
      </c>
      <c r="V240" s="183" t="s">
        <v>704</v>
      </c>
      <c r="W240" s="183" t="s">
        <v>1175</v>
      </c>
      <c r="X240" s="183" t="s">
        <v>1176</v>
      </c>
      <c r="Y240" s="183"/>
      <c r="Z240" s="183"/>
      <c r="AA240" s="183"/>
      <c r="AB240" s="183"/>
      <c r="AC240" s="183"/>
      <c r="AD240" s="183"/>
      <c r="AE240" s="183"/>
    </row>
    <row r="241" spans="1:31" ht="27.6" hidden="1">
      <c r="A241" s="183" t="s">
        <v>694</v>
      </c>
      <c r="B241" s="183" t="s">
        <v>240</v>
      </c>
      <c r="C241" s="183" t="s">
        <v>240</v>
      </c>
      <c r="D241" s="184" t="s">
        <v>1139</v>
      </c>
      <c r="E241" s="183" t="s">
        <v>696</v>
      </c>
      <c r="F241" s="183" t="s">
        <v>697</v>
      </c>
      <c r="G241" s="183" t="s">
        <v>698</v>
      </c>
      <c r="H241" s="183" t="s">
        <v>1</v>
      </c>
      <c r="I241" s="183" t="s">
        <v>1514</v>
      </c>
      <c r="J241" s="188">
        <v>46288</v>
      </c>
      <c r="K241" s="183" t="s">
        <v>1515</v>
      </c>
      <c r="L241" s="183" t="s">
        <v>252</v>
      </c>
      <c r="M241" s="183"/>
      <c r="N241" s="185">
        <v>8</v>
      </c>
      <c r="O241" s="186">
        <v>147</v>
      </c>
      <c r="P241" s="185">
        <v>27</v>
      </c>
      <c r="Q241" s="185">
        <v>148</v>
      </c>
      <c r="R241" s="183" t="s">
        <v>702</v>
      </c>
      <c r="S241" s="185">
        <v>8847</v>
      </c>
      <c r="T241" s="189">
        <f t="shared" si="3"/>
        <v>147.44999999999999</v>
      </c>
      <c r="U241" s="183" t="s">
        <v>703</v>
      </c>
      <c r="V241" s="183" t="s">
        <v>704</v>
      </c>
      <c r="W241" s="183" t="s">
        <v>1175</v>
      </c>
      <c r="X241" s="183" t="s">
        <v>1176</v>
      </c>
      <c r="Y241" s="183"/>
      <c r="Z241" s="183"/>
      <c r="AA241" s="183"/>
      <c r="AB241" s="183"/>
      <c r="AC241" s="183"/>
      <c r="AD241" s="183"/>
      <c r="AE241" s="183"/>
    </row>
    <row r="242" spans="1:31" ht="27.6" hidden="1">
      <c r="A242" s="183" t="s">
        <v>694</v>
      </c>
      <c r="B242" s="183" t="s">
        <v>240</v>
      </c>
      <c r="C242" s="183" t="s">
        <v>240</v>
      </c>
      <c r="D242" s="184" t="s">
        <v>1139</v>
      </c>
      <c r="E242" s="183" t="s">
        <v>696</v>
      </c>
      <c r="F242" s="183" t="s">
        <v>697</v>
      </c>
      <c r="G242" s="183" t="s">
        <v>698</v>
      </c>
      <c r="H242" s="183" t="s">
        <v>1</v>
      </c>
      <c r="I242" s="183" t="s">
        <v>1177</v>
      </c>
      <c r="J242" s="188">
        <v>46287</v>
      </c>
      <c r="K242" s="183" t="s">
        <v>1516</v>
      </c>
      <c r="L242" s="183" t="s">
        <v>253</v>
      </c>
      <c r="M242" s="183"/>
      <c r="N242" s="185">
        <v>9</v>
      </c>
      <c r="O242" s="186">
        <v>90</v>
      </c>
      <c r="P242" s="185">
        <v>0</v>
      </c>
      <c r="Q242" s="185">
        <v>90</v>
      </c>
      <c r="R242" s="183" t="s">
        <v>702</v>
      </c>
      <c r="S242" s="185">
        <v>5400</v>
      </c>
      <c r="T242" s="189">
        <f t="shared" si="3"/>
        <v>90</v>
      </c>
      <c r="U242" s="183" t="s">
        <v>703</v>
      </c>
      <c r="V242" s="183" t="s">
        <v>704</v>
      </c>
      <c r="W242" s="183" t="s">
        <v>1517</v>
      </c>
      <c r="X242" s="183" t="s">
        <v>1518</v>
      </c>
      <c r="Y242" s="183"/>
      <c r="Z242" s="183"/>
      <c r="AA242" s="183"/>
      <c r="AB242" s="183"/>
      <c r="AC242" s="183"/>
      <c r="AD242" s="183"/>
      <c r="AE242" s="183"/>
    </row>
    <row r="243" spans="1:31" ht="27.6" hidden="1">
      <c r="A243" s="183" t="s">
        <v>694</v>
      </c>
      <c r="B243" s="183" t="s">
        <v>240</v>
      </c>
      <c r="C243" s="183" t="s">
        <v>240</v>
      </c>
      <c r="D243" s="184" t="s">
        <v>1139</v>
      </c>
      <c r="E243" s="183" t="s">
        <v>696</v>
      </c>
      <c r="F243" s="183" t="s">
        <v>697</v>
      </c>
      <c r="G243" s="183" t="s">
        <v>698</v>
      </c>
      <c r="H243" s="183" t="s">
        <v>1</v>
      </c>
      <c r="I243" s="183" t="s">
        <v>1519</v>
      </c>
      <c r="J243" s="188">
        <v>46294</v>
      </c>
      <c r="K243" s="183" t="s">
        <v>1520</v>
      </c>
      <c r="L243" s="183" t="s">
        <v>254</v>
      </c>
      <c r="M243" s="183"/>
      <c r="N243" s="185">
        <v>2</v>
      </c>
      <c r="O243" s="186">
        <v>270</v>
      </c>
      <c r="P243" s="185">
        <v>24</v>
      </c>
      <c r="Q243" s="185">
        <v>270</v>
      </c>
      <c r="R243" s="183" t="s">
        <v>702</v>
      </c>
      <c r="S243" s="185">
        <v>16224</v>
      </c>
      <c r="T243" s="189">
        <f t="shared" si="3"/>
        <v>270.39999999999998</v>
      </c>
      <c r="U243" s="183" t="s">
        <v>703</v>
      </c>
      <c r="V243" s="183" t="s">
        <v>704</v>
      </c>
      <c r="W243" s="183" t="s">
        <v>1521</v>
      </c>
      <c r="X243" s="183" t="s">
        <v>1522</v>
      </c>
      <c r="Y243" s="183"/>
      <c r="Z243" s="183"/>
      <c r="AA243" s="183"/>
      <c r="AB243" s="183"/>
      <c r="AC243" s="183"/>
      <c r="AD243" s="183"/>
      <c r="AE243" s="183"/>
    </row>
    <row r="244" spans="1:31" ht="27.6" hidden="1">
      <c r="A244" s="183" t="s">
        <v>694</v>
      </c>
      <c r="B244" s="183" t="s">
        <v>240</v>
      </c>
      <c r="C244" s="183" t="s">
        <v>240</v>
      </c>
      <c r="D244" s="184" t="s">
        <v>1139</v>
      </c>
      <c r="E244" s="183" t="s">
        <v>696</v>
      </c>
      <c r="F244" s="183" t="s">
        <v>697</v>
      </c>
      <c r="G244" s="183" t="s">
        <v>698</v>
      </c>
      <c r="H244" s="183" t="s">
        <v>1</v>
      </c>
      <c r="I244" s="183" t="s">
        <v>1519</v>
      </c>
      <c r="J244" s="188">
        <v>46294</v>
      </c>
      <c r="K244" s="183" t="s">
        <v>1520</v>
      </c>
      <c r="L244" s="183" t="s">
        <v>254</v>
      </c>
      <c r="M244" s="183"/>
      <c r="N244" s="185">
        <v>2</v>
      </c>
      <c r="O244" s="186">
        <v>167</v>
      </c>
      <c r="P244" s="185">
        <v>18</v>
      </c>
      <c r="Q244" s="185">
        <v>168</v>
      </c>
      <c r="R244" s="183" t="s">
        <v>702</v>
      </c>
      <c r="S244" s="185">
        <v>10038</v>
      </c>
      <c r="T244" s="189">
        <f t="shared" si="3"/>
        <v>167.3</v>
      </c>
      <c r="U244" s="183" t="s">
        <v>703</v>
      </c>
      <c r="V244" s="183" t="s">
        <v>704</v>
      </c>
      <c r="W244" s="183" t="s">
        <v>1142</v>
      </c>
      <c r="X244" s="183" t="s">
        <v>1143</v>
      </c>
      <c r="Y244" s="183"/>
      <c r="Z244" s="183"/>
      <c r="AA244" s="183"/>
      <c r="AB244" s="183"/>
      <c r="AC244" s="183"/>
      <c r="AD244" s="183"/>
      <c r="AE244" s="183"/>
    </row>
    <row r="245" spans="1:31" ht="27.6" hidden="1">
      <c r="A245" s="183" t="s">
        <v>694</v>
      </c>
      <c r="B245" s="183" t="s">
        <v>240</v>
      </c>
      <c r="C245" s="183" t="s">
        <v>240</v>
      </c>
      <c r="D245" s="184" t="s">
        <v>1139</v>
      </c>
      <c r="E245" s="183" t="s">
        <v>696</v>
      </c>
      <c r="F245" s="183" t="s">
        <v>697</v>
      </c>
      <c r="G245" s="183" t="s">
        <v>698</v>
      </c>
      <c r="H245" s="183" t="s">
        <v>1</v>
      </c>
      <c r="I245" s="183" t="s">
        <v>1519</v>
      </c>
      <c r="J245" s="188">
        <v>46294</v>
      </c>
      <c r="K245" s="183" t="s">
        <v>1520</v>
      </c>
      <c r="L245" s="183" t="s">
        <v>254</v>
      </c>
      <c r="M245" s="183"/>
      <c r="N245" s="185">
        <v>2</v>
      </c>
      <c r="O245" s="186">
        <v>188</v>
      </c>
      <c r="P245" s="185">
        <v>0</v>
      </c>
      <c r="Q245" s="185">
        <v>188</v>
      </c>
      <c r="R245" s="183" t="s">
        <v>702</v>
      </c>
      <c r="S245" s="185">
        <v>11280</v>
      </c>
      <c r="T245" s="189">
        <f t="shared" si="3"/>
        <v>188</v>
      </c>
      <c r="U245" s="183" t="s">
        <v>703</v>
      </c>
      <c r="V245" s="183" t="s">
        <v>704</v>
      </c>
      <c r="W245" s="183" t="s">
        <v>1517</v>
      </c>
      <c r="X245" s="183" t="s">
        <v>1518</v>
      </c>
      <c r="Y245" s="183"/>
      <c r="Z245" s="183"/>
      <c r="AA245" s="183"/>
      <c r="AB245" s="183"/>
      <c r="AC245" s="183"/>
      <c r="AD245" s="183"/>
      <c r="AE245" s="183"/>
    </row>
    <row r="246" spans="1:31" ht="27.6" hidden="1">
      <c r="A246" s="183" t="s">
        <v>694</v>
      </c>
      <c r="B246" s="183" t="s">
        <v>240</v>
      </c>
      <c r="C246" s="183" t="s">
        <v>240</v>
      </c>
      <c r="D246" s="184" t="s">
        <v>1139</v>
      </c>
      <c r="E246" s="183" t="s">
        <v>696</v>
      </c>
      <c r="F246" s="183" t="s">
        <v>697</v>
      </c>
      <c r="G246" s="183" t="s">
        <v>698</v>
      </c>
      <c r="H246" s="183" t="s">
        <v>1</v>
      </c>
      <c r="I246" s="183" t="s">
        <v>1523</v>
      </c>
      <c r="J246" s="188">
        <v>46275</v>
      </c>
      <c r="K246" s="183" t="s">
        <v>1524</v>
      </c>
      <c r="L246" s="183" t="s">
        <v>255</v>
      </c>
      <c r="M246" s="183"/>
      <c r="N246" s="185">
        <v>21</v>
      </c>
      <c r="O246" s="186">
        <v>66</v>
      </c>
      <c r="P246" s="185">
        <v>39</v>
      </c>
      <c r="Q246" s="185">
        <v>67</v>
      </c>
      <c r="R246" s="183" t="s">
        <v>702</v>
      </c>
      <c r="S246" s="185">
        <v>3999</v>
      </c>
      <c r="T246" s="189">
        <f t="shared" si="3"/>
        <v>66.650000000000006</v>
      </c>
      <c r="U246" s="183" t="s">
        <v>703</v>
      </c>
      <c r="V246" s="183" t="s">
        <v>704</v>
      </c>
      <c r="W246" s="183" t="s">
        <v>1175</v>
      </c>
      <c r="X246" s="183" t="s">
        <v>1176</v>
      </c>
      <c r="Y246" s="183"/>
      <c r="Z246" s="183"/>
      <c r="AA246" s="183"/>
      <c r="AB246" s="183"/>
      <c r="AC246" s="183"/>
      <c r="AD246" s="183"/>
      <c r="AE246" s="183"/>
    </row>
    <row r="247" spans="1:31" ht="27.6" hidden="1">
      <c r="A247" s="183" t="s">
        <v>694</v>
      </c>
      <c r="B247" s="183" t="s">
        <v>240</v>
      </c>
      <c r="C247" s="183" t="s">
        <v>240</v>
      </c>
      <c r="D247" s="184" t="s">
        <v>1139</v>
      </c>
      <c r="E247" s="183" t="s">
        <v>696</v>
      </c>
      <c r="F247" s="183" t="s">
        <v>697</v>
      </c>
      <c r="G247" s="183" t="s">
        <v>698</v>
      </c>
      <c r="H247" s="183" t="s">
        <v>1</v>
      </c>
      <c r="I247" s="183" t="s">
        <v>1173</v>
      </c>
      <c r="J247" s="188">
        <v>46287</v>
      </c>
      <c r="K247" s="183" t="s">
        <v>1525</v>
      </c>
      <c r="L247" s="183" t="s">
        <v>256</v>
      </c>
      <c r="M247" s="183"/>
      <c r="N247" s="185">
        <v>9</v>
      </c>
      <c r="O247" s="186">
        <v>107</v>
      </c>
      <c r="P247" s="185">
        <v>19</v>
      </c>
      <c r="Q247" s="185">
        <v>108</v>
      </c>
      <c r="R247" s="183" t="s">
        <v>702</v>
      </c>
      <c r="S247" s="185">
        <v>6439</v>
      </c>
      <c r="T247" s="189">
        <f t="shared" si="3"/>
        <v>107.31666666666666</v>
      </c>
      <c r="U247" s="183" t="s">
        <v>703</v>
      </c>
      <c r="V247" s="183" t="s">
        <v>704</v>
      </c>
      <c r="W247" s="183" t="s">
        <v>1175</v>
      </c>
      <c r="X247" s="183" t="s">
        <v>1176</v>
      </c>
      <c r="Y247" s="183"/>
      <c r="Z247" s="183"/>
      <c r="AA247" s="183"/>
      <c r="AB247" s="183"/>
      <c r="AC247" s="183"/>
      <c r="AD247" s="183"/>
      <c r="AE247" s="183"/>
    </row>
    <row r="248" spans="1:31" ht="27.6" hidden="1">
      <c r="A248" s="183" t="s">
        <v>694</v>
      </c>
      <c r="B248" s="183" t="s">
        <v>240</v>
      </c>
      <c r="C248" s="183" t="s">
        <v>240</v>
      </c>
      <c r="D248" s="184" t="s">
        <v>1139</v>
      </c>
      <c r="E248" s="183" t="s">
        <v>696</v>
      </c>
      <c r="F248" s="183" t="s">
        <v>697</v>
      </c>
      <c r="G248" s="183" t="s">
        <v>698</v>
      </c>
      <c r="H248" s="183" t="s">
        <v>1</v>
      </c>
      <c r="I248" s="183" t="s">
        <v>1526</v>
      </c>
      <c r="J248" s="188">
        <v>46295</v>
      </c>
      <c r="K248" s="183" t="s">
        <v>1527</v>
      </c>
      <c r="L248" s="183" t="s">
        <v>257</v>
      </c>
      <c r="M248" s="183"/>
      <c r="N248" s="185">
        <v>1</v>
      </c>
      <c r="O248" s="186">
        <v>315</v>
      </c>
      <c r="P248" s="185">
        <v>10</v>
      </c>
      <c r="Q248" s="185">
        <v>316</v>
      </c>
      <c r="R248" s="183" t="s">
        <v>702</v>
      </c>
      <c r="S248" s="185">
        <v>18910</v>
      </c>
      <c r="T248" s="189">
        <f t="shared" si="3"/>
        <v>315.16666666666669</v>
      </c>
      <c r="U248" s="183" t="s">
        <v>703</v>
      </c>
      <c r="V248" s="183" t="s">
        <v>704</v>
      </c>
      <c r="W248" s="183" t="s">
        <v>1142</v>
      </c>
      <c r="X248" s="183" t="s">
        <v>1143</v>
      </c>
      <c r="Y248" s="183"/>
      <c r="Z248" s="183"/>
      <c r="AA248" s="183"/>
      <c r="AB248" s="183"/>
      <c r="AC248" s="183"/>
      <c r="AD248" s="183"/>
      <c r="AE248" s="183"/>
    </row>
    <row r="249" spans="1:31" ht="27.6" hidden="1">
      <c r="A249" s="183" t="s">
        <v>694</v>
      </c>
      <c r="B249" s="183" t="s">
        <v>240</v>
      </c>
      <c r="C249" s="183" t="s">
        <v>240</v>
      </c>
      <c r="D249" s="184" t="s">
        <v>1139</v>
      </c>
      <c r="E249" s="183" t="s">
        <v>696</v>
      </c>
      <c r="F249" s="183" t="s">
        <v>697</v>
      </c>
      <c r="G249" s="183" t="s">
        <v>698</v>
      </c>
      <c r="H249" s="183" t="s">
        <v>1</v>
      </c>
      <c r="I249" s="183" t="s">
        <v>1227</v>
      </c>
      <c r="J249" s="188">
        <v>46286</v>
      </c>
      <c r="K249" s="183" t="s">
        <v>1528</v>
      </c>
      <c r="L249" s="183" t="s">
        <v>258</v>
      </c>
      <c r="M249" s="183"/>
      <c r="N249" s="185">
        <v>10</v>
      </c>
      <c r="O249" s="186">
        <v>25</v>
      </c>
      <c r="P249" s="185">
        <v>0</v>
      </c>
      <c r="Q249" s="185">
        <v>25</v>
      </c>
      <c r="R249" s="183" t="s">
        <v>702</v>
      </c>
      <c r="S249" s="185">
        <v>1500</v>
      </c>
      <c r="T249" s="189">
        <f t="shared" si="3"/>
        <v>25</v>
      </c>
      <c r="U249" s="183" t="s">
        <v>703</v>
      </c>
      <c r="V249" s="183" t="s">
        <v>704</v>
      </c>
      <c r="W249" s="183" t="s">
        <v>1517</v>
      </c>
      <c r="X249" s="183" t="s">
        <v>1518</v>
      </c>
      <c r="Y249" s="183"/>
      <c r="Z249" s="183"/>
      <c r="AA249" s="183"/>
      <c r="AB249" s="183"/>
      <c r="AC249" s="183"/>
      <c r="AD249" s="183"/>
      <c r="AE249" s="183"/>
    </row>
    <row r="250" spans="1:31" ht="27.6" hidden="1">
      <c r="A250" s="183" t="s">
        <v>694</v>
      </c>
      <c r="B250" s="183" t="s">
        <v>240</v>
      </c>
      <c r="C250" s="183" t="s">
        <v>240</v>
      </c>
      <c r="D250" s="184" t="s">
        <v>1139</v>
      </c>
      <c r="E250" s="183" t="s">
        <v>696</v>
      </c>
      <c r="F250" s="183" t="s">
        <v>697</v>
      </c>
      <c r="G250" s="183" t="s">
        <v>698</v>
      </c>
      <c r="H250" s="183" t="s">
        <v>1</v>
      </c>
      <c r="I250" s="183" t="s">
        <v>1227</v>
      </c>
      <c r="J250" s="188">
        <v>46286</v>
      </c>
      <c r="K250" s="183" t="s">
        <v>1528</v>
      </c>
      <c r="L250" s="183" t="s">
        <v>258</v>
      </c>
      <c r="M250" s="183"/>
      <c r="N250" s="185">
        <v>10</v>
      </c>
      <c r="O250" s="186">
        <v>17</v>
      </c>
      <c r="P250" s="185">
        <v>36</v>
      </c>
      <c r="Q250" s="185">
        <v>18</v>
      </c>
      <c r="R250" s="183" t="s">
        <v>702</v>
      </c>
      <c r="S250" s="185">
        <v>1056</v>
      </c>
      <c r="T250" s="189">
        <f t="shared" si="3"/>
        <v>17.600000000000001</v>
      </c>
      <c r="U250" s="183" t="s">
        <v>703</v>
      </c>
      <c r="V250" s="183" t="s">
        <v>704</v>
      </c>
      <c r="W250" s="183" t="s">
        <v>1521</v>
      </c>
      <c r="X250" s="183" t="s">
        <v>1522</v>
      </c>
      <c r="Y250" s="183"/>
      <c r="Z250" s="183"/>
      <c r="AA250" s="183"/>
      <c r="AB250" s="183"/>
      <c r="AC250" s="183"/>
      <c r="AD250" s="183"/>
      <c r="AE250" s="183"/>
    </row>
    <row r="251" spans="1:31" ht="27.6" hidden="1">
      <c r="A251" s="183" t="s">
        <v>694</v>
      </c>
      <c r="B251" s="183" t="s">
        <v>240</v>
      </c>
      <c r="C251" s="183" t="s">
        <v>240</v>
      </c>
      <c r="D251" s="184" t="s">
        <v>1139</v>
      </c>
      <c r="E251" s="183" t="s">
        <v>696</v>
      </c>
      <c r="F251" s="183" t="s">
        <v>697</v>
      </c>
      <c r="G251" s="183" t="s">
        <v>698</v>
      </c>
      <c r="H251" s="183" t="s">
        <v>1</v>
      </c>
      <c r="I251" s="183" t="s">
        <v>1155</v>
      </c>
      <c r="J251" s="188">
        <v>46276</v>
      </c>
      <c r="K251" s="183" t="s">
        <v>1529</v>
      </c>
      <c r="L251" s="183" t="s">
        <v>259</v>
      </c>
      <c r="M251" s="183"/>
      <c r="N251" s="185">
        <v>20</v>
      </c>
      <c r="O251" s="186">
        <v>32</v>
      </c>
      <c r="P251" s="185">
        <v>0</v>
      </c>
      <c r="Q251" s="185">
        <v>32</v>
      </c>
      <c r="R251" s="183" t="s">
        <v>702</v>
      </c>
      <c r="S251" s="185">
        <v>1920</v>
      </c>
      <c r="T251" s="189">
        <f t="shared" si="3"/>
        <v>32</v>
      </c>
      <c r="U251" s="183" t="s">
        <v>703</v>
      </c>
      <c r="V251" s="183" t="s">
        <v>704</v>
      </c>
      <c r="W251" s="183" t="s">
        <v>1521</v>
      </c>
      <c r="X251" s="183" t="s">
        <v>1522</v>
      </c>
      <c r="Y251" s="183"/>
      <c r="Z251" s="183"/>
      <c r="AA251" s="183"/>
      <c r="AB251" s="183"/>
      <c r="AC251" s="183"/>
      <c r="AD251" s="183"/>
      <c r="AE251" s="183"/>
    </row>
    <row r="252" spans="1:31" ht="27.6" hidden="1">
      <c r="A252" s="183" t="s">
        <v>694</v>
      </c>
      <c r="B252" s="183" t="s">
        <v>240</v>
      </c>
      <c r="C252" s="183" t="s">
        <v>240</v>
      </c>
      <c r="D252" s="184" t="s">
        <v>1139</v>
      </c>
      <c r="E252" s="183" t="s">
        <v>696</v>
      </c>
      <c r="F252" s="183" t="s">
        <v>697</v>
      </c>
      <c r="G252" s="183" t="s">
        <v>698</v>
      </c>
      <c r="H252" s="183" t="s">
        <v>1</v>
      </c>
      <c r="I252" s="183" t="s">
        <v>1155</v>
      </c>
      <c r="J252" s="188">
        <v>46276</v>
      </c>
      <c r="K252" s="183" t="s">
        <v>1529</v>
      </c>
      <c r="L252" s="183" t="s">
        <v>259</v>
      </c>
      <c r="M252" s="183"/>
      <c r="N252" s="185">
        <v>20</v>
      </c>
      <c r="O252" s="186">
        <v>30</v>
      </c>
      <c r="P252" s="185">
        <v>0</v>
      </c>
      <c r="Q252" s="185">
        <v>30</v>
      </c>
      <c r="R252" s="183" t="s">
        <v>702</v>
      </c>
      <c r="S252" s="185">
        <v>1800</v>
      </c>
      <c r="T252" s="189">
        <f t="shared" si="3"/>
        <v>30</v>
      </c>
      <c r="U252" s="183" t="s">
        <v>703</v>
      </c>
      <c r="V252" s="183" t="s">
        <v>704</v>
      </c>
      <c r="W252" s="183" t="s">
        <v>1517</v>
      </c>
      <c r="X252" s="183" t="s">
        <v>1518</v>
      </c>
      <c r="Y252" s="183"/>
      <c r="Z252" s="183"/>
      <c r="AA252" s="183"/>
      <c r="AB252" s="183"/>
      <c r="AC252" s="183"/>
      <c r="AD252" s="183"/>
      <c r="AE252" s="183"/>
    </row>
    <row r="253" spans="1:31" ht="27.6" hidden="1">
      <c r="A253" s="183" t="s">
        <v>694</v>
      </c>
      <c r="B253" s="183" t="s">
        <v>240</v>
      </c>
      <c r="C253" s="183" t="s">
        <v>240</v>
      </c>
      <c r="D253" s="184" t="s">
        <v>1139</v>
      </c>
      <c r="E253" s="183" t="s">
        <v>696</v>
      </c>
      <c r="F253" s="183" t="s">
        <v>697</v>
      </c>
      <c r="G253" s="183" t="s">
        <v>698</v>
      </c>
      <c r="H253" s="183" t="s">
        <v>1</v>
      </c>
      <c r="I253" s="183" t="s">
        <v>1155</v>
      </c>
      <c r="J253" s="188">
        <v>46276</v>
      </c>
      <c r="K253" s="183" t="s">
        <v>1529</v>
      </c>
      <c r="L253" s="183" t="s">
        <v>259</v>
      </c>
      <c r="M253" s="183"/>
      <c r="N253" s="185">
        <v>20</v>
      </c>
      <c r="O253" s="186">
        <v>45</v>
      </c>
      <c r="P253" s="185">
        <v>28</v>
      </c>
      <c r="Q253" s="185">
        <v>46</v>
      </c>
      <c r="R253" s="183" t="s">
        <v>702</v>
      </c>
      <c r="S253" s="185">
        <v>2728</v>
      </c>
      <c r="T253" s="189">
        <f t="shared" si="3"/>
        <v>45.466666666666669</v>
      </c>
      <c r="U253" s="183" t="s">
        <v>703</v>
      </c>
      <c r="V253" s="183" t="s">
        <v>704</v>
      </c>
      <c r="W253" s="183" t="s">
        <v>1142</v>
      </c>
      <c r="X253" s="183" t="s">
        <v>1143</v>
      </c>
      <c r="Y253" s="183"/>
      <c r="Z253" s="183"/>
      <c r="AA253" s="183"/>
      <c r="AB253" s="183"/>
      <c r="AC253" s="183"/>
      <c r="AD253" s="183"/>
      <c r="AE253" s="183"/>
    </row>
    <row r="254" spans="1:31" ht="41.45" hidden="1">
      <c r="A254" s="183" t="s">
        <v>694</v>
      </c>
      <c r="B254" s="183" t="s">
        <v>240</v>
      </c>
      <c r="C254" s="183" t="s">
        <v>240</v>
      </c>
      <c r="D254" s="184" t="s">
        <v>1530</v>
      </c>
      <c r="E254" s="183" t="s">
        <v>696</v>
      </c>
      <c r="F254" s="183" t="s">
        <v>697</v>
      </c>
      <c r="G254" s="183" t="s">
        <v>698</v>
      </c>
      <c r="H254" s="183" t="s">
        <v>1</v>
      </c>
      <c r="I254" s="183" t="s">
        <v>1124</v>
      </c>
      <c r="J254" s="188">
        <v>46282</v>
      </c>
      <c r="K254" s="183" t="s">
        <v>1531</v>
      </c>
      <c r="L254" s="183" t="s">
        <v>260</v>
      </c>
      <c r="M254" s="183"/>
      <c r="N254" s="185">
        <v>14</v>
      </c>
      <c r="O254" s="186">
        <v>212</v>
      </c>
      <c r="P254" s="185">
        <v>6</v>
      </c>
      <c r="Q254" s="185">
        <v>212</v>
      </c>
      <c r="R254" s="183" t="s">
        <v>702</v>
      </c>
      <c r="S254" s="185">
        <v>12726</v>
      </c>
      <c r="T254" s="189">
        <f t="shared" si="3"/>
        <v>212.1</v>
      </c>
      <c r="U254" s="183" t="s">
        <v>703</v>
      </c>
      <c r="V254" s="183" t="s">
        <v>704</v>
      </c>
      <c r="W254" s="183" t="s">
        <v>1142</v>
      </c>
      <c r="X254" s="183" t="s">
        <v>1143</v>
      </c>
      <c r="Y254" s="183"/>
      <c r="Z254" s="183"/>
      <c r="AA254" s="183"/>
      <c r="AB254" s="183"/>
      <c r="AC254" s="183"/>
      <c r="AD254" s="183"/>
      <c r="AE254" s="183"/>
    </row>
    <row r="255" spans="1:31" ht="41.45" hidden="1">
      <c r="A255" s="183" t="s">
        <v>694</v>
      </c>
      <c r="B255" s="183" t="s">
        <v>240</v>
      </c>
      <c r="C255" s="183" t="s">
        <v>240</v>
      </c>
      <c r="D255" s="184" t="s">
        <v>1530</v>
      </c>
      <c r="E255" s="183" t="s">
        <v>696</v>
      </c>
      <c r="F255" s="183" t="s">
        <v>697</v>
      </c>
      <c r="G255" s="183" t="s">
        <v>698</v>
      </c>
      <c r="H255" s="183" t="s">
        <v>1</v>
      </c>
      <c r="I255" s="183" t="s">
        <v>1532</v>
      </c>
      <c r="J255" s="188">
        <v>46287</v>
      </c>
      <c r="K255" s="183" t="s">
        <v>1533</v>
      </c>
      <c r="L255" s="183" t="s">
        <v>261</v>
      </c>
      <c r="M255" s="183"/>
      <c r="N255" s="185">
        <v>9</v>
      </c>
      <c r="O255" s="186">
        <v>101</v>
      </c>
      <c r="P255" s="185">
        <v>7</v>
      </c>
      <c r="Q255" s="185">
        <v>101</v>
      </c>
      <c r="R255" s="183" t="s">
        <v>702</v>
      </c>
      <c r="S255" s="185">
        <v>6067</v>
      </c>
      <c r="T255" s="189">
        <f t="shared" si="3"/>
        <v>101.11666666666666</v>
      </c>
      <c r="U255" s="183" t="s">
        <v>703</v>
      </c>
      <c r="V255" s="183" t="s">
        <v>704</v>
      </c>
      <c r="W255" s="183" t="s">
        <v>1142</v>
      </c>
      <c r="X255" s="183" t="s">
        <v>1143</v>
      </c>
      <c r="Y255" s="183"/>
      <c r="Z255" s="183"/>
      <c r="AA255" s="183"/>
      <c r="AB255" s="183"/>
      <c r="AC255" s="183"/>
      <c r="AD255" s="183"/>
      <c r="AE255" s="183"/>
    </row>
    <row r="256" spans="1:31" ht="41.45" hidden="1">
      <c r="A256" s="183" t="s">
        <v>694</v>
      </c>
      <c r="B256" s="183" t="s">
        <v>240</v>
      </c>
      <c r="C256" s="183" t="s">
        <v>240</v>
      </c>
      <c r="D256" s="184" t="s">
        <v>1530</v>
      </c>
      <c r="E256" s="183" t="s">
        <v>696</v>
      </c>
      <c r="F256" s="183" t="s">
        <v>697</v>
      </c>
      <c r="G256" s="183" t="s">
        <v>698</v>
      </c>
      <c r="H256" s="183" t="s">
        <v>1</v>
      </c>
      <c r="I256" s="183" t="s">
        <v>1507</v>
      </c>
      <c r="J256" s="188">
        <v>46282</v>
      </c>
      <c r="K256" s="183" t="s">
        <v>1534</v>
      </c>
      <c r="L256" s="183" t="s">
        <v>262</v>
      </c>
      <c r="M256" s="183"/>
      <c r="N256" s="185">
        <v>14</v>
      </c>
      <c r="O256" s="186">
        <v>178</v>
      </c>
      <c r="P256" s="185">
        <v>10</v>
      </c>
      <c r="Q256" s="185">
        <v>179</v>
      </c>
      <c r="R256" s="183" t="s">
        <v>702</v>
      </c>
      <c r="S256" s="185">
        <v>10690</v>
      </c>
      <c r="T256" s="189">
        <f t="shared" si="3"/>
        <v>178.16666666666666</v>
      </c>
      <c r="U256" s="183" t="s">
        <v>703</v>
      </c>
      <c r="V256" s="183" t="s">
        <v>704</v>
      </c>
      <c r="W256" s="183" t="s">
        <v>1142</v>
      </c>
      <c r="X256" s="183" t="s">
        <v>1143</v>
      </c>
      <c r="Y256" s="183"/>
      <c r="Z256" s="183"/>
      <c r="AA256" s="183"/>
      <c r="AB256" s="183"/>
      <c r="AC256" s="183"/>
      <c r="AD256" s="183"/>
      <c r="AE256" s="183"/>
    </row>
    <row r="257" spans="1:31" ht="41.45" hidden="1">
      <c r="A257" s="183" t="s">
        <v>694</v>
      </c>
      <c r="B257" s="183" t="s">
        <v>240</v>
      </c>
      <c r="C257" s="183" t="s">
        <v>240</v>
      </c>
      <c r="D257" s="184" t="s">
        <v>1530</v>
      </c>
      <c r="E257" s="183" t="s">
        <v>696</v>
      </c>
      <c r="F257" s="183" t="s">
        <v>697</v>
      </c>
      <c r="G257" s="183" t="s">
        <v>698</v>
      </c>
      <c r="H257" s="183" t="s">
        <v>1</v>
      </c>
      <c r="I257" s="183" t="s">
        <v>1535</v>
      </c>
      <c r="J257" s="188">
        <v>46289</v>
      </c>
      <c r="K257" s="183" t="s">
        <v>1536</v>
      </c>
      <c r="L257" s="183" t="s">
        <v>263</v>
      </c>
      <c r="M257" s="183"/>
      <c r="N257" s="185">
        <v>7</v>
      </c>
      <c r="O257" s="186">
        <v>165</v>
      </c>
      <c r="P257" s="185">
        <v>55</v>
      </c>
      <c r="Q257" s="185">
        <v>166</v>
      </c>
      <c r="R257" s="183" t="s">
        <v>702</v>
      </c>
      <c r="S257" s="185">
        <v>9955</v>
      </c>
      <c r="T257" s="189">
        <f t="shared" si="3"/>
        <v>165.91666666666666</v>
      </c>
      <c r="U257" s="183" t="s">
        <v>703</v>
      </c>
      <c r="V257" s="183" t="s">
        <v>526</v>
      </c>
      <c r="W257" s="183"/>
      <c r="X257" s="183"/>
      <c r="Y257" s="183"/>
      <c r="Z257" s="183"/>
      <c r="AA257" s="183"/>
      <c r="AB257" s="183"/>
      <c r="AC257" s="183"/>
      <c r="AD257" s="183"/>
      <c r="AE257" s="183"/>
    </row>
    <row r="258" spans="1:31" ht="27.6" hidden="1">
      <c r="A258" s="183" t="s">
        <v>694</v>
      </c>
      <c r="B258" s="183" t="s">
        <v>240</v>
      </c>
      <c r="C258" s="183" t="s">
        <v>240</v>
      </c>
      <c r="D258" s="184" t="s">
        <v>1217</v>
      </c>
      <c r="E258" s="183" t="s">
        <v>696</v>
      </c>
      <c r="F258" s="183" t="s">
        <v>697</v>
      </c>
      <c r="G258" s="183" t="s">
        <v>698</v>
      </c>
      <c r="H258" s="183" t="s">
        <v>1</v>
      </c>
      <c r="I258" s="183" t="s">
        <v>1537</v>
      </c>
      <c r="J258" s="188">
        <v>46267</v>
      </c>
      <c r="K258" s="183" t="s">
        <v>1538</v>
      </c>
      <c r="L258" s="183" t="s">
        <v>264</v>
      </c>
      <c r="M258" s="183"/>
      <c r="N258" s="185">
        <v>29</v>
      </c>
      <c r="O258" s="186">
        <v>107</v>
      </c>
      <c r="P258" s="185">
        <v>18</v>
      </c>
      <c r="Q258" s="185">
        <v>108</v>
      </c>
      <c r="R258" s="183" t="s">
        <v>702</v>
      </c>
      <c r="S258" s="185">
        <v>6438</v>
      </c>
      <c r="T258" s="189">
        <f t="shared" si="3"/>
        <v>107.3</v>
      </c>
      <c r="U258" s="183" t="s">
        <v>703</v>
      </c>
      <c r="V258" s="183" t="s">
        <v>704</v>
      </c>
      <c r="W258" s="183" t="s">
        <v>1175</v>
      </c>
      <c r="X258" s="183" t="s">
        <v>1176</v>
      </c>
      <c r="Y258" s="183"/>
      <c r="Z258" s="183"/>
      <c r="AA258" s="183"/>
      <c r="AB258" s="183" t="s">
        <v>765</v>
      </c>
      <c r="AC258" s="183"/>
      <c r="AD258" s="183"/>
      <c r="AE258" s="183"/>
    </row>
    <row r="259" spans="1:31" ht="27.6" hidden="1">
      <c r="A259" s="183" t="s">
        <v>694</v>
      </c>
      <c r="B259" s="183" t="s">
        <v>240</v>
      </c>
      <c r="C259" s="183" t="s">
        <v>240</v>
      </c>
      <c r="D259" s="184" t="s">
        <v>1217</v>
      </c>
      <c r="E259" s="183" t="s">
        <v>696</v>
      </c>
      <c r="F259" s="183" t="s">
        <v>697</v>
      </c>
      <c r="G259" s="183" t="s">
        <v>698</v>
      </c>
      <c r="H259" s="183" t="s">
        <v>1</v>
      </c>
      <c r="I259" s="183" t="s">
        <v>1539</v>
      </c>
      <c r="J259" s="188">
        <v>46280</v>
      </c>
      <c r="K259" s="183" t="s">
        <v>1540</v>
      </c>
      <c r="L259" s="183" t="s">
        <v>265</v>
      </c>
      <c r="M259" s="183"/>
      <c r="N259" s="185">
        <v>16</v>
      </c>
      <c r="O259" s="186">
        <v>143</v>
      </c>
      <c r="P259" s="185">
        <v>55</v>
      </c>
      <c r="Q259" s="185">
        <v>144</v>
      </c>
      <c r="R259" s="183" t="s">
        <v>702</v>
      </c>
      <c r="S259" s="185">
        <v>8635</v>
      </c>
      <c r="T259" s="189">
        <f t="shared" ref="T259:T322" si="4">S259/60</f>
        <v>143.91666666666666</v>
      </c>
      <c r="U259" s="183" t="s">
        <v>703</v>
      </c>
      <c r="V259" s="183" t="s">
        <v>526</v>
      </c>
      <c r="W259" s="183"/>
      <c r="X259" s="183"/>
      <c r="Y259" s="183"/>
      <c r="Z259" s="183"/>
      <c r="AA259" s="183"/>
      <c r="AB259" s="183" t="s">
        <v>708</v>
      </c>
      <c r="AC259" s="183"/>
      <c r="AD259" s="183"/>
      <c r="AE259" s="183"/>
    </row>
    <row r="260" spans="1:31" ht="27.6" hidden="1">
      <c r="A260" s="183" t="s">
        <v>694</v>
      </c>
      <c r="B260" s="183" t="s">
        <v>240</v>
      </c>
      <c r="C260" s="183" t="s">
        <v>240</v>
      </c>
      <c r="D260" s="184" t="s">
        <v>1217</v>
      </c>
      <c r="E260" s="183" t="s">
        <v>696</v>
      </c>
      <c r="F260" s="183" t="s">
        <v>697</v>
      </c>
      <c r="G260" s="183" t="s">
        <v>698</v>
      </c>
      <c r="H260" s="183" t="s">
        <v>1</v>
      </c>
      <c r="I260" s="183" t="s">
        <v>1541</v>
      </c>
      <c r="J260" s="188">
        <v>46295</v>
      </c>
      <c r="K260" s="183" t="s">
        <v>1542</v>
      </c>
      <c r="L260" s="183" t="s">
        <v>266</v>
      </c>
      <c r="M260" s="183"/>
      <c r="N260" s="185">
        <v>1</v>
      </c>
      <c r="O260" s="186">
        <v>107</v>
      </c>
      <c r="P260" s="185">
        <v>38</v>
      </c>
      <c r="Q260" s="185">
        <v>108</v>
      </c>
      <c r="R260" s="183" t="s">
        <v>702</v>
      </c>
      <c r="S260" s="185">
        <v>6458</v>
      </c>
      <c r="T260" s="189">
        <f t="shared" si="4"/>
        <v>107.63333333333334</v>
      </c>
      <c r="U260" s="183" t="s">
        <v>703</v>
      </c>
      <c r="V260" s="183" t="s">
        <v>526</v>
      </c>
      <c r="W260" s="183"/>
      <c r="X260" s="183"/>
      <c r="Y260" s="183"/>
      <c r="Z260" s="183"/>
      <c r="AA260" s="183"/>
      <c r="AB260" s="183" t="s">
        <v>1543</v>
      </c>
      <c r="AC260" s="183"/>
      <c r="AD260" s="183"/>
      <c r="AE260" s="183"/>
    </row>
    <row r="261" spans="1:31" ht="27.6" hidden="1">
      <c r="A261" s="183" t="s">
        <v>694</v>
      </c>
      <c r="B261" s="183" t="s">
        <v>240</v>
      </c>
      <c r="C261" s="183" t="s">
        <v>240</v>
      </c>
      <c r="D261" s="184" t="s">
        <v>1217</v>
      </c>
      <c r="E261" s="183" t="s">
        <v>696</v>
      </c>
      <c r="F261" s="183" t="s">
        <v>697</v>
      </c>
      <c r="G261" s="183" t="s">
        <v>698</v>
      </c>
      <c r="H261" s="183" t="s">
        <v>1</v>
      </c>
      <c r="I261" s="183" t="s">
        <v>1492</v>
      </c>
      <c r="J261" s="188">
        <v>46265</v>
      </c>
      <c r="K261" s="183" t="s">
        <v>1544</v>
      </c>
      <c r="L261" s="183" t="s">
        <v>267</v>
      </c>
      <c r="M261" s="183"/>
      <c r="N261" s="185">
        <v>31</v>
      </c>
      <c r="O261" s="186">
        <v>73</v>
      </c>
      <c r="P261" s="185">
        <v>33</v>
      </c>
      <c r="Q261" s="185">
        <v>74</v>
      </c>
      <c r="R261" s="183" t="s">
        <v>702</v>
      </c>
      <c r="S261" s="185">
        <v>4413</v>
      </c>
      <c r="T261" s="189">
        <f t="shared" si="4"/>
        <v>73.55</v>
      </c>
      <c r="U261" s="183" t="s">
        <v>703</v>
      </c>
      <c r="V261" s="183" t="s">
        <v>704</v>
      </c>
      <c r="W261" s="183" t="s">
        <v>1131</v>
      </c>
      <c r="X261" s="183" t="s">
        <v>1132</v>
      </c>
      <c r="Y261" s="183"/>
      <c r="Z261" s="183"/>
      <c r="AA261" s="183"/>
      <c r="AB261" s="183" t="s">
        <v>765</v>
      </c>
      <c r="AC261" s="183"/>
      <c r="AD261" s="183"/>
      <c r="AE261" s="183"/>
    </row>
    <row r="262" spans="1:31" ht="27.6" hidden="1">
      <c r="A262" s="183" t="s">
        <v>694</v>
      </c>
      <c r="B262" s="183" t="s">
        <v>240</v>
      </c>
      <c r="C262" s="183" t="s">
        <v>240</v>
      </c>
      <c r="D262" s="184" t="s">
        <v>1217</v>
      </c>
      <c r="E262" s="183" t="s">
        <v>696</v>
      </c>
      <c r="F262" s="183" t="s">
        <v>697</v>
      </c>
      <c r="G262" s="183" t="s">
        <v>698</v>
      </c>
      <c r="H262" s="183" t="s">
        <v>1</v>
      </c>
      <c r="I262" s="183" t="s">
        <v>1147</v>
      </c>
      <c r="J262" s="188">
        <v>46272</v>
      </c>
      <c r="K262" s="183" t="s">
        <v>1545</v>
      </c>
      <c r="L262" s="183" t="s">
        <v>268</v>
      </c>
      <c r="M262" s="183"/>
      <c r="N262" s="185">
        <v>24</v>
      </c>
      <c r="O262" s="186">
        <v>96</v>
      </c>
      <c r="P262" s="185">
        <v>35</v>
      </c>
      <c r="Q262" s="185">
        <v>97</v>
      </c>
      <c r="R262" s="183" t="s">
        <v>702</v>
      </c>
      <c r="S262" s="185">
        <v>5795</v>
      </c>
      <c r="T262" s="189">
        <f t="shared" si="4"/>
        <v>96.583333333333329</v>
      </c>
      <c r="U262" s="183" t="s">
        <v>703</v>
      </c>
      <c r="V262" s="183" t="s">
        <v>704</v>
      </c>
      <c r="W262" s="183" t="s">
        <v>1131</v>
      </c>
      <c r="X262" s="183" t="s">
        <v>1132</v>
      </c>
      <c r="Y262" s="183"/>
      <c r="Z262" s="183"/>
      <c r="AA262" s="183"/>
      <c r="AB262" s="183"/>
      <c r="AC262" s="183"/>
      <c r="AD262" s="183"/>
      <c r="AE262" s="183"/>
    </row>
    <row r="263" spans="1:31" ht="27.6" hidden="1">
      <c r="A263" s="183" t="s">
        <v>694</v>
      </c>
      <c r="B263" s="183" t="s">
        <v>240</v>
      </c>
      <c r="C263" s="183" t="s">
        <v>240</v>
      </c>
      <c r="D263" s="184" t="s">
        <v>1217</v>
      </c>
      <c r="E263" s="183" t="s">
        <v>696</v>
      </c>
      <c r="F263" s="183" t="s">
        <v>697</v>
      </c>
      <c r="G263" s="183" t="s">
        <v>698</v>
      </c>
      <c r="H263" s="183" t="s">
        <v>1</v>
      </c>
      <c r="I263" s="183" t="s">
        <v>1546</v>
      </c>
      <c r="J263" s="188">
        <v>46247</v>
      </c>
      <c r="K263" s="183" t="s">
        <v>1547</v>
      </c>
      <c r="L263" s="183" t="s">
        <v>269</v>
      </c>
      <c r="M263" s="183"/>
      <c r="N263" s="185">
        <v>49</v>
      </c>
      <c r="O263" s="186">
        <v>267</v>
      </c>
      <c r="P263" s="185">
        <v>18</v>
      </c>
      <c r="Q263" s="185">
        <v>268</v>
      </c>
      <c r="R263" s="183" t="s">
        <v>702</v>
      </c>
      <c r="S263" s="185">
        <v>16038</v>
      </c>
      <c r="T263" s="189">
        <f t="shared" si="4"/>
        <v>267.3</v>
      </c>
      <c r="U263" s="183" t="s">
        <v>703</v>
      </c>
      <c r="V263" s="183" t="s">
        <v>704</v>
      </c>
      <c r="W263" s="183" t="s">
        <v>1175</v>
      </c>
      <c r="X263" s="183" t="s">
        <v>1176</v>
      </c>
      <c r="Y263" s="183"/>
      <c r="Z263" s="183"/>
      <c r="AA263" s="183"/>
      <c r="AB263" s="183"/>
      <c r="AC263" s="183"/>
      <c r="AD263" s="183"/>
      <c r="AE263" s="183"/>
    </row>
    <row r="264" spans="1:31" ht="27.6" hidden="1">
      <c r="A264" s="183" t="s">
        <v>694</v>
      </c>
      <c r="B264" s="183" t="s">
        <v>240</v>
      </c>
      <c r="C264" s="183" t="s">
        <v>240</v>
      </c>
      <c r="D264" s="184" t="s">
        <v>1217</v>
      </c>
      <c r="E264" s="183" t="s">
        <v>696</v>
      </c>
      <c r="F264" s="183" t="s">
        <v>697</v>
      </c>
      <c r="G264" s="183" t="s">
        <v>698</v>
      </c>
      <c r="H264" s="183" t="s">
        <v>1</v>
      </c>
      <c r="I264" s="183" t="s">
        <v>1548</v>
      </c>
      <c r="J264" s="188">
        <v>46295</v>
      </c>
      <c r="K264" s="183" t="s">
        <v>1549</v>
      </c>
      <c r="L264" s="183" t="s">
        <v>270</v>
      </c>
      <c r="M264" s="183"/>
      <c r="N264" s="185">
        <v>1</v>
      </c>
      <c r="O264" s="186">
        <v>42</v>
      </c>
      <c r="P264" s="185">
        <v>20</v>
      </c>
      <c r="Q264" s="185">
        <v>43</v>
      </c>
      <c r="R264" s="183" t="s">
        <v>702</v>
      </c>
      <c r="S264" s="185">
        <v>2540</v>
      </c>
      <c r="T264" s="189">
        <f t="shared" si="4"/>
        <v>42.333333333333336</v>
      </c>
      <c r="U264" s="183" t="s">
        <v>703</v>
      </c>
      <c r="V264" s="183" t="s">
        <v>526</v>
      </c>
      <c r="W264" s="183"/>
      <c r="X264" s="183"/>
      <c r="Y264" s="183"/>
      <c r="Z264" s="183"/>
      <c r="AA264" s="183"/>
      <c r="AB264" s="183" t="s">
        <v>1080</v>
      </c>
      <c r="AC264" s="183"/>
      <c r="AD264" s="183"/>
      <c r="AE264" s="183"/>
    </row>
    <row r="265" spans="1:31" ht="27.6" hidden="1">
      <c r="A265" s="183" t="s">
        <v>694</v>
      </c>
      <c r="B265" s="183" t="s">
        <v>240</v>
      </c>
      <c r="C265" s="183" t="s">
        <v>240</v>
      </c>
      <c r="D265" s="184" t="s">
        <v>1217</v>
      </c>
      <c r="E265" s="183" t="s">
        <v>696</v>
      </c>
      <c r="F265" s="183" t="s">
        <v>697</v>
      </c>
      <c r="G265" s="183" t="s">
        <v>698</v>
      </c>
      <c r="H265" s="183" t="s">
        <v>1</v>
      </c>
      <c r="I265" s="183" t="s">
        <v>1129</v>
      </c>
      <c r="J265" s="188">
        <v>46286</v>
      </c>
      <c r="K265" s="183" t="s">
        <v>1550</v>
      </c>
      <c r="L265" s="183" t="s">
        <v>271</v>
      </c>
      <c r="M265" s="183"/>
      <c r="N265" s="185">
        <v>10</v>
      </c>
      <c r="O265" s="186">
        <v>326</v>
      </c>
      <c r="P265" s="185">
        <v>20</v>
      </c>
      <c r="Q265" s="185">
        <v>327</v>
      </c>
      <c r="R265" s="183" t="s">
        <v>702</v>
      </c>
      <c r="S265" s="185">
        <v>19580</v>
      </c>
      <c r="T265" s="189">
        <f t="shared" si="4"/>
        <v>326.33333333333331</v>
      </c>
      <c r="U265" s="183" t="s">
        <v>703</v>
      </c>
      <c r="V265" s="183" t="s">
        <v>526</v>
      </c>
      <c r="W265" s="183"/>
      <c r="X265" s="183"/>
      <c r="Y265" s="183"/>
      <c r="Z265" s="183"/>
      <c r="AA265" s="183"/>
      <c r="AB265" s="183"/>
      <c r="AC265" s="183"/>
      <c r="AD265" s="183"/>
      <c r="AE265" s="183"/>
    </row>
    <row r="266" spans="1:31" ht="27.6" hidden="1">
      <c r="A266" s="183" t="s">
        <v>694</v>
      </c>
      <c r="B266" s="183" t="s">
        <v>240</v>
      </c>
      <c r="C266" s="183" t="s">
        <v>240</v>
      </c>
      <c r="D266" s="184" t="s">
        <v>1217</v>
      </c>
      <c r="E266" s="183" t="s">
        <v>696</v>
      </c>
      <c r="F266" s="183" t="s">
        <v>697</v>
      </c>
      <c r="G266" s="183" t="s">
        <v>698</v>
      </c>
      <c r="H266" s="183" t="s">
        <v>1</v>
      </c>
      <c r="I266" s="183" t="s">
        <v>1551</v>
      </c>
      <c r="J266" s="188">
        <v>46265</v>
      </c>
      <c r="K266" s="183" t="s">
        <v>1552</v>
      </c>
      <c r="L266" s="183" t="s">
        <v>272</v>
      </c>
      <c r="M266" s="183"/>
      <c r="N266" s="185">
        <v>31</v>
      </c>
      <c r="O266" s="186">
        <v>60</v>
      </c>
      <c r="P266" s="185">
        <v>36</v>
      </c>
      <c r="Q266" s="185">
        <v>61</v>
      </c>
      <c r="R266" s="183" t="s">
        <v>702</v>
      </c>
      <c r="S266" s="185">
        <v>3636</v>
      </c>
      <c r="T266" s="189">
        <f t="shared" si="4"/>
        <v>60.6</v>
      </c>
      <c r="U266" s="183" t="s">
        <v>703</v>
      </c>
      <c r="V266" s="183" t="s">
        <v>704</v>
      </c>
      <c r="W266" s="183" t="s">
        <v>1131</v>
      </c>
      <c r="X266" s="183" t="s">
        <v>1132</v>
      </c>
      <c r="Y266" s="183"/>
      <c r="Z266" s="183"/>
      <c r="AA266" s="183"/>
      <c r="AB266" s="183" t="s">
        <v>1543</v>
      </c>
      <c r="AC266" s="183"/>
      <c r="AD266" s="183"/>
      <c r="AE266" s="183"/>
    </row>
    <row r="267" spans="1:31" ht="27.6" hidden="1">
      <c r="A267" s="183" t="s">
        <v>694</v>
      </c>
      <c r="B267" s="183" t="s">
        <v>240</v>
      </c>
      <c r="C267" s="183" t="s">
        <v>240</v>
      </c>
      <c r="D267" s="184" t="s">
        <v>1217</v>
      </c>
      <c r="E267" s="183" t="s">
        <v>696</v>
      </c>
      <c r="F267" s="183" t="s">
        <v>697</v>
      </c>
      <c r="G267" s="183" t="s">
        <v>698</v>
      </c>
      <c r="H267" s="183" t="s">
        <v>1</v>
      </c>
      <c r="I267" s="183" t="s">
        <v>1502</v>
      </c>
      <c r="J267" s="188">
        <v>46258</v>
      </c>
      <c r="K267" s="183" t="s">
        <v>1553</v>
      </c>
      <c r="L267" s="183" t="s">
        <v>273</v>
      </c>
      <c r="M267" s="183"/>
      <c r="N267" s="185">
        <v>38</v>
      </c>
      <c r="O267" s="186">
        <v>35</v>
      </c>
      <c r="P267" s="185">
        <v>37</v>
      </c>
      <c r="Q267" s="185">
        <v>36</v>
      </c>
      <c r="R267" s="183" t="s">
        <v>702</v>
      </c>
      <c r="S267" s="185">
        <v>2137</v>
      </c>
      <c r="T267" s="189">
        <f t="shared" si="4"/>
        <v>35.616666666666667</v>
      </c>
      <c r="U267" s="183" t="s">
        <v>703</v>
      </c>
      <c r="V267" s="183" t="s">
        <v>704</v>
      </c>
      <c r="W267" s="183" t="s">
        <v>1175</v>
      </c>
      <c r="X267" s="183" t="s">
        <v>1176</v>
      </c>
      <c r="Y267" s="183"/>
      <c r="Z267" s="183"/>
      <c r="AA267" s="183"/>
      <c r="AB267" s="183"/>
      <c r="AC267" s="183"/>
      <c r="AD267" s="183"/>
      <c r="AE267" s="183"/>
    </row>
    <row r="268" spans="1:31" ht="27.6" hidden="1">
      <c r="A268" s="183" t="s">
        <v>694</v>
      </c>
      <c r="B268" s="183" t="s">
        <v>240</v>
      </c>
      <c r="C268" s="183" t="s">
        <v>240</v>
      </c>
      <c r="D268" s="184" t="s">
        <v>1217</v>
      </c>
      <c r="E268" s="183" t="s">
        <v>696</v>
      </c>
      <c r="F268" s="183" t="s">
        <v>697</v>
      </c>
      <c r="G268" s="183" t="s">
        <v>698</v>
      </c>
      <c r="H268" s="183" t="s">
        <v>1</v>
      </c>
      <c r="I268" s="183" t="s">
        <v>1502</v>
      </c>
      <c r="J268" s="188">
        <v>46267</v>
      </c>
      <c r="K268" s="183" t="s">
        <v>1554</v>
      </c>
      <c r="L268" s="183" t="s">
        <v>274</v>
      </c>
      <c r="M268" s="183"/>
      <c r="N268" s="185">
        <v>29</v>
      </c>
      <c r="O268" s="186">
        <v>69</v>
      </c>
      <c r="P268" s="185">
        <v>52</v>
      </c>
      <c r="Q268" s="185">
        <v>70</v>
      </c>
      <c r="R268" s="183" t="s">
        <v>702</v>
      </c>
      <c r="S268" s="185">
        <v>4192</v>
      </c>
      <c r="T268" s="189">
        <f t="shared" si="4"/>
        <v>69.86666666666666</v>
      </c>
      <c r="U268" s="183" t="s">
        <v>703</v>
      </c>
      <c r="V268" s="183" t="s">
        <v>704</v>
      </c>
      <c r="W268" s="183" t="s">
        <v>1175</v>
      </c>
      <c r="X268" s="183" t="s">
        <v>1176</v>
      </c>
      <c r="Y268" s="183"/>
      <c r="Z268" s="183"/>
      <c r="AA268" s="183"/>
      <c r="AB268" s="183" t="s">
        <v>1555</v>
      </c>
      <c r="AC268" s="183"/>
      <c r="AD268" s="183"/>
      <c r="AE268" s="183"/>
    </row>
    <row r="269" spans="1:31" ht="27.6" hidden="1">
      <c r="A269" s="183" t="s">
        <v>694</v>
      </c>
      <c r="B269" s="183" t="s">
        <v>240</v>
      </c>
      <c r="C269" s="183" t="s">
        <v>240</v>
      </c>
      <c r="D269" s="184" t="s">
        <v>1217</v>
      </c>
      <c r="E269" s="183" t="s">
        <v>696</v>
      </c>
      <c r="F269" s="183" t="s">
        <v>697</v>
      </c>
      <c r="G269" s="183" t="s">
        <v>698</v>
      </c>
      <c r="H269" s="183" t="s">
        <v>1</v>
      </c>
      <c r="I269" s="183" t="s">
        <v>1507</v>
      </c>
      <c r="J269" s="188">
        <v>46269</v>
      </c>
      <c r="K269" s="183" t="s">
        <v>1556</v>
      </c>
      <c r="L269" s="183" t="s">
        <v>275</v>
      </c>
      <c r="M269" s="183"/>
      <c r="N269" s="185">
        <v>27</v>
      </c>
      <c r="O269" s="186">
        <v>91</v>
      </c>
      <c r="P269" s="185">
        <v>11</v>
      </c>
      <c r="Q269" s="185">
        <v>92</v>
      </c>
      <c r="R269" s="183" t="s">
        <v>702</v>
      </c>
      <c r="S269" s="185">
        <v>5471</v>
      </c>
      <c r="T269" s="189">
        <f t="shared" si="4"/>
        <v>91.183333333333337</v>
      </c>
      <c r="U269" s="183" t="s">
        <v>703</v>
      </c>
      <c r="V269" s="183" t="s">
        <v>526</v>
      </c>
      <c r="W269" s="183"/>
      <c r="X269" s="183"/>
      <c r="Y269" s="183"/>
      <c r="Z269" s="183"/>
      <c r="AA269" s="183"/>
      <c r="AB269" s="183"/>
      <c r="AC269" s="183"/>
      <c r="AD269" s="183"/>
      <c r="AE269" s="183"/>
    </row>
    <row r="270" spans="1:31" ht="27.6" hidden="1">
      <c r="A270" s="183" t="s">
        <v>694</v>
      </c>
      <c r="B270" s="183" t="s">
        <v>240</v>
      </c>
      <c r="C270" s="183" t="s">
        <v>240</v>
      </c>
      <c r="D270" s="184" t="s">
        <v>1126</v>
      </c>
      <c r="E270" s="183" t="s">
        <v>696</v>
      </c>
      <c r="F270" s="183" t="s">
        <v>697</v>
      </c>
      <c r="G270" s="183" t="s">
        <v>698</v>
      </c>
      <c r="H270" s="183" t="s">
        <v>1</v>
      </c>
      <c r="I270" s="183" t="s">
        <v>1499</v>
      </c>
      <c r="J270" s="188">
        <v>46286</v>
      </c>
      <c r="K270" s="183" t="s">
        <v>1557</v>
      </c>
      <c r="L270" s="183" t="s">
        <v>276</v>
      </c>
      <c r="M270" s="183"/>
      <c r="N270" s="185">
        <v>10</v>
      </c>
      <c r="O270" s="186">
        <v>239</v>
      </c>
      <c r="P270" s="185">
        <v>4</v>
      </c>
      <c r="Q270" s="185">
        <v>239</v>
      </c>
      <c r="R270" s="183" t="s">
        <v>702</v>
      </c>
      <c r="S270" s="185">
        <v>14344</v>
      </c>
      <c r="T270" s="189">
        <f t="shared" si="4"/>
        <v>239.06666666666666</v>
      </c>
      <c r="U270" s="183" t="s">
        <v>703</v>
      </c>
      <c r="V270" s="183" t="s">
        <v>704</v>
      </c>
      <c r="W270" s="183" t="s">
        <v>1175</v>
      </c>
      <c r="X270" s="183" t="s">
        <v>1176</v>
      </c>
      <c r="Y270" s="183"/>
      <c r="Z270" s="183"/>
      <c r="AA270" s="183"/>
      <c r="AB270" s="183"/>
      <c r="AC270" s="183"/>
      <c r="AD270" s="183"/>
      <c r="AE270" s="183"/>
    </row>
    <row r="271" spans="1:31" ht="27.6" hidden="1">
      <c r="A271" s="183" t="s">
        <v>694</v>
      </c>
      <c r="B271" s="183" t="s">
        <v>240</v>
      </c>
      <c r="C271" s="183" t="s">
        <v>240</v>
      </c>
      <c r="D271" s="184" t="s">
        <v>1126</v>
      </c>
      <c r="E271" s="183" t="s">
        <v>696</v>
      </c>
      <c r="F271" s="183" t="s">
        <v>697</v>
      </c>
      <c r="G271" s="183" t="s">
        <v>698</v>
      </c>
      <c r="H271" s="183" t="s">
        <v>1</v>
      </c>
      <c r="I271" s="183" t="s">
        <v>1558</v>
      </c>
      <c r="J271" s="188">
        <v>46279</v>
      </c>
      <c r="K271" s="183" t="s">
        <v>1559</v>
      </c>
      <c r="L271" s="183" t="s">
        <v>277</v>
      </c>
      <c r="M271" s="183"/>
      <c r="N271" s="185">
        <v>17</v>
      </c>
      <c r="O271" s="186">
        <v>226</v>
      </c>
      <c r="P271" s="185">
        <v>30</v>
      </c>
      <c r="Q271" s="185">
        <v>227</v>
      </c>
      <c r="R271" s="183" t="s">
        <v>702</v>
      </c>
      <c r="S271" s="185">
        <v>13590</v>
      </c>
      <c r="T271" s="189">
        <f t="shared" si="4"/>
        <v>226.5</v>
      </c>
      <c r="U271" s="183" t="s">
        <v>703</v>
      </c>
      <c r="V271" s="183" t="s">
        <v>704</v>
      </c>
      <c r="W271" s="183" t="s">
        <v>1131</v>
      </c>
      <c r="X271" s="183" t="s">
        <v>1132</v>
      </c>
      <c r="Y271" s="183"/>
      <c r="Z271" s="183"/>
      <c r="AA271" s="183"/>
      <c r="AB271" s="183"/>
      <c r="AC271" s="183"/>
      <c r="AD271" s="183"/>
      <c r="AE271" s="183"/>
    </row>
    <row r="272" spans="1:31" ht="27.6" hidden="1">
      <c r="A272" s="183" t="s">
        <v>694</v>
      </c>
      <c r="B272" s="183" t="s">
        <v>240</v>
      </c>
      <c r="C272" s="183" t="s">
        <v>240</v>
      </c>
      <c r="D272" s="184" t="s">
        <v>1560</v>
      </c>
      <c r="E272" s="183" t="s">
        <v>696</v>
      </c>
      <c r="F272" s="183" t="s">
        <v>697</v>
      </c>
      <c r="G272" s="183" t="s">
        <v>698</v>
      </c>
      <c r="H272" s="183" t="s">
        <v>1</v>
      </c>
      <c r="I272" s="183" t="s">
        <v>1561</v>
      </c>
      <c r="J272" s="188">
        <v>46294</v>
      </c>
      <c r="K272" s="183" t="s">
        <v>1562</v>
      </c>
      <c r="L272" s="183" t="s">
        <v>278</v>
      </c>
      <c r="M272" s="183"/>
      <c r="N272" s="185">
        <v>2</v>
      </c>
      <c r="O272" s="186">
        <v>16</v>
      </c>
      <c r="P272" s="185">
        <v>23</v>
      </c>
      <c r="Q272" s="185">
        <v>17</v>
      </c>
      <c r="R272" s="183" t="s">
        <v>702</v>
      </c>
      <c r="S272" s="185">
        <v>983</v>
      </c>
      <c r="T272" s="189">
        <f t="shared" si="4"/>
        <v>16.383333333333333</v>
      </c>
      <c r="U272" s="183" t="s">
        <v>703</v>
      </c>
      <c r="V272" s="183" t="s">
        <v>704</v>
      </c>
      <c r="W272" s="183" t="s">
        <v>1563</v>
      </c>
      <c r="X272" s="183" t="s">
        <v>1564</v>
      </c>
      <c r="Y272" s="183"/>
      <c r="Z272" s="183"/>
      <c r="AA272" s="183"/>
      <c r="AB272" s="183"/>
      <c r="AC272" s="183"/>
      <c r="AD272" s="183"/>
      <c r="AE272" s="183"/>
    </row>
    <row r="273" spans="1:31" ht="27.6" hidden="1">
      <c r="A273" s="183" t="s">
        <v>694</v>
      </c>
      <c r="B273" s="183" t="s">
        <v>240</v>
      </c>
      <c r="C273" s="183" t="s">
        <v>240</v>
      </c>
      <c r="D273" s="184" t="s">
        <v>1560</v>
      </c>
      <c r="E273" s="183" t="s">
        <v>696</v>
      </c>
      <c r="F273" s="183" t="s">
        <v>697</v>
      </c>
      <c r="G273" s="183" t="s">
        <v>698</v>
      </c>
      <c r="H273" s="183" t="s">
        <v>1</v>
      </c>
      <c r="I273" s="183" t="s">
        <v>1565</v>
      </c>
      <c r="J273" s="188">
        <v>46294</v>
      </c>
      <c r="K273" s="183" t="s">
        <v>1566</v>
      </c>
      <c r="L273" s="183" t="s">
        <v>279</v>
      </c>
      <c r="M273" s="183"/>
      <c r="N273" s="185">
        <v>2</v>
      </c>
      <c r="O273" s="186">
        <v>15</v>
      </c>
      <c r="P273" s="185">
        <v>41</v>
      </c>
      <c r="Q273" s="185">
        <v>16</v>
      </c>
      <c r="R273" s="183" t="s">
        <v>702</v>
      </c>
      <c r="S273" s="185">
        <v>941</v>
      </c>
      <c r="T273" s="189">
        <f t="shared" si="4"/>
        <v>15.683333333333334</v>
      </c>
      <c r="U273" s="183" t="s">
        <v>703</v>
      </c>
      <c r="V273" s="183" t="s">
        <v>704</v>
      </c>
      <c r="W273" s="183" t="s">
        <v>1563</v>
      </c>
      <c r="X273" s="183" t="s">
        <v>1564</v>
      </c>
      <c r="Y273" s="183"/>
      <c r="Z273" s="183"/>
      <c r="AA273" s="183"/>
      <c r="AB273" s="183"/>
      <c r="AC273" s="183"/>
      <c r="AD273" s="183"/>
      <c r="AE273" s="183"/>
    </row>
    <row r="274" spans="1:31" ht="27.6" hidden="1">
      <c r="A274" s="183" t="s">
        <v>694</v>
      </c>
      <c r="B274" s="183" t="s">
        <v>240</v>
      </c>
      <c r="C274" s="183" t="s">
        <v>240</v>
      </c>
      <c r="D274" s="184" t="s">
        <v>1560</v>
      </c>
      <c r="E274" s="183" t="s">
        <v>696</v>
      </c>
      <c r="F274" s="183" t="s">
        <v>697</v>
      </c>
      <c r="G274" s="183" t="s">
        <v>698</v>
      </c>
      <c r="H274" s="183" t="s">
        <v>1</v>
      </c>
      <c r="I274" s="183" t="s">
        <v>1567</v>
      </c>
      <c r="J274" s="188">
        <v>46289</v>
      </c>
      <c r="K274" s="183" t="s">
        <v>1568</v>
      </c>
      <c r="L274" s="183" t="s">
        <v>280</v>
      </c>
      <c r="M274" s="183"/>
      <c r="N274" s="185">
        <v>7</v>
      </c>
      <c r="O274" s="186">
        <v>23</v>
      </c>
      <c r="P274" s="185">
        <v>40</v>
      </c>
      <c r="Q274" s="185">
        <v>24</v>
      </c>
      <c r="R274" s="183" t="s">
        <v>702</v>
      </c>
      <c r="S274" s="185">
        <v>1420</v>
      </c>
      <c r="T274" s="189">
        <f t="shared" si="4"/>
        <v>23.666666666666668</v>
      </c>
      <c r="U274" s="183" t="s">
        <v>703</v>
      </c>
      <c r="V274" s="183" t="s">
        <v>704</v>
      </c>
      <c r="W274" s="183" t="s">
        <v>1563</v>
      </c>
      <c r="X274" s="183" t="s">
        <v>1564</v>
      </c>
      <c r="Y274" s="183"/>
      <c r="Z274" s="183"/>
      <c r="AA274" s="183"/>
      <c r="AB274" s="183"/>
      <c r="AC274" s="183"/>
      <c r="AD274" s="183"/>
      <c r="AE274" s="183"/>
    </row>
    <row r="275" spans="1:31" ht="27.6" hidden="1">
      <c r="A275" s="183" t="s">
        <v>694</v>
      </c>
      <c r="B275" s="183" t="s">
        <v>240</v>
      </c>
      <c r="C275" s="183" t="s">
        <v>240</v>
      </c>
      <c r="D275" s="184" t="s">
        <v>1047</v>
      </c>
      <c r="E275" s="183" t="s">
        <v>696</v>
      </c>
      <c r="F275" s="183" t="s">
        <v>697</v>
      </c>
      <c r="G275" s="183" t="s">
        <v>698</v>
      </c>
      <c r="H275" s="183" t="s">
        <v>1</v>
      </c>
      <c r="I275" s="183" t="s">
        <v>1124</v>
      </c>
      <c r="J275" s="188">
        <v>46295</v>
      </c>
      <c r="K275" s="183" t="s">
        <v>1569</v>
      </c>
      <c r="L275" s="183" t="s">
        <v>281</v>
      </c>
      <c r="M275" s="183"/>
      <c r="N275" s="185">
        <v>1</v>
      </c>
      <c r="O275" s="186">
        <v>133</v>
      </c>
      <c r="P275" s="185">
        <v>37</v>
      </c>
      <c r="Q275" s="185">
        <v>134</v>
      </c>
      <c r="R275" s="183" t="s">
        <v>702</v>
      </c>
      <c r="S275" s="185">
        <v>8017</v>
      </c>
      <c r="T275" s="189">
        <f t="shared" si="4"/>
        <v>133.61666666666667</v>
      </c>
      <c r="U275" s="183" t="s">
        <v>703</v>
      </c>
      <c r="V275" s="183" t="s">
        <v>704</v>
      </c>
      <c r="W275" s="183" t="s">
        <v>1142</v>
      </c>
      <c r="X275" s="183" t="s">
        <v>1143</v>
      </c>
      <c r="Y275" s="183"/>
      <c r="Z275" s="183"/>
      <c r="AA275" s="183"/>
      <c r="AB275" s="183"/>
      <c r="AC275" s="183"/>
      <c r="AD275" s="183"/>
      <c r="AE275" s="183"/>
    </row>
    <row r="276" spans="1:31" ht="27.6" hidden="1">
      <c r="A276" s="183" t="s">
        <v>694</v>
      </c>
      <c r="B276" s="183" t="s">
        <v>240</v>
      </c>
      <c r="C276" s="183" t="s">
        <v>240</v>
      </c>
      <c r="D276" s="184" t="s">
        <v>1229</v>
      </c>
      <c r="E276" s="183" t="s">
        <v>696</v>
      </c>
      <c r="F276" s="183" t="s">
        <v>697</v>
      </c>
      <c r="G276" s="183" t="s">
        <v>698</v>
      </c>
      <c r="H276" s="183" t="s">
        <v>1</v>
      </c>
      <c r="I276" s="183" t="s">
        <v>1127</v>
      </c>
      <c r="J276" s="188">
        <v>46294</v>
      </c>
      <c r="K276" s="183" t="s">
        <v>1570</v>
      </c>
      <c r="L276" s="183" t="s">
        <v>282</v>
      </c>
      <c r="M276" s="183"/>
      <c r="N276" s="185">
        <v>2</v>
      </c>
      <c r="O276" s="186">
        <v>101</v>
      </c>
      <c r="P276" s="185">
        <v>52</v>
      </c>
      <c r="Q276" s="185">
        <v>102</v>
      </c>
      <c r="R276" s="183" t="s">
        <v>702</v>
      </c>
      <c r="S276" s="185">
        <v>6112</v>
      </c>
      <c r="T276" s="189">
        <f t="shared" si="4"/>
        <v>101.86666666666666</v>
      </c>
      <c r="U276" s="183" t="s">
        <v>703</v>
      </c>
      <c r="V276" s="183" t="s">
        <v>526</v>
      </c>
      <c r="W276" s="183"/>
      <c r="X276" s="183"/>
      <c r="Y276" s="183"/>
      <c r="Z276" s="183"/>
      <c r="AA276" s="183"/>
      <c r="AB276" s="183"/>
      <c r="AC276" s="183"/>
      <c r="AD276" s="183"/>
      <c r="AE276" s="183"/>
    </row>
    <row r="277" spans="1:31" ht="27.6" hidden="1">
      <c r="A277" s="183" t="s">
        <v>694</v>
      </c>
      <c r="B277" s="183" t="s">
        <v>240</v>
      </c>
      <c r="C277" s="183" t="s">
        <v>240</v>
      </c>
      <c r="D277" s="184" t="s">
        <v>1229</v>
      </c>
      <c r="E277" s="183" t="s">
        <v>696</v>
      </c>
      <c r="F277" s="183" t="s">
        <v>697</v>
      </c>
      <c r="G277" s="183" t="s">
        <v>698</v>
      </c>
      <c r="H277" s="183" t="s">
        <v>1</v>
      </c>
      <c r="I277" s="183" t="s">
        <v>1173</v>
      </c>
      <c r="J277" s="188">
        <v>46290</v>
      </c>
      <c r="K277" s="183" t="s">
        <v>1571</v>
      </c>
      <c r="L277" s="183" t="s">
        <v>283</v>
      </c>
      <c r="M277" s="183"/>
      <c r="N277" s="185">
        <v>6</v>
      </c>
      <c r="O277" s="186">
        <v>183</v>
      </c>
      <c r="P277" s="185">
        <v>57</v>
      </c>
      <c r="Q277" s="185">
        <v>184</v>
      </c>
      <c r="R277" s="183" t="s">
        <v>702</v>
      </c>
      <c r="S277" s="185">
        <v>11037</v>
      </c>
      <c r="T277" s="189">
        <f t="shared" si="4"/>
        <v>183.95</v>
      </c>
      <c r="U277" s="183" t="s">
        <v>703</v>
      </c>
      <c r="V277" s="183" t="s">
        <v>526</v>
      </c>
      <c r="W277" s="183"/>
      <c r="X277" s="183"/>
      <c r="Y277" s="183"/>
      <c r="Z277" s="183"/>
      <c r="AA277" s="183"/>
      <c r="AB277" s="183"/>
      <c r="AC277" s="183"/>
      <c r="AD277" s="183"/>
      <c r="AE277" s="183"/>
    </row>
    <row r="278" spans="1:31" ht="27.6" hidden="1">
      <c r="A278" s="183" t="s">
        <v>694</v>
      </c>
      <c r="B278" s="183" t="s">
        <v>240</v>
      </c>
      <c r="C278" s="183" t="s">
        <v>240</v>
      </c>
      <c r="D278" s="184" t="s">
        <v>1229</v>
      </c>
      <c r="E278" s="183" t="s">
        <v>696</v>
      </c>
      <c r="F278" s="183" t="s">
        <v>697</v>
      </c>
      <c r="G278" s="183" t="s">
        <v>698</v>
      </c>
      <c r="H278" s="183" t="s">
        <v>1</v>
      </c>
      <c r="I278" s="183" t="s">
        <v>1164</v>
      </c>
      <c r="J278" s="188">
        <v>46290</v>
      </c>
      <c r="K278" s="183" t="s">
        <v>1572</v>
      </c>
      <c r="L278" s="183" t="s">
        <v>284</v>
      </c>
      <c r="M278" s="183"/>
      <c r="N278" s="185">
        <v>6</v>
      </c>
      <c r="O278" s="186">
        <v>351</v>
      </c>
      <c r="P278" s="185">
        <v>0</v>
      </c>
      <c r="Q278" s="185">
        <v>351</v>
      </c>
      <c r="R278" s="183" t="s">
        <v>702</v>
      </c>
      <c r="S278" s="185">
        <v>21060</v>
      </c>
      <c r="T278" s="189">
        <f t="shared" si="4"/>
        <v>351</v>
      </c>
      <c r="U278" s="183" t="s">
        <v>703</v>
      </c>
      <c r="V278" s="183" t="s">
        <v>526</v>
      </c>
      <c r="W278" s="183"/>
      <c r="X278" s="183"/>
      <c r="Y278" s="183"/>
      <c r="Z278" s="183"/>
      <c r="AA278" s="183"/>
      <c r="AB278" s="183"/>
      <c r="AC278" s="183"/>
      <c r="AD278" s="183"/>
      <c r="AE278" s="183"/>
    </row>
    <row r="279" spans="1:31" ht="27.6" hidden="1">
      <c r="A279" s="183" t="s">
        <v>694</v>
      </c>
      <c r="B279" s="183" t="s">
        <v>240</v>
      </c>
      <c r="C279" s="183" t="s">
        <v>240</v>
      </c>
      <c r="D279" s="184" t="s">
        <v>1231</v>
      </c>
      <c r="E279" s="183" t="s">
        <v>696</v>
      </c>
      <c r="F279" s="183" t="s">
        <v>697</v>
      </c>
      <c r="G279" s="183" t="s">
        <v>698</v>
      </c>
      <c r="H279" s="183" t="s">
        <v>1</v>
      </c>
      <c r="I279" s="183" t="s">
        <v>1177</v>
      </c>
      <c r="J279" s="188">
        <v>46293</v>
      </c>
      <c r="K279" s="183" t="s">
        <v>1573</v>
      </c>
      <c r="L279" s="183" t="s">
        <v>285</v>
      </c>
      <c r="M279" s="183"/>
      <c r="N279" s="185">
        <v>3</v>
      </c>
      <c r="O279" s="186">
        <v>162</v>
      </c>
      <c r="P279" s="185">
        <v>48</v>
      </c>
      <c r="Q279" s="185">
        <v>163</v>
      </c>
      <c r="R279" s="183" t="s">
        <v>702</v>
      </c>
      <c r="S279" s="185">
        <v>9768</v>
      </c>
      <c r="T279" s="189">
        <f t="shared" si="4"/>
        <v>162.80000000000001</v>
      </c>
      <c r="U279" s="183" t="s">
        <v>703</v>
      </c>
      <c r="V279" s="183" t="s">
        <v>526</v>
      </c>
      <c r="W279" s="183"/>
      <c r="X279" s="183"/>
      <c r="Y279" s="183"/>
      <c r="Z279" s="183"/>
      <c r="AA279" s="183"/>
      <c r="AB279" s="183"/>
      <c r="AC279" s="183"/>
      <c r="AD279" s="183"/>
      <c r="AE279" s="183"/>
    </row>
    <row r="280" spans="1:31" ht="27.6" hidden="1">
      <c r="A280" s="183" t="s">
        <v>694</v>
      </c>
      <c r="B280" s="183" t="s">
        <v>240</v>
      </c>
      <c r="C280" s="183" t="s">
        <v>240</v>
      </c>
      <c r="D280" s="184" t="s">
        <v>1231</v>
      </c>
      <c r="E280" s="183" t="s">
        <v>696</v>
      </c>
      <c r="F280" s="183" t="s">
        <v>697</v>
      </c>
      <c r="G280" s="183" t="s">
        <v>698</v>
      </c>
      <c r="H280" s="183" t="s">
        <v>1</v>
      </c>
      <c r="I280" s="183" t="s">
        <v>1574</v>
      </c>
      <c r="J280" s="188">
        <v>46289</v>
      </c>
      <c r="K280" s="183" t="s">
        <v>1575</v>
      </c>
      <c r="L280" s="183" t="s">
        <v>286</v>
      </c>
      <c r="M280" s="183"/>
      <c r="N280" s="185">
        <v>7</v>
      </c>
      <c r="O280" s="186">
        <v>373</v>
      </c>
      <c r="P280" s="185">
        <v>25</v>
      </c>
      <c r="Q280" s="185">
        <v>374</v>
      </c>
      <c r="R280" s="183" t="s">
        <v>702</v>
      </c>
      <c r="S280" s="185">
        <v>22405</v>
      </c>
      <c r="T280" s="189">
        <f t="shared" si="4"/>
        <v>373.41666666666669</v>
      </c>
      <c r="U280" s="183" t="s">
        <v>703</v>
      </c>
      <c r="V280" s="183" t="s">
        <v>526</v>
      </c>
      <c r="W280" s="183"/>
      <c r="X280" s="183"/>
      <c r="Y280" s="183"/>
      <c r="Z280" s="183"/>
      <c r="AA280" s="183"/>
      <c r="AB280" s="183"/>
      <c r="AC280" s="183"/>
      <c r="AD280" s="183"/>
      <c r="AE280" s="183"/>
    </row>
    <row r="281" spans="1:31" ht="27.6" hidden="1">
      <c r="A281" s="183" t="s">
        <v>694</v>
      </c>
      <c r="B281" s="183" t="s">
        <v>240</v>
      </c>
      <c r="C281" s="183" t="s">
        <v>240</v>
      </c>
      <c r="D281" s="184" t="s">
        <v>1231</v>
      </c>
      <c r="E281" s="183" t="s">
        <v>696</v>
      </c>
      <c r="F281" s="183" t="s">
        <v>697</v>
      </c>
      <c r="G281" s="183" t="s">
        <v>698</v>
      </c>
      <c r="H281" s="183" t="s">
        <v>1</v>
      </c>
      <c r="I281" s="183" t="s">
        <v>1574</v>
      </c>
      <c r="J281" s="188">
        <v>46289</v>
      </c>
      <c r="K281" s="183" t="s">
        <v>1576</v>
      </c>
      <c r="L281" s="183" t="s">
        <v>287</v>
      </c>
      <c r="M281" s="183"/>
      <c r="N281" s="185">
        <v>7</v>
      </c>
      <c r="O281" s="186">
        <v>183</v>
      </c>
      <c r="P281" s="185">
        <v>17</v>
      </c>
      <c r="Q281" s="185">
        <v>184</v>
      </c>
      <c r="R281" s="183" t="s">
        <v>702</v>
      </c>
      <c r="S281" s="185">
        <v>10997</v>
      </c>
      <c r="T281" s="189">
        <f t="shared" si="4"/>
        <v>183.28333333333333</v>
      </c>
      <c r="U281" s="183" t="s">
        <v>703</v>
      </c>
      <c r="V281" s="183" t="s">
        <v>526</v>
      </c>
      <c r="W281" s="183"/>
      <c r="X281" s="183"/>
      <c r="Y281" s="183"/>
      <c r="Z281" s="183"/>
      <c r="AA281" s="183"/>
      <c r="AB281" s="183"/>
      <c r="AC281" s="183"/>
      <c r="AD281" s="183"/>
      <c r="AE281" s="183"/>
    </row>
    <row r="282" spans="1:31" ht="27.6" hidden="1">
      <c r="A282" s="183" t="s">
        <v>694</v>
      </c>
      <c r="B282" s="183" t="s">
        <v>240</v>
      </c>
      <c r="C282" s="183" t="s">
        <v>240</v>
      </c>
      <c r="D282" s="184" t="s">
        <v>1231</v>
      </c>
      <c r="E282" s="183" t="s">
        <v>696</v>
      </c>
      <c r="F282" s="183" t="s">
        <v>697</v>
      </c>
      <c r="G282" s="183" t="s">
        <v>698</v>
      </c>
      <c r="H282" s="183" t="s">
        <v>1</v>
      </c>
      <c r="I282" s="183" t="s">
        <v>1535</v>
      </c>
      <c r="J282" s="188">
        <v>46293</v>
      </c>
      <c r="K282" s="183" t="s">
        <v>1577</v>
      </c>
      <c r="L282" s="183" t="s">
        <v>288</v>
      </c>
      <c r="M282" s="183"/>
      <c r="N282" s="185">
        <v>3</v>
      </c>
      <c r="O282" s="186">
        <v>347</v>
      </c>
      <c r="P282" s="185">
        <v>4</v>
      </c>
      <c r="Q282" s="185">
        <v>347</v>
      </c>
      <c r="R282" s="183" t="s">
        <v>702</v>
      </c>
      <c r="S282" s="185">
        <v>20824</v>
      </c>
      <c r="T282" s="189">
        <f t="shared" si="4"/>
        <v>347.06666666666666</v>
      </c>
      <c r="U282" s="183" t="s">
        <v>703</v>
      </c>
      <c r="V282" s="183" t="s">
        <v>526</v>
      </c>
      <c r="W282" s="183"/>
      <c r="X282" s="183"/>
      <c r="Y282" s="183"/>
      <c r="Z282" s="183"/>
      <c r="AA282" s="183"/>
      <c r="AB282" s="183"/>
      <c r="AC282" s="183"/>
      <c r="AD282" s="183"/>
      <c r="AE282" s="183"/>
    </row>
    <row r="283" spans="1:31" ht="27.6" hidden="1">
      <c r="A283" s="183" t="s">
        <v>694</v>
      </c>
      <c r="B283" s="183" t="s">
        <v>240</v>
      </c>
      <c r="C283" s="183" t="s">
        <v>240</v>
      </c>
      <c r="D283" s="184" t="s">
        <v>1231</v>
      </c>
      <c r="E283" s="183" t="s">
        <v>696</v>
      </c>
      <c r="F283" s="183" t="s">
        <v>697</v>
      </c>
      <c r="G283" s="183" t="s">
        <v>698</v>
      </c>
      <c r="H283" s="183" t="s">
        <v>1</v>
      </c>
      <c r="I283" s="183" t="s">
        <v>1578</v>
      </c>
      <c r="J283" s="188">
        <v>46282</v>
      </c>
      <c r="K283" s="183" t="s">
        <v>1579</v>
      </c>
      <c r="L283" s="183" t="s">
        <v>289</v>
      </c>
      <c r="M283" s="183"/>
      <c r="N283" s="185">
        <v>14</v>
      </c>
      <c r="O283" s="186">
        <v>189</v>
      </c>
      <c r="P283" s="185">
        <v>31</v>
      </c>
      <c r="Q283" s="185">
        <v>190</v>
      </c>
      <c r="R283" s="183" t="s">
        <v>702</v>
      </c>
      <c r="S283" s="185">
        <v>11371</v>
      </c>
      <c r="T283" s="189">
        <f t="shared" si="4"/>
        <v>189.51666666666668</v>
      </c>
      <c r="U283" s="183" t="s">
        <v>703</v>
      </c>
      <c r="V283" s="183" t="s">
        <v>526</v>
      </c>
      <c r="W283" s="183"/>
      <c r="X283" s="183"/>
      <c r="Y283" s="183"/>
      <c r="Z283" s="183"/>
      <c r="AA283" s="183"/>
      <c r="AB283" s="183"/>
      <c r="AC283" s="183"/>
      <c r="AD283" s="183"/>
      <c r="AE283" s="183"/>
    </row>
    <row r="284" spans="1:31" ht="27.6" hidden="1">
      <c r="A284" s="183" t="s">
        <v>694</v>
      </c>
      <c r="B284" s="183" t="s">
        <v>240</v>
      </c>
      <c r="C284" s="183" t="s">
        <v>240</v>
      </c>
      <c r="D284" s="184" t="s">
        <v>1157</v>
      </c>
      <c r="E284" s="183" t="s">
        <v>696</v>
      </c>
      <c r="F284" s="183" t="s">
        <v>697</v>
      </c>
      <c r="G284" s="183" t="s">
        <v>698</v>
      </c>
      <c r="H284" s="183" t="s">
        <v>1</v>
      </c>
      <c r="I284" s="183" t="s">
        <v>1514</v>
      </c>
      <c r="J284" s="188">
        <v>46268</v>
      </c>
      <c r="K284" s="183" t="s">
        <v>1580</v>
      </c>
      <c r="L284" s="183" t="s">
        <v>290</v>
      </c>
      <c r="M284" s="183"/>
      <c r="N284" s="185">
        <v>28</v>
      </c>
      <c r="O284" s="186">
        <v>126</v>
      </c>
      <c r="P284" s="185">
        <v>0</v>
      </c>
      <c r="Q284" s="185">
        <v>126</v>
      </c>
      <c r="R284" s="183" t="s">
        <v>702</v>
      </c>
      <c r="S284" s="185">
        <v>7560</v>
      </c>
      <c r="T284" s="189">
        <f t="shared" si="4"/>
        <v>126</v>
      </c>
      <c r="U284" s="183" t="s">
        <v>703</v>
      </c>
      <c r="V284" s="183" t="s">
        <v>526</v>
      </c>
      <c r="W284" s="183"/>
      <c r="X284" s="183"/>
      <c r="Y284" s="183"/>
      <c r="Z284" s="183"/>
      <c r="AA284" s="183"/>
      <c r="AB284" s="183"/>
      <c r="AC284" s="183"/>
      <c r="AD284" s="183"/>
      <c r="AE284" s="183"/>
    </row>
    <row r="285" spans="1:31" ht="27.6" hidden="1">
      <c r="A285" s="183" t="s">
        <v>694</v>
      </c>
      <c r="B285" s="183" t="s">
        <v>240</v>
      </c>
      <c r="C285" s="183" t="s">
        <v>240</v>
      </c>
      <c r="D285" s="184" t="s">
        <v>1157</v>
      </c>
      <c r="E285" s="183" t="s">
        <v>696</v>
      </c>
      <c r="F285" s="183" t="s">
        <v>697</v>
      </c>
      <c r="G285" s="183" t="s">
        <v>698</v>
      </c>
      <c r="H285" s="183" t="s">
        <v>1</v>
      </c>
      <c r="I285" s="183" t="s">
        <v>1581</v>
      </c>
      <c r="J285" s="188">
        <v>46269</v>
      </c>
      <c r="K285" s="183" t="s">
        <v>1582</v>
      </c>
      <c r="L285" s="183" t="s">
        <v>291</v>
      </c>
      <c r="M285" s="183"/>
      <c r="N285" s="185">
        <v>27</v>
      </c>
      <c r="O285" s="186">
        <v>5</v>
      </c>
      <c r="P285" s="185">
        <v>53</v>
      </c>
      <c r="Q285" s="185">
        <v>6</v>
      </c>
      <c r="R285" s="183" t="s">
        <v>702</v>
      </c>
      <c r="S285" s="185">
        <v>353</v>
      </c>
      <c r="T285" s="189">
        <f t="shared" si="4"/>
        <v>5.8833333333333337</v>
      </c>
      <c r="U285" s="183" t="s">
        <v>703</v>
      </c>
      <c r="V285" s="183" t="s">
        <v>526</v>
      </c>
      <c r="W285" s="183"/>
      <c r="X285" s="183"/>
      <c r="Y285" s="183"/>
      <c r="Z285" s="183"/>
      <c r="AA285" s="183"/>
      <c r="AB285" s="183" t="s">
        <v>708</v>
      </c>
      <c r="AC285" s="183"/>
      <c r="AD285" s="183"/>
      <c r="AE285" s="183"/>
    </row>
    <row r="286" spans="1:31" ht="27.6" hidden="1">
      <c r="A286" s="183" t="s">
        <v>694</v>
      </c>
      <c r="B286" s="183" t="s">
        <v>240</v>
      </c>
      <c r="C286" s="183" t="s">
        <v>240</v>
      </c>
      <c r="D286" s="184" t="s">
        <v>1157</v>
      </c>
      <c r="E286" s="183" t="s">
        <v>696</v>
      </c>
      <c r="F286" s="183" t="s">
        <v>697</v>
      </c>
      <c r="G286" s="183" t="s">
        <v>698</v>
      </c>
      <c r="H286" s="183" t="s">
        <v>1</v>
      </c>
      <c r="I286" s="183" t="s">
        <v>1499</v>
      </c>
      <c r="J286" s="188">
        <v>46290</v>
      </c>
      <c r="K286" s="183" t="s">
        <v>1583</v>
      </c>
      <c r="L286" s="183" t="s">
        <v>292</v>
      </c>
      <c r="M286" s="183"/>
      <c r="N286" s="185">
        <v>6</v>
      </c>
      <c r="O286" s="186">
        <v>320</v>
      </c>
      <c r="P286" s="185">
        <v>15</v>
      </c>
      <c r="Q286" s="185">
        <v>321</v>
      </c>
      <c r="R286" s="183" t="s">
        <v>702</v>
      </c>
      <c r="S286" s="185">
        <v>19215</v>
      </c>
      <c r="T286" s="189">
        <f t="shared" si="4"/>
        <v>320.25</v>
      </c>
      <c r="U286" s="183" t="s">
        <v>703</v>
      </c>
      <c r="V286" s="183" t="s">
        <v>526</v>
      </c>
      <c r="W286" s="183"/>
      <c r="X286" s="183"/>
      <c r="Y286" s="183"/>
      <c r="Z286" s="183"/>
      <c r="AA286" s="183"/>
      <c r="AB286" s="183"/>
      <c r="AC286" s="183"/>
      <c r="AD286" s="183"/>
      <c r="AE286" s="183"/>
    </row>
    <row r="287" spans="1:31" ht="27.6" hidden="1">
      <c r="A287" s="183" t="s">
        <v>694</v>
      </c>
      <c r="B287" s="183" t="s">
        <v>240</v>
      </c>
      <c r="C287" s="183" t="s">
        <v>240</v>
      </c>
      <c r="D287" s="184" t="s">
        <v>1166</v>
      </c>
      <c r="E287" s="183" t="s">
        <v>696</v>
      </c>
      <c r="F287" s="183" t="s">
        <v>697</v>
      </c>
      <c r="G287" s="183" t="s">
        <v>698</v>
      </c>
      <c r="H287" s="183" t="s">
        <v>1</v>
      </c>
      <c r="I287" s="183" t="s">
        <v>1584</v>
      </c>
      <c r="J287" s="188">
        <v>46290</v>
      </c>
      <c r="K287" s="183" t="s">
        <v>1585</v>
      </c>
      <c r="L287" s="183" t="s">
        <v>293</v>
      </c>
      <c r="M287" s="183"/>
      <c r="N287" s="185">
        <v>6</v>
      </c>
      <c r="O287" s="186">
        <v>155</v>
      </c>
      <c r="P287" s="185">
        <v>59</v>
      </c>
      <c r="Q287" s="185">
        <v>156</v>
      </c>
      <c r="R287" s="183" t="s">
        <v>702</v>
      </c>
      <c r="S287" s="185">
        <v>9359</v>
      </c>
      <c r="T287" s="189">
        <f t="shared" si="4"/>
        <v>155.98333333333332</v>
      </c>
      <c r="U287" s="183" t="s">
        <v>703</v>
      </c>
      <c r="V287" s="183" t="s">
        <v>526</v>
      </c>
      <c r="W287" s="183"/>
      <c r="X287" s="183"/>
      <c r="Y287" s="183"/>
      <c r="Z287" s="183"/>
      <c r="AA287" s="183"/>
      <c r="AB287" s="183"/>
      <c r="AC287" s="183"/>
      <c r="AD287" s="183"/>
      <c r="AE287" s="183"/>
    </row>
    <row r="288" spans="1:31" ht="27.6" hidden="1">
      <c r="A288" s="183" t="s">
        <v>694</v>
      </c>
      <c r="B288" s="183" t="s">
        <v>240</v>
      </c>
      <c r="C288" s="183" t="s">
        <v>240</v>
      </c>
      <c r="D288" s="184" t="s">
        <v>1166</v>
      </c>
      <c r="E288" s="183" t="s">
        <v>696</v>
      </c>
      <c r="F288" s="183" t="s">
        <v>697</v>
      </c>
      <c r="G288" s="183" t="s">
        <v>698</v>
      </c>
      <c r="H288" s="183" t="s">
        <v>1</v>
      </c>
      <c r="I288" s="183" t="s">
        <v>1507</v>
      </c>
      <c r="J288" s="188">
        <v>46289</v>
      </c>
      <c r="K288" s="183" t="s">
        <v>1586</v>
      </c>
      <c r="L288" s="183" t="s">
        <v>294</v>
      </c>
      <c r="M288" s="183"/>
      <c r="N288" s="185">
        <v>7</v>
      </c>
      <c r="O288" s="186">
        <v>137</v>
      </c>
      <c r="P288" s="185">
        <v>23</v>
      </c>
      <c r="Q288" s="185">
        <v>138</v>
      </c>
      <c r="R288" s="183" t="s">
        <v>702</v>
      </c>
      <c r="S288" s="185">
        <v>8243</v>
      </c>
      <c r="T288" s="189">
        <f t="shared" si="4"/>
        <v>137.38333333333333</v>
      </c>
      <c r="U288" s="183" t="s">
        <v>703</v>
      </c>
      <c r="V288" s="183" t="s">
        <v>526</v>
      </c>
      <c r="W288" s="183"/>
      <c r="X288" s="183"/>
      <c r="Y288" s="183"/>
      <c r="Z288" s="183"/>
      <c r="AA288" s="183"/>
      <c r="AB288" s="183"/>
      <c r="AC288" s="183"/>
      <c r="AD288" s="183"/>
      <c r="AE288" s="183"/>
    </row>
    <row r="289" spans="1:31" ht="27.6" hidden="1">
      <c r="A289" s="183" t="s">
        <v>694</v>
      </c>
      <c r="B289" s="183" t="s">
        <v>240</v>
      </c>
      <c r="C289" s="183" t="s">
        <v>240</v>
      </c>
      <c r="D289" s="184" t="s">
        <v>1179</v>
      </c>
      <c r="E289" s="183" t="s">
        <v>696</v>
      </c>
      <c r="F289" s="183" t="s">
        <v>697</v>
      </c>
      <c r="G289" s="183" t="s">
        <v>698</v>
      </c>
      <c r="H289" s="183" t="s">
        <v>1</v>
      </c>
      <c r="I289" s="183" t="s">
        <v>1587</v>
      </c>
      <c r="J289" s="188">
        <v>46216</v>
      </c>
      <c r="K289" s="183" t="s">
        <v>1588</v>
      </c>
      <c r="L289" s="183" t="s">
        <v>295</v>
      </c>
      <c r="M289" s="183"/>
      <c r="N289" s="185">
        <v>80</v>
      </c>
      <c r="O289" s="186">
        <v>114</v>
      </c>
      <c r="P289" s="185">
        <v>0</v>
      </c>
      <c r="Q289" s="185">
        <v>114</v>
      </c>
      <c r="R289" s="183" t="s">
        <v>702</v>
      </c>
      <c r="S289" s="185">
        <v>6840</v>
      </c>
      <c r="T289" s="189">
        <f t="shared" si="4"/>
        <v>114</v>
      </c>
      <c r="U289" s="183" t="s">
        <v>703</v>
      </c>
      <c r="V289" s="183" t="s">
        <v>704</v>
      </c>
      <c r="W289" s="183" t="s">
        <v>1589</v>
      </c>
      <c r="X289" s="183" t="s">
        <v>1590</v>
      </c>
      <c r="Y289" s="183"/>
      <c r="Z289" s="183"/>
      <c r="AA289" s="183"/>
      <c r="AB289" s="183"/>
      <c r="AC289" s="183"/>
      <c r="AD289" s="183"/>
      <c r="AE289" s="183"/>
    </row>
    <row r="290" spans="1:31" ht="27.6" hidden="1">
      <c r="A290" s="183" t="s">
        <v>694</v>
      </c>
      <c r="B290" s="183" t="s">
        <v>240</v>
      </c>
      <c r="C290" s="183" t="s">
        <v>240</v>
      </c>
      <c r="D290" s="184" t="s">
        <v>1179</v>
      </c>
      <c r="E290" s="183" t="s">
        <v>696</v>
      </c>
      <c r="F290" s="183" t="s">
        <v>697</v>
      </c>
      <c r="G290" s="183" t="s">
        <v>698</v>
      </c>
      <c r="H290" s="183" t="s">
        <v>1</v>
      </c>
      <c r="I290" s="183" t="s">
        <v>1587</v>
      </c>
      <c r="J290" s="188">
        <v>46216</v>
      </c>
      <c r="K290" s="183" t="s">
        <v>1588</v>
      </c>
      <c r="L290" s="183" t="s">
        <v>295</v>
      </c>
      <c r="M290" s="183"/>
      <c r="N290" s="185">
        <v>80</v>
      </c>
      <c r="O290" s="186">
        <v>346</v>
      </c>
      <c r="P290" s="185">
        <v>53</v>
      </c>
      <c r="Q290" s="185">
        <v>348</v>
      </c>
      <c r="R290" s="183" t="s">
        <v>702</v>
      </c>
      <c r="S290" s="185">
        <v>20813</v>
      </c>
      <c r="T290" s="189">
        <f t="shared" si="4"/>
        <v>346.88333333333333</v>
      </c>
      <c r="U290" s="183" t="s">
        <v>703</v>
      </c>
      <c r="V290" s="183" t="s">
        <v>526</v>
      </c>
      <c r="W290" s="183"/>
      <c r="X290" s="183"/>
      <c r="Y290" s="183"/>
      <c r="Z290" s="183"/>
      <c r="AA290" s="183"/>
      <c r="AB290" s="183"/>
      <c r="AC290" s="183"/>
      <c r="AD290" s="183"/>
      <c r="AE290" s="183"/>
    </row>
    <row r="291" spans="1:31" ht="27.6" hidden="1">
      <c r="A291" s="183" t="s">
        <v>694</v>
      </c>
      <c r="B291" s="183" t="s">
        <v>240</v>
      </c>
      <c r="C291" s="183" t="s">
        <v>240</v>
      </c>
      <c r="D291" s="184" t="s">
        <v>1179</v>
      </c>
      <c r="E291" s="183" t="s">
        <v>696</v>
      </c>
      <c r="F291" s="183" t="s">
        <v>697</v>
      </c>
      <c r="G291" s="183" t="s">
        <v>698</v>
      </c>
      <c r="H291" s="183" t="s">
        <v>1</v>
      </c>
      <c r="I291" s="183" t="s">
        <v>1587</v>
      </c>
      <c r="J291" s="188">
        <v>46216</v>
      </c>
      <c r="K291" s="183" t="s">
        <v>1588</v>
      </c>
      <c r="L291" s="183" t="s">
        <v>295</v>
      </c>
      <c r="M291" s="183"/>
      <c r="N291" s="185">
        <v>80</v>
      </c>
      <c r="O291" s="186">
        <v>114</v>
      </c>
      <c r="P291" s="185">
        <v>0</v>
      </c>
      <c r="Q291" s="185">
        <v>114</v>
      </c>
      <c r="R291" s="183" t="s">
        <v>702</v>
      </c>
      <c r="S291" s="185">
        <v>6840</v>
      </c>
      <c r="T291" s="189">
        <f t="shared" si="4"/>
        <v>114</v>
      </c>
      <c r="U291" s="183" t="s">
        <v>703</v>
      </c>
      <c r="V291" s="183" t="s">
        <v>704</v>
      </c>
      <c r="W291" s="183" t="s">
        <v>1591</v>
      </c>
      <c r="X291" s="183" t="s">
        <v>1592</v>
      </c>
      <c r="Y291" s="183"/>
      <c r="Z291" s="183"/>
      <c r="AA291" s="183"/>
      <c r="AB291" s="183"/>
      <c r="AC291" s="183"/>
      <c r="AD291" s="183"/>
      <c r="AE291" s="183"/>
    </row>
    <row r="292" spans="1:31" ht="27.6" hidden="1">
      <c r="A292" s="183" t="s">
        <v>694</v>
      </c>
      <c r="B292" s="183" t="s">
        <v>240</v>
      </c>
      <c r="C292" s="183" t="s">
        <v>240</v>
      </c>
      <c r="D292" s="184" t="s">
        <v>1179</v>
      </c>
      <c r="E292" s="183" t="s">
        <v>696</v>
      </c>
      <c r="F292" s="183" t="s">
        <v>697</v>
      </c>
      <c r="G292" s="183" t="s">
        <v>698</v>
      </c>
      <c r="H292" s="183" t="s">
        <v>1</v>
      </c>
      <c r="I292" s="183" t="s">
        <v>1158</v>
      </c>
      <c r="J292" s="188">
        <v>46288</v>
      </c>
      <c r="K292" s="183" t="s">
        <v>1593</v>
      </c>
      <c r="L292" s="183" t="s">
        <v>296</v>
      </c>
      <c r="M292" s="183"/>
      <c r="N292" s="185">
        <v>8</v>
      </c>
      <c r="O292" s="186">
        <v>135</v>
      </c>
      <c r="P292" s="185">
        <v>47</v>
      </c>
      <c r="Q292" s="185">
        <v>136</v>
      </c>
      <c r="R292" s="183" t="s">
        <v>702</v>
      </c>
      <c r="S292" s="185">
        <v>8147</v>
      </c>
      <c r="T292" s="189">
        <f t="shared" si="4"/>
        <v>135.78333333333333</v>
      </c>
      <c r="U292" s="183" t="s">
        <v>703</v>
      </c>
      <c r="V292" s="183" t="s">
        <v>526</v>
      </c>
      <c r="W292" s="183"/>
      <c r="X292" s="183"/>
      <c r="Y292" s="183"/>
      <c r="Z292" s="183"/>
      <c r="AA292" s="183"/>
      <c r="AB292" s="183"/>
      <c r="AC292" s="183"/>
      <c r="AD292" s="183"/>
      <c r="AE292" s="183"/>
    </row>
    <row r="293" spans="1:31" ht="27.6" hidden="1">
      <c r="A293" s="183" t="s">
        <v>694</v>
      </c>
      <c r="B293" s="183" t="s">
        <v>240</v>
      </c>
      <c r="C293" s="183" t="s">
        <v>240</v>
      </c>
      <c r="D293" s="184" t="s">
        <v>1179</v>
      </c>
      <c r="E293" s="183" t="s">
        <v>696</v>
      </c>
      <c r="F293" s="183" t="s">
        <v>697</v>
      </c>
      <c r="G293" s="183" t="s">
        <v>698</v>
      </c>
      <c r="H293" s="183" t="s">
        <v>1</v>
      </c>
      <c r="I293" s="183" t="s">
        <v>1584</v>
      </c>
      <c r="J293" s="188">
        <v>46288</v>
      </c>
      <c r="K293" s="183" t="s">
        <v>1594</v>
      </c>
      <c r="L293" s="183" t="s">
        <v>297</v>
      </c>
      <c r="M293" s="183"/>
      <c r="N293" s="185">
        <v>8</v>
      </c>
      <c r="O293" s="186">
        <v>51</v>
      </c>
      <c r="P293" s="185">
        <v>15</v>
      </c>
      <c r="Q293" s="185">
        <v>52</v>
      </c>
      <c r="R293" s="183" t="s">
        <v>702</v>
      </c>
      <c r="S293" s="185">
        <v>3075</v>
      </c>
      <c r="T293" s="189">
        <f t="shared" si="4"/>
        <v>51.25</v>
      </c>
      <c r="U293" s="183" t="s">
        <v>703</v>
      </c>
      <c r="V293" s="183" t="s">
        <v>526</v>
      </c>
      <c r="W293" s="183"/>
      <c r="X293" s="183"/>
      <c r="Y293" s="183"/>
      <c r="Z293" s="183"/>
      <c r="AA293" s="183"/>
      <c r="AB293" s="183"/>
      <c r="AC293" s="183"/>
      <c r="AD293" s="183"/>
      <c r="AE293" s="183"/>
    </row>
    <row r="294" spans="1:31" ht="27.6" hidden="1">
      <c r="A294" s="183" t="s">
        <v>694</v>
      </c>
      <c r="B294" s="183" t="s">
        <v>240</v>
      </c>
      <c r="C294" s="183" t="s">
        <v>240</v>
      </c>
      <c r="D294" s="184" t="s">
        <v>1179</v>
      </c>
      <c r="E294" s="183" t="s">
        <v>696</v>
      </c>
      <c r="F294" s="183" t="s">
        <v>697</v>
      </c>
      <c r="G294" s="183" t="s">
        <v>698</v>
      </c>
      <c r="H294" s="183" t="s">
        <v>1</v>
      </c>
      <c r="I294" s="183" t="s">
        <v>1595</v>
      </c>
      <c r="J294" s="188">
        <v>46217</v>
      </c>
      <c r="K294" s="183" t="s">
        <v>1596</v>
      </c>
      <c r="L294" s="183" t="s">
        <v>298</v>
      </c>
      <c r="M294" s="183"/>
      <c r="N294" s="185">
        <v>79</v>
      </c>
      <c r="O294" s="186">
        <v>147</v>
      </c>
      <c r="P294" s="185">
        <v>38</v>
      </c>
      <c r="Q294" s="185">
        <v>148</v>
      </c>
      <c r="R294" s="183" t="s">
        <v>702</v>
      </c>
      <c r="S294" s="185">
        <v>8858</v>
      </c>
      <c r="T294" s="189">
        <f t="shared" si="4"/>
        <v>147.63333333333333</v>
      </c>
      <c r="U294" s="183" t="s">
        <v>703</v>
      </c>
      <c r="V294" s="183" t="s">
        <v>526</v>
      </c>
      <c r="W294" s="183"/>
      <c r="X294" s="183"/>
      <c r="Y294" s="183"/>
      <c r="Z294" s="183"/>
      <c r="AA294" s="183"/>
      <c r="AB294" s="183"/>
      <c r="AC294" s="183"/>
      <c r="AD294" s="183"/>
      <c r="AE294" s="183"/>
    </row>
    <row r="295" spans="1:31" ht="27.6" hidden="1">
      <c r="A295" s="183" t="s">
        <v>694</v>
      </c>
      <c r="B295" s="183" t="s">
        <v>240</v>
      </c>
      <c r="C295" s="183" t="s">
        <v>240</v>
      </c>
      <c r="D295" s="184" t="s">
        <v>1179</v>
      </c>
      <c r="E295" s="183" t="s">
        <v>696</v>
      </c>
      <c r="F295" s="183" t="s">
        <v>697</v>
      </c>
      <c r="G295" s="183" t="s">
        <v>698</v>
      </c>
      <c r="H295" s="183" t="s">
        <v>1</v>
      </c>
      <c r="I295" s="183" t="s">
        <v>1597</v>
      </c>
      <c r="J295" s="188">
        <v>46288</v>
      </c>
      <c r="K295" s="183" t="s">
        <v>1598</v>
      </c>
      <c r="L295" s="183" t="s">
        <v>299</v>
      </c>
      <c r="M295" s="183"/>
      <c r="N295" s="185">
        <v>8</v>
      </c>
      <c r="O295" s="186">
        <v>8</v>
      </c>
      <c r="P295" s="185">
        <v>39</v>
      </c>
      <c r="Q295" s="185">
        <v>9</v>
      </c>
      <c r="R295" s="183" t="s">
        <v>702</v>
      </c>
      <c r="S295" s="185">
        <v>519</v>
      </c>
      <c r="T295" s="189">
        <f t="shared" si="4"/>
        <v>8.65</v>
      </c>
      <c r="U295" s="183" t="s">
        <v>703</v>
      </c>
      <c r="V295" s="183" t="s">
        <v>526</v>
      </c>
      <c r="W295" s="183"/>
      <c r="X295" s="183"/>
      <c r="Y295" s="183"/>
      <c r="Z295" s="183"/>
      <c r="AA295" s="183"/>
      <c r="AB295" s="183"/>
      <c r="AC295" s="183"/>
      <c r="AD295" s="183"/>
      <c r="AE295" s="183"/>
    </row>
    <row r="296" spans="1:31" ht="27.6" hidden="1">
      <c r="A296" s="183" t="s">
        <v>694</v>
      </c>
      <c r="B296" s="183" t="s">
        <v>240</v>
      </c>
      <c r="C296" s="183" t="s">
        <v>240</v>
      </c>
      <c r="D296" s="184" t="s">
        <v>1179</v>
      </c>
      <c r="E296" s="183" t="s">
        <v>696</v>
      </c>
      <c r="F296" s="183" t="s">
        <v>697</v>
      </c>
      <c r="G296" s="183" t="s">
        <v>698</v>
      </c>
      <c r="H296" s="183" t="s">
        <v>1</v>
      </c>
      <c r="I296" s="183" t="s">
        <v>1526</v>
      </c>
      <c r="J296" s="188">
        <v>46214</v>
      </c>
      <c r="K296" s="183" t="s">
        <v>1599</v>
      </c>
      <c r="L296" s="183" t="s">
        <v>300</v>
      </c>
      <c r="M296" s="183"/>
      <c r="N296" s="185">
        <v>82</v>
      </c>
      <c r="O296" s="186">
        <v>251</v>
      </c>
      <c r="P296" s="185">
        <v>38</v>
      </c>
      <c r="Q296" s="185">
        <v>252</v>
      </c>
      <c r="R296" s="183" t="s">
        <v>702</v>
      </c>
      <c r="S296" s="185">
        <v>15098</v>
      </c>
      <c r="T296" s="189">
        <f t="shared" si="4"/>
        <v>251.63333333333333</v>
      </c>
      <c r="U296" s="183" t="s">
        <v>703</v>
      </c>
      <c r="V296" s="183" t="s">
        <v>526</v>
      </c>
      <c r="W296" s="183"/>
      <c r="X296" s="183"/>
      <c r="Y296" s="183"/>
      <c r="Z296" s="183"/>
      <c r="AA296" s="183"/>
      <c r="AB296" s="183"/>
      <c r="AC296" s="183"/>
      <c r="AD296" s="183"/>
      <c r="AE296" s="183"/>
    </row>
    <row r="297" spans="1:31" ht="27.6" hidden="1">
      <c r="A297" s="183" t="s">
        <v>694</v>
      </c>
      <c r="B297" s="183" t="s">
        <v>240</v>
      </c>
      <c r="C297" s="183" t="s">
        <v>240</v>
      </c>
      <c r="D297" s="184" t="s">
        <v>1179</v>
      </c>
      <c r="E297" s="183" t="s">
        <v>696</v>
      </c>
      <c r="F297" s="183" t="s">
        <v>697</v>
      </c>
      <c r="G297" s="183" t="s">
        <v>698</v>
      </c>
      <c r="H297" s="183" t="s">
        <v>1</v>
      </c>
      <c r="I297" s="183" t="s">
        <v>1510</v>
      </c>
      <c r="J297" s="188">
        <v>46220</v>
      </c>
      <c r="K297" s="183" t="s">
        <v>1600</v>
      </c>
      <c r="L297" s="183" t="s">
        <v>301</v>
      </c>
      <c r="M297" s="183"/>
      <c r="N297" s="185">
        <v>76</v>
      </c>
      <c r="O297" s="186">
        <v>310</v>
      </c>
      <c r="P297" s="185">
        <v>44</v>
      </c>
      <c r="Q297" s="185">
        <v>311</v>
      </c>
      <c r="R297" s="183" t="s">
        <v>702</v>
      </c>
      <c r="S297" s="185">
        <v>18644</v>
      </c>
      <c r="T297" s="189">
        <f t="shared" si="4"/>
        <v>310.73333333333335</v>
      </c>
      <c r="U297" s="183" t="s">
        <v>703</v>
      </c>
      <c r="V297" s="183" t="s">
        <v>526</v>
      </c>
      <c r="W297" s="183"/>
      <c r="X297" s="183"/>
      <c r="Y297" s="183"/>
      <c r="Z297" s="183"/>
      <c r="AA297" s="183"/>
      <c r="AB297" s="183"/>
      <c r="AC297" s="183"/>
      <c r="AD297" s="183"/>
      <c r="AE297" s="183"/>
    </row>
    <row r="298" spans="1:31" ht="27.6" hidden="1">
      <c r="A298" s="183" t="s">
        <v>694</v>
      </c>
      <c r="B298" s="183" t="s">
        <v>240</v>
      </c>
      <c r="C298" s="183" t="s">
        <v>240</v>
      </c>
      <c r="D298" s="184" t="s">
        <v>1183</v>
      </c>
      <c r="E298" s="183" t="s">
        <v>696</v>
      </c>
      <c r="F298" s="183" t="s">
        <v>697</v>
      </c>
      <c r="G298" s="183" t="s">
        <v>698</v>
      </c>
      <c r="H298" s="183" t="s">
        <v>1</v>
      </c>
      <c r="I298" s="183" t="s">
        <v>1601</v>
      </c>
      <c r="J298" s="188">
        <v>46272</v>
      </c>
      <c r="K298" s="183" t="s">
        <v>1602</v>
      </c>
      <c r="L298" s="183" t="s">
        <v>302</v>
      </c>
      <c r="M298" s="183"/>
      <c r="N298" s="185">
        <v>24</v>
      </c>
      <c r="O298" s="186">
        <v>46</v>
      </c>
      <c r="P298" s="185">
        <v>49</v>
      </c>
      <c r="Q298" s="185">
        <v>47</v>
      </c>
      <c r="R298" s="183" t="s">
        <v>702</v>
      </c>
      <c r="S298" s="185">
        <v>2809</v>
      </c>
      <c r="T298" s="189">
        <f t="shared" si="4"/>
        <v>46.81666666666667</v>
      </c>
      <c r="U298" s="183" t="s">
        <v>703</v>
      </c>
      <c r="V298" s="183" t="s">
        <v>526</v>
      </c>
      <c r="W298" s="183"/>
      <c r="X298" s="183"/>
      <c r="Y298" s="183"/>
      <c r="Z298" s="183"/>
      <c r="AA298" s="183"/>
      <c r="AB298" s="183"/>
      <c r="AC298" s="183"/>
      <c r="AD298" s="183"/>
      <c r="AE298" s="183"/>
    </row>
    <row r="299" spans="1:31" ht="27.6" hidden="1">
      <c r="A299" s="183" t="s">
        <v>694</v>
      </c>
      <c r="B299" s="183" t="s">
        <v>240</v>
      </c>
      <c r="C299" s="183" t="s">
        <v>240</v>
      </c>
      <c r="D299" s="184" t="s">
        <v>1183</v>
      </c>
      <c r="E299" s="183" t="s">
        <v>696</v>
      </c>
      <c r="F299" s="183" t="s">
        <v>697</v>
      </c>
      <c r="G299" s="183" t="s">
        <v>698</v>
      </c>
      <c r="H299" s="183" t="s">
        <v>1</v>
      </c>
      <c r="I299" s="183" t="s">
        <v>1124</v>
      </c>
      <c r="J299" s="188">
        <v>46265</v>
      </c>
      <c r="K299" s="183" t="s">
        <v>1603</v>
      </c>
      <c r="L299" s="183" t="s">
        <v>303</v>
      </c>
      <c r="M299" s="183"/>
      <c r="N299" s="185">
        <v>31</v>
      </c>
      <c r="O299" s="186">
        <v>0</v>
      </c>
      <c r="P299" s="185">
        <v>16</v>
      </c>
      <c r="Q299" s="185">
        <v>1</v>
      </c>
      <c r="R299" s="183" t="s">
        <v>702</v>
      </c>
      <c r="S299" s="185">
        <v>16</v>
      </c>
      <c r="T299" s="189">
        <f t="shared" si="4"/>
        <v>0.26666666666666666</v>
      </c>
      <c r="U299" s="183" t="s">
        <v>703</v>
      </c>
      <c r="V299" s="183" t="s">
        <v>526</v>
      </c>
      <c r="W299" s="183"/>
      <c r="X299" s="183"/>
      <c r="Y299" s="183"/>
      <c r="Z299" s="183"/>
      <c r="AA299" s="183"/>
      <c r="AB299" s="183"/>
      <c r="AC299" s="183"/>
      <c r="AD299" s="183"/>
      <c r="AE299" s="183"/>
    </row>
    <row r="300" spans="1:31" ht="27.6" hidden="1">
      <c r="A300" s="183" t="s">
        <v>694</v>
      </c>
      <c r="B300" s="183" t="s">
        <v>240</v>
      </c>
      <c r="C300" s="183" t="s">
        <v>240</v>
      </c>
      <c r="D300" s="184" t="s">
        <v>1183</v>
      </c>
      <c r="E300" s="183" t="s">
        <v>696</v>
      </c>
      <c r="F300" s="183" t="s">
        <v>697</v>
      </c>
      <c r="G300" s="183" t="s">
        <v>698</v>
      </c>
      <c r="H300" s="183" t="s">
        <v>1</v>
      </c>
      <c r="I300" s="183" t="s">
        <v>1124</v>
      </c>
      <c r="J300" s="188">
        <v>46265</v>
      </c>
      <c r="K300" s="183" t="s">
        <v>1604</v>
      </c>
      <c r="L300" s="183" t="s">
        <v>304</v>
      </c>
      <c r="M300" s="183"/>
      <c r="N300" s="185">
        <v>31</v>
      </c>
      <c r="O300" s="186">
        <v>1</v>
      </c>
      <c r="P300" s="185">
        <v>15</v>
      </c>
      <c r="Q300" s="185">
        <v>2</v>
      </c>
      <c r="R300" s="183" t="s">
        <v>702</v>
      </c>
      <c r="S300" s="185">
        <v>75</v>
      </c>
      <c r="T300" s="189">
        <f t="shared" si="4"/>
        <v>1.25</v>
      </c>
      <c r="U300" s="183" t="s">
        <v>703</v>
      </c>
      <c r="V300" s="183" t="s">
        <v>526</v>
      </c>
      <c r="W300" s="183"/>
      <c r="X300" s="183"/>
      <c r="Y300" s="183"/>
      <c r="Z300" s="183"/>
      <c r="AA300" s="183"/>
      <c r="AB300" s="183"/>
      <c r="AC300" s="183"/>
      <c r="AD300" s="183"/>
      <c r="AE300" s="183"/>
    </row>
    <row r="301" spans="1:31" ht="27.6" hidden="1">
      <c r="A301" s="183" t="s">
        <v>694</v>
      </c>
      <c r="B301" s="183" t="s">
        <v>240</v>
      </c>
      <c r="C301" s="183" t="s">
        <v>240</v>
      </c>
      <c r="D301" s="184" t="s">
        <v>1183</v>
      </c>
      <c r="E301" s="183" t="s">
        <v>696</v>
      </c>
      <c r="F301" s="183" t="s">
        <v>697</v>
      </c>
      <c r="G301" s="183" t="s">
        <v>698</v>
      </c>
      <c r="H301" s="183" t="s">
        <v>1</v>
      </c>
      <c r="I301" s="183" t="s">
        <v>1605</v>
      </c>
      <c r="J301" s="188">
        <v>46294</v>
      </c>
      <c r="K301" s="183" t="s">
        <v>1606</v>
      </c>
      <c r="L301" s="183" t="s">
        <v>305</v>
      </c>
      <c r="M301" s="183"/>
      <c r="N301" s="185">
        <v>2</v>
      </c>
      <c r="O301" s="186">
        <v>9</v>
      </c>
      <c r="P301" s="185">
        <v>54</v>
      </c>
      <c r="Q301" s="185">
        <v>10</v>
      </c>
      <c r="R301" s="183" t="s">
        <v>702</v>
      </c>
      <c r="S301" s="185">
        <v>594</v>
      </c>
      <c r="T301" s="189">
        <f t="shared" si="4"/>
        <v>9.9</v>
      </c>
      <c r="U301" s="183" t="s">
        <v>703</v>
      </c>
      <c r="V301" s="183" t="s">
        <v>526</v>
      </c>
      <c r="W301" s="183"/>
      <c r="X301" s="183"/>
      <c r="Y301" s="183"/>
      <c r="Z301" s="183"/>
      <c r="AA301" s="183"/>
      <c r="AB301" s="183"/>
      <c r="AC301" s="183"/>
      <c r="AD301" s="183"/>
      <c r="AE301" s="183"/>
    </row>
    <row r="302" spans="1:31" ht="27.6" hidden="1">
      <c r="A302" s="183" t="s">
        <v>694</v>
      </c>
      <c r="B302" s="183" t="s">
        <v>240</v>
      </c>
      <c r="C302" s="183" t="s">
        <v>240</v>
      </c>
      <c r="D302" s="184" t="s">
        <v>1183</v>
      </c>
      <c r="E302" s="183" t="s">
        <v>696</v>
      </c>
      <c r="F302" s="183" t="s">
        <v>697</v>
      </c>
      <c r="G302" s="183" t="s">
        <v>698</v>
      </c>
      <c r="H302" s="183" t="s">
        <v>1</v>
      </c>
      <c r="I302" s="183" t="s">
        <v>1607</v>
      </c>
      <c r="J302" s="188">
        <v>46279</v>
      </c>
      <c r="K302" s="183" t="s">
        <v>1608</v>
      </c>
      <c r="L302" s="183" t="s">
        <v>306</v>
      </c>
      <c r="M302" s="183"/>
      <c r="N302" s="185">
        <v>17</v>
      </c>
      <c r="O302" s="186">
        <v>8</v>
      </c>
      <c r="P302" s="185">
        <v>34</v>
      </c>
      <c r="Q302" s="185">
        <v>9</v>
      </c>
      <c r="R302" s="183" t="s">
        <v>702</v>
      </c>
      <c r="S302" s="185">
        <v>514</v>
      </c>
      <c r="T302" s="189">
        <f t="shared" si="4"/>
        <v>8.5666666666666664</v>
      </c>
      <c r="U302" s="183" t="s">
        <v>703</v>
      </c>
      <c r="V302" s="183" t="s">
        <v>526</v>
      </c>
      <c r="W302" s="183"/>
      <c r="X302" s="183"/>
      <c r="Y302" s="183"/>
      <c r="Z302" s="183"/>
      <c r="AA302" s="183"/>
      <c r="AB302" s="183"/>
      <c r="AC302" s="183"/>
      <c r="AD302" s="183"/>
      <c r="AE302" s="183"/>
    </row>
    <row r="303" spans="1:31" ht="27.6" hidden="1">
      <c r="A303" s="183" t="s">
        <v>694</v>
      </c>
      <c r="B303" s="183" t="s">
        <v>240</v>
      </c>
      <c r="C303" s="183" t="s">
        <v>240</v>
      </c>
      <c r="D303" s="184" t="s">
        <v>1183</v>
      </c>
      <c r="E303" s="183" t="s">
        <v>696</v>
      </c>
      <c r="F303" s="183" t="s">
        <v>697</v>
      </c>
      <c r="G303" s="183" t="s">
        <v>698</v>
      </c>
      <c r="H303" s="183" t="s">
        <v>1</v>
      </c>
      <c r="I303" s="183" t="s">
        <v>1535</v>
      </c>
      <c r="J303" s="188">
        <v>46220</v>
      </c>
      <c r="K303" s="183" t="s">
        <v>1609</v>
      </c>
      <c r="L303" s="183" t="s">
        <v>307</v>
      </c>
      <c r="M303" s="183"/>
      <c r="N303" s="185">
        <v>76</v>
      </c>
      <c r="O303" s="186">
        <v>103</v>
      </c>
      <c r="P303" s="185">
        <v>9</v>
      </c>
      <c r="Q303" s="185">
        <v>104</v>
      </c>
      <c r="R303" s="183" t="s">
        <v>702</v>
      </c>
      <c r="S303" s="185">
        <v>6189</v>
      </c>
      <c r="T303" s="189">
        <f t="shared" si="4"/>
        <v>103.15</v>
      </c>
      <c r="U303" s="183" t="s">
        <v>703</v>
      </c>
      <c r="V303" s="183" t="s">
        <v>526</v>
      </c>
      <c r="W303" s="183"/>
      <c r="X303" s="183"/>
      <c r="Y303" s="183"/>
      <c r="Z303" s="183"/>
      <c r="AA303" s="183"/>
      <c r="AB303" s="183"/>
      <c r="AC303" s="183"/>
      <c r="AD303" s="183"/>
      <c r="AE303" s="183"/>
    </row>
    <row r="304" spans="1:31" ht="27.6" hidden="1">
      <c r="A304" s="183" t="s">
        <v>694</v>
      </c>
      <c r="B304" s="183" t="s">
        <v>240</v>
      </c>
      <c r="C304" s="183" t="s">
        <v>240</v>
      </c>
      <c r="D304" s="184" t="s">
        <v>1183</v>
      </c>
      <c r="E304" s="183" t="s">
        <v>696</v>
      </c>
      <c r="F304" s="183" t="s">
        <v>697</v>
      </c>
      <c r="G304" s="183" t="s">
        <v>698</v>
      </c>
      <c r="H304" s="183" t="s">
        <v>1</v>
      </c>
      <c r="I304" s="183" t="s">
        <v>1610</v>
      </c>
      <c r="J304" s="188">
        <v>46056</v>
      </c>
      <c r="K304" s="183" t="s">
        <v>1611</v>
      </c>
      <c r="L304" s="183" t="s">
        <v>308</v>
      </c>
      <c r="M304" s="183"/>
      <c r="N304" s="185">
        <v>240</v>
      </c>
      <c r="O304" s="186">
        <v>16</v>
      </c>
      <c r="P304" s="185">
        <v>10</v>
      </c>
      <c r="Q304" s="185">
        <v>17</v>
      </c>
      <c r="R304" s="183" t="s">
        <v>702</v>
      </c>
      <c r="S304" s="185">
        <v>970</v>
      </c>
      <c r="T304" s="189">
        <f t="shared" si="4"/>
        <v>16.166666666666668</v>
      </c>
      <c r="U304" s="183" t="s">
        <v>703</v>
      </c>
      <c r="V304" s="183" t="s">
        <v>526</v>
      </c>
      <c r="W304" s="183"/>
      <c r="X304" s="183"/>
      <c r="Y304" s="183"/>
      <c r="Z304" s="183"/>
      <c r="AA304" s="183"/>
      <c r="AB304" s="183"/>
      <c r="AC304" s="183"/>
      <c r="AD304" s="183"/>
      <c r="AE304" s="183"/>
    </row>
    <row r="305" spans="1:31" ht="27.6" hidden="1">
      <c r="A305" s="183" t="s">
        <v>694</v>
      </c>
      <c r="B305" s="183" t="s">
        <v>240</v>
      </c>
      <c r="C305" s="183" t="s">
        <v>240</v>
      </c>
      <c r="D305" s="184" t="s">
        <v>1245</v>
      </c>
      <c r="E305" s="183" t="s">
        <v>696</v>
      </c>
      <c r="F305" s="183" t="s">
        <v>697</v>
      </c>
      <c r="G305" s="183" t="s">
        <v>698</v>
      </c>
      <c r="H305" s="183" t="s">
        <v>1</v>
      </c>
      <c r="I305" s="183" t="s">
        <v>1612</v>
      </c>
      <c r="J305" s="188">
        <v>46273</v>
      </c>
      <c r="K305" s="183" t="s">
        <v>1613</v>
      </c>
      <c r="L305" s="183" t="s">
        <v>309</v>
      </c>
      <c r="M305" s="183"/>
      <c r="N305" s="185">
        <v>23</v>
      </c>
      <c r="O305" s="186">
        <v>19</v>
      </c>
      <c r="P305" s="185">
        <v>39</v>
      </c>
      <c r="Q305" s="185">
        <v>20</v>
      </c>
      <c r="R305" s="183" t="s">
        <v>702</v>
      </c>
      <c r="S305" s="185">
        <v>1179</v>
      </c>
      <c r="T305" s="189">
        <f t="shared" si="4"/>
        <v>19.649999999999999</v>
      </c>
      <c r="U305" s="183" t="s">
        <v>703</v>
      </c>
      <c r="V305" s="183" t="s">
        <v>526</v>
      </c>
      <c r="W305" s="183"/>
      <c r="X305" s="183"/>
      <c r="Y305" s="183"/>
      <c r="Z305" s="183"/>
      <c r="AA305" s="183"/>
      <c r="AB305" s="183"/>
      <c r="AC305" s="183"/>
      <c r="AD305" s="183"/>
      <c r="AE305" s="183"/>
    </row>
    <row r="306" spans="1:31" ht="27.6" hidden="1">
      <c r="A306" s="183" t="s">
        <v>694</v>
      </c>
      <c r="B306" s="183" t="s">
        <v>311</v>
      </c>
      <c r="C306" s="183" t="s">
        <v>311</v>
      </c>
      <c r="D306" s="184" t="s">
        <v>1166</v>
      </c>
      <c r="E306" s="183" t="s">
        <v>696</v>
      </c>
      <c r="F306" s="183" t="s">
        <v>697</v>
      </c>
      <c r="G306" s="183" t="s">
        <v>698</v>
      </c>
      <c r="H306" s="183" t="s">
        <v>1</v>
      </c>
      <c r="I306" s="183" t="s">
        <v>1084</v>
      </c>
      <c r="J306" s="188">
        <v>46290</v>
      </c>
      <c r="K306" s="183" t="s">
        <v>1614</v>
      </c>
      <c r="L306" s="183" t="s">
        <v>310</v>
      </c>
      <c r="M306" s="183" t="s">
        <v>1615</v>
      </c>
      <c r="N306" s="185">
        <v>6</v>
      </c>
      <c r="O306" s="186">
        <v>4</v>
      </c>
      <c r="P306" s="185">
        <v>53.5</v>
      </c>
      <c r="Q306" s="185">
        <v>5</v>
      </c>
      <c r="R306" s="183" t="s">
        <v>702</v>
      </c>
      <c r="S306" s="185">
        <v>293.5</v>
      </c>
      <c r="T306" s="189">
        <f t="shared" si="4"/>
        <v>4.8916666666666666</v>
      </c>
      <c r="U306" s="183" t="s">
        <v>703</v>
      </c>
      <c r="V306" s="183" t="s">
        <v>526</v>
      </c>
      <c r="W306" s="183"/>
      <c r="X306" s="183"/>
      <c r="Y306" s="183"/>
      <c r="Z306" s="183" t="s">
        <v>733</v>
      </c>
      <c r="AA306" s="183" t="s">
        <v>734</v>
      </c>
      <c r="AB306" s="183"/>
      <c r="AC306" s="183"/>
      <c r="AD306" s="183" t="s">
        <v>1616</v>
      </c>
      <c r="AE306" s="183" t="s">
        <v>1617</v>
      </c>
    </row>
    <row r="307" spans="1:31" ht="27.6" hidden="1">
      <c r="A307" s="183" t="s">
        <v>694</v>
      </c>
      <c r="B307" s="183" t="s">
        <v>311</v>
      </c>
      <c r="C307" s="183" t="s">
        <v>311</v>
      </c>
      <c r="D307" s="184" t="s">
        <v>1166</v>
      </c>
      <c r="E307" s="183" t="s">
        <v>696</v>
      </c>
      <c r="F307" s="183" t="s">
        <v>697</v>
      </c>
      <c r="G307" s="183" t="s">
        <v>698</v>
      </c>
      <c r="H307" s="183" t="s">
        <v>1</v>
      </c>
      <c r="I307" s="183" t="s">
        <v>1618</v>
      </c>
      <c r="J307" s="188">
        <v>46290</v>
      </c>
      <c r="K307" s="183" t="s">
        <v>1619</v>
      </c>
      <c r="L307" s="183" t="s">
        <v>312</v>
      </c>
      <c r="M307" s="183" t="s">
        <v>1620</v>
      </c>
      <c r="N307" s="185">
        <v>6</v>
      </c>
      <c r="O307" s="186">
        <v>10</v>
      </c>
      <c r="P307" s="185">
        <v>43.1</v>
      </c>
      <c r="Q307" s="185">
        <v>11</v>
      </c>
      <c r="R307" s="183" t="s">
        <v>702</v>
      </c>
      <c r="S307" s="185">
        <v>643.1</v>
      </c>
      <c r="T307" s="189">
        <f t="shared" si="4"/>
        <v>10.718333333333334</v>
      </c>
      <c r="U307" s="183" t="s">
        <v>703</v>
      </c>
      <c r="V307" s="183" t="s">
        <v>526</v>
      </c>
      <c r="W307" s="183"/>
      <c r="X307" s="183"/>
      <c r="Y307" s="183"/>
      <c r="Z307" s="183" t="s">
        <v>733</v>
      </c>
      <c r="AA307" s="183" t="s">
        <v>734</v>
      </c>
      <c r="AB307" s="183"/>
      <c r="AC307" s="183"/>
      <c r="AD307" s="183" t="s">
        <v>1621</v>
      </c>
      <c r="AE307" s="183" t="s">
        <v>1617</v>
      </c>
    </row>
    <row r="308" spans="1:31" ht="27.6" hidden="1">
      <c r="A308" s="183" t="s">
        <v>694</v>
      </c>
      <c r="B308" s="183" t="s">
        <v>314</v>
      </c>
      <c r="C308" s="183" t="s">
        <v>314</v>
      </c>
      <c r="D308" s="184" t="s">
        <v>1622</v>
      </c>
      <c r="E308" s="183" t="s">
        <v>696</v>
      </c>
      <c r="F308" s="183" t="s">
        <v>697</v>
      </c>
      <c r="G308" s="183" t="s">
        <v>698</v>
      </c>
      <c r="H308" s="183" t="s">
        <v>1</v>
      </c>
      <c r="I308" s="183" t="s">
        <v>1623</v>
      </c>
      <c r="J308" s="188">
        <v>46294</v>
      </c>
      <c r="K308" s="183" t="s">
        <v>1624</v>
      </c>
      <c r="L308" s="183" t="s">
        <v>313</v>
      </c>
      <c r="M308" s="183"/>
      <c r="N308" s="185">
        <v>2</v>
      </c>
      <c r="O308" s="186">
        <v>3</v>
      </c>
      <c r="P308" s="185">
        <v>16</v>
      </c>
      <c r="Q308" s="185">
        <v>4</v>
      </c>
      <c r="R308" s="183" t="s">
        <v>1625</v>
      </c>
      <c r="S308" s="185">
        <v>166</v>
      </c>
      <c r="T308" s="189">
        <f>S308/50</f>
        <v>3.32</v>
      </c>
      <c r="U308" s="183" t="s">
        <v>703</v>
      </c>
      <c r="V308" s="183" t="s">
        <v>526</v>
      </c>
      <c r="W308" s="183"/>
      <c r="X308" s="183"/>
      <c r="Y308" s="183"/>
      <c r="Z308" s="183"/>
      <c r="AA308" s="183"/>
      <c r="AB308" s="183"/>
      <c r="AC308" s="183"/>
      <c r="AD308" s="183"/>
      <c r="AE308" s="183"/>
    </row>
    <row r="309" spans="1:31" ht="27.6" hidden="1">
      <c r="A309" s="183" t="s">
        <v>694</v>
      </c>
      <c r="B309" s="183" t="s">
        <v>314</v>
      </c>
      <c r="C309" s="183" t="s">
        <v>314</v>
      </c>
      <c r="D309" s="184" t="s">
        <v>1157</v>
      </c>
      <c r="E309" s="183" t="s">
        <v>696</v>
      </c>
      <c r="F309" s="183" t="s">
        <v>697</v>
      </c>
      <c r="G309" s="183" t="s">
        <v>698</v>
      </c>
      <c r="H309" s="183" t="s">
        <v>1</v>
      </c>
      <c r="I309" s="183" t="s">
        <v>1147</v>
      </c>
      <c r="J309" s="188">
        <v>46288</v>
      </c>
      <c r="K309" s="183" t="s">
        <v>1626</v>
      </c>
      <c r="L309" s="183" t="s">
        <v>315</v>
      </c>
      <c r="M309" s="183"/>
      <c r="N309" s="185">
        <v>8</v>
      </c>
      <c r="O309" s="186">
        <v>13</v>
      </c>
      <c r="P309" s="185">
        <v>26</v>
      </c>
      <c r="Q309" s="185">
        <v>14</v>
      </c>
      <c r="R309" s="183" t="s">
        <v>1625</v>
      </c>
      <c r="S309" s="185">
        <v>676</v>
      </c>
      <c r="T309" s="189">
        <f t="shared" ref="T309:T321" si="5">S309/50</f>
        <v>13.52</v>
      </c>
      <c r="U309" s="183" t="s">
        <v>703</v>
      </c>
      <c r="V309" s="183" t="s">
        <v>526</v>
      </c>
      <c r="W309" s="183"/>
      <c r="X309" s="183"/>
      <c r="Y309" s="183"/>
      <c r="Z309" s="183"/>
      <c r="AA309" s="183"/>
      <c r="AB309" s="183"/>
      <c r="AC309" s="183"/>
      <c r="AD309" s="183"/>
      <c r="AE309" s="183"/>
    </row>
    <row r="310" spans="1:31" ht="27.6" hidden="1">
      <c r="A310" s="183" t="s">
        <v>694</v>
      </c>
      <c r="B310" s="183" t="s">
        <v>314</v>
      </c>
      <c r="C310" s="183" t="s">
        <v>314</v>
      </c>
      <c r="D310" s="184" t="s">
        <v>1157</v>
      </c>
      <c r="E310" s="183" t="s">
        <v>696</v>
      </c>
      <c r="F310" s="183" t="s">
        <v>697</v>
      </c>
      <c r="G310" s="183" t="s">
        <v>698</v>
      </c>
      <c r="H310" s="183" t="s">
        <v>1</v>
      </c>
      <c r="I310" s="183" t="s">
        <v>1627</v>
      </c>
      <c r="J310" s="188">
        <v>46289</v>
      </c>
      <c r="K310" s="183" t="s">
        <v>1628</v>
      </c>
      <c r="L310" s="183" t="s">
        <v>316</v>
      </c>
      <c r="M310" s="183"/>
      <c r="N310" s="185">
        <v>7</v>
      </c>
      <c r="O310" s="186">
        <v>27</v>
      </c>
      <c r="P310" s="185">
        <v>48</v>
      </c>
      <c r="Q310" s="185">
        <v>28</v>
      </c>
      <c r="R310" s="183" t="s">
        <v>1625</v>
      </c>
      <c r="S310" s="185">
        <v>1398</v>
      </c>
      <c r="T310" s="189">
        <f t="shared" si="5"/>
        <v>27.96</v>
      </c>
      <c r="U310" s="183" t="s">
        <v>703</v>
      </c>
      <c r="V310" s="183" t="s">
        <v>526</v>
      </c>
      <c r="W310" s="183"/>
      <c r="X310" s="183"/>
      <c r="Y310" s="183"/>
      <c r="Z310" s="183"/>
      <c r="AA310" s="183"/>
      <c r="AB310" s="183"/>
      <c r="AC310" s="183"/>
      <c r="AD310" s="183"/>
      <c r="AE310" s="183"/>
    </row>
    <row r="311" spans="1:31" ht="27.6" hidden="1">
      <c r="A311" s="183" t="s">
        <v>694</v>
      </c>
      <c r="B311" s="183" t="s">
        <v>314</v>
      </c>
      <c r="C311" s="183" t="s">
        <v>314</v>
      </c>
      <c r="D311" s="184" t="s">
        <v>1157</v>
      </c>
      <c r="E311" s="183" t="s">
        <v>696</v>
      </c>
      <c r="F311" s="183" t="s">
        <v>697</v>
      </c>
      <c r="G311" s="183" t="s">
        <v>698</v>
      </c>
      <c r="H311" s="183" t="s">
        <v>1</v>
      </c>
      <c r="I311" s="183" t="s">
        <v>1581</v>
      </c>
      <c r="J311" s="188">
        <v>46290</v>
      </c>
      <c r="K311" s="183" t="s">
        <v>1629</v>
      </c>
      <c r="L311" s="183" t="s">
        <v>317</v>
      </c>
      <c r="M311" s="183"/>
      <c r="N311" s="185">
        <v>6</v>
      </c>
      <c r="O311" s="186">
        <v>13</v>
      </c>
      <c r="P311" s="185">
        <v>22</v>
      </c>
      <c r="Q311" s="185">
        <v>14</v>
      </c>
      <c r="R311" s="183" t="s">
        <v>1625</v>
      </c>
      <c r="S311" s="185">
        <v>672</v>
      </c>
      <c r="T311" s="189">
        <f t="shared" si="5"/>
        <v>13.44</v>
      </c>
      <c r="U311" s="183" t="s">
        <v>703</v>
      </c>
      <c r="V311" s="183" t="s">
        <v>526</v>
      </c>
      <c r="W311" s="183"/>
      <c r="X311" s="183"/>
      <c r="Y311" s="183"/>
      <c r="Z311" s="183"/>
      <c r="AA311" s="183"/>
      <c r="AB311" s="183"/>
      <c r="AC311" s="183"/>
      <c r="AD311" s="183"/>
      <c r="AE311" s="183"/>
    </row>
    <row r="312" spans="1:31" ht="27.6" hidden="1">
      <c r="A312" s="183" t="s">
        <v>694</v>
      </c>
      <c r="B312" s="183" t="s">
        <v>314</v>
      </c>
      <c r="C312" s="183" t="s">
        <v>314</v>
      </c>
      <c r="D312" s="184" t="s">
        <v>1157</v>
      </c>
      <c r="E312" s="183" t="s">
        <v>696</v>
      </c>
      <c r="F312" s="183" t="s">
        <v>697</v>
      </c>
      <c r="G312" s="183" t="s">
        <v>698</v>
      </c>
      <c r="H312" s="183" t="s">
        <v>1</v>
      </c>
      <c r="I312" s="183" t="s">
        <v>1623</v>
      </c>
      <c r="J312" s="188">
        <v>46295</v>
      </c>
      <c r="K312" s="183" t="s">
        <v>1630</v>
      </c>
      <c r="L312" s="183" t="s">
        <v>318</v>
      </c>
      <c r="M312" s="183"/>
      <c r="N312" s="185">
        <v>1</v>
      </c>
      <c r="O312" s="186">
        <v>3</v>
      </c>
      <c r="P312" s="185">
        <v>23</v>
      </c>
      <c r="Q312" s="185">
        <v>4</v>
      </c>
      <c r="R312" s="183" t="s">
        <v>1625</v>
      </c>
      <c r="S312" s="185">
        <v>173</v>
      </c>
      <c r="T312" s="189">
        <f t="shared" si="5"/>
        <v>3.46</v>
      </c>
      <c r="U312" s="183" t="s">
        <v>703</v>
      </c>
      <c r="V312" s="183" t="s">
        <v>526</v>
      </c>
      <c r="W312" s="183"/>
      <c r="X312" s="183"/>
      <c r="Y312" s="183"/>
      <c r="Z312" s="183"/>
      <c r="AA312" s="183"/>
      <c r="AB312" s="183"/>
      <c r="AC312" s="183"/>
      <c r="AD312" s="183"/>
      <c r="AE312" s="183"/>
    </row>
    <row r="313" spans="1:31" ht="27.6" hidden="1">
      <c r="A313" s="183" t="s">
        <v>694</v>
      </c>
      <c r="B313" s="183" t="s">
        <v>314</v>
      </c>
      <c r="C313" s="183" t="s">
        <v>314</v>
      </c>
      <c r="D313" s="184" t="s">
        <v>1157</v>
      </c>
      <c r="E313" s="183" t="s">
        <v>696</v>
      </c>
      <c r="F313" s="183" t="s">
        <v>697</v>
      </c>
      <c r="G313" s="183" t="s">
        <v>698</v>
      </c>
      <c r="H313" s="183" t="s">
        <v>1</v>
      </c>
      <c r="I313" s="183" t="s">
        <v>1565</v>
      </c>
      <c r="J313" s="188">
        <v>46295</v>
      </c>
      <c r="K313" s="183" t="s">
        <v>1631</v>
      </c>
      <c r="L313" s="183" t="s">
        <v>319</v>
      </c>
      <c r="M313" s="183"/>
      <c r="N313" s="185">
        <v>1</v>
      </c>
      <c r="O313" s="186">
        <v>0</v>
      </c>
      <c r="P313" s="185">
        <v>9</v>
      </c>
      <c r="Q313" s="185">
        <v>1</v>
      </c>
      <c r="R313" s="183" t="s">
        <v>702</v>
      </c>
      <c r="S313" s="185">
        <v>9</v>
      </c>
      <c r="T313" s="189">
        <f t="shared" si="5"/>
        <v>0.18</v>
      </c>
      <c r="U313" s="183" t="s">
        <v>703</v>
      </c>
      <c r="V313" s="183" t="s">
        <v>526</v>
      </c>
      <c r="W313" s="183"/>
      <c r="X313" s="183"/>
      <c r="Y313" s="183"/>
      <c r="Z313" s="183"/>
      <c r="AA313" s="183"/>
      <c r="AB313" s="183"/>
      <c r="AC313" s="183"/>
      <c r="AD313" s="183"/>
      <c r="AE313" s="183"/>
    </row>
    <row r="314" spans="1:31" ht="27.6" hidden="1">
      <c r="A314" s="183" t="s">
        <v>694</v>
      </c>
      <c r="B314" s="183" t="s">
        <v>314</v>
      </c>
      <c r="C314" s="183" t="s">
        <v>314</v>
      </c>
      <c r="D314" s="184" t="s">
        <v>1157</v>
      </c>
      <c r="E314" s="183" t="s">
        <v>696</v>
      </c>
      <c r="F314" s="183" t="s">
        <v>697</v>
      </c>
      <c r="G314" s="183" t="s">
        <v>698</v>
      </c>
      <c r="H314" s="183" t="s">
        <v>1</v>
      </c>
      <c r="I314" s="183" t="s">
        <v>1632</v>
      </c>
      <c r="J314" s="188">
        <v>46290</v>
      </c>
      <c r="K314" s="183" t="s">
        <v>1633</v>
      </c>
      <c r="L314" s="183" t="s">
        <v>320</v>
      </c>
      <c r="M314" s="183"/>
      <c r="N314" s="185">
        <v>6</v>
      </c>
      <c r="O314" s="186">
        <v>15</v>
      </c>
      <c r="P314" s="185">
        <v>10</v>
      </c>
      <c r="Q314" s="185">
        <v>16</v>
      </c>
      <c r="R314" s="183" t="s">
        <v>1625</v>
      </c>
      <c r="S314" s="185">
        <v>760</v>
      </c>
      <c r="T314" s="189">
        <f t="shared" si="5"/>
        <v>15.2</v>
      </c>
      <c r="U314" s="183" t="s">
        <v>703</v>
      </c>
      <c r="V314" s="183" t="s">
        <v>526</v>
      </c>
      <c r="W314" s="183"/>
      <c r="X314" s="183"/>
      <c r="Y314" s="183"/>
      <c r="Z314" s="183"/>
      <c r="AA314" s="183"/>
      <c r="AB314" s="183"/>
      <c r="AC314" s="183"/>
      <c r="AD314" s="183"/>
      <c r="AE314" s="183"/>
    </row>
    <row r="315" spans="1:31" ht="27.6" hidden="1">
      <c r="A315" s="183" t="s">
        <v>694</v>
      </c>
      <c r="B315" s="183" t="s">
        <v>314</v>
      </c>
      <c r="C315" s="183" t="s">
        <v>314</v>
      </c>
      <c r="D315" s="184" t="s">
        <v>1245</v>
      </c>
      <c r="E315" s="183" t="s">
        <v>696</v>
      </c>
      <c r="F315" s="183" t="s">
        <v>697</v>
      </c>
      <c r="G315" s="183" t="s">
        <v>698</v>
      </c>
      <c r="H315" s="183" t="s">
        <v>1</v>
      </c>
      <c r="I315" s="183" t="s">
        <v>1634</v>
      </c>
      <c r="J315" s="188">
        <v>46283</v>
      </c>
      <c r="K315" s="183" t="s">
        <v>1635</v>
      </c>
      <c r="L315" s="183" t="s">
        <v>321</v>
      </c>
      <c r="M315" s="183"/>
      <c r="N315" s="185">
        <v>13</v>
      </c>
      <c r="O315" s="186">
        <v>16</v>
      </c>
      <c r="P315" s="185">
        <v>6</v>
      </c>
      <c r="Q315" s="185">
        <v>16</v>
      </c>
      <c r="R315" s="183" t="s">
        <v>1625</v>
      </c>
      <c r="S315" s="185">
        <v>806</v>
      </c>
      <c r="T315" s="189">
        <f t="shared" si="5"/>
        <v>16.12</v>
      </c>
      <c r="U315" s="183" t="s">
        <v>703</v>
      </c>
      <c r="V315" s="183" t="s">
        <v>526</v>
      </c>
      <c r="W315" s="183"/>
      <c r="X315" s="183"/>
      <c r="Y315" s="183"/>
      <c r="Z315" s="183"/>
      <c r="AA315" s="183"/>
      <c r="AB315" s="183"/>
      <c r="AC315" s="183"/>
      <c r="AD315" s="183"/>
      <c r="AE315" s="183"/>
    </row>
    <row r="316" spans="1:31" ht="27.6" hidden="1">
      <c r="A316" s="183" t="s">
        <v>694</v>
      </c>
      <c r="B316" s="183" t="s">
        <v>314</v>
      </c>
      <c r="C316" s="183" t="s">
        <v>314</v>
      </c>
      <c r="D316" s="184" t="s">
        <v>1170</v>
      </c>
      <c r="E316" s="183" t="s">
        <v>696</v>
      </c>
      <c r="F316" s="183" t="s">
        <v>697</v>
      </c>
      <c r="G316" s="183" t="s">
        <v>698</v>
      </c>
      <c r="H316" s="183" t="s">
        <v>1</v>
      </c>
      <c r="I316" s="183" t="s">
        <v>1581</v>
      </c>
      <c r="J316" s="188">
        <v>46287</v>
      </c>
      <c r="K316" s="183" t="s">
        <v>1636</v>
      </c>
      <c r="L316" s="183" t="s">
        <v>322</v>
      </c>
      <c r="M316" s="183"/>
      <c r="N316" s="185">
        <v>9</v>
      </c>
      <c r="O316" s="186">
        <v>5</v>
      </c>
      <c r="P316" s="185">
        <v>14</v>
      </c>
      <c r="Q316" s="185">
        <v>6</v>
      </c>
      <c r="R316" s="183" t="s">
        <v>1625</v>
      </c>
      <c r="S316" s="185">
        <v>264</v>
      </c>
      <c r="T316" s="189">
        <f t="shared" si="5"/>
        <v>5.28</v>
      </c>
      <c r="U316" s="183" t="s">
        <v>703</v>
      </c>
      <c r="V316" s="183" t="s">
        <v>526</v>
      </c>
      <c r="W316" s="183"/>
      <c r="X316" s="183"/>
      <c r="Y316" s="183"/>
      <c r="Z316" s="183"/>
      <c r="AA316" s="183"/>
      <c r="AB316" s="183"/>
      <c r="AC316" s="183"/>
      <c r="AD316" s="183"/>
      <c r="AE316" s="183"/>
    </row>
    <row r="317" spans="1:31" ht="27.6" hidden="1">
      <c r="A317" s="183" t="s">
        <v>694</v>
      </c>
      <c r="B317" s="183" t="s">
        <v>314</v>
      </c>
      <c r="C317" s="183" t="s">
        <v>314</v>
      </c>
      <c r="D317" s="184" t="s">
        <v>1170</v>
      </c>
      <c r="E317" s="183" t="s">
        <v>696</v>
      </c>
      <c r="F317" s="183" t="s">
        <v>697</v>
      </c>
      <c r="G317" s="183" t="s">
        <v>698</v>
      </c>
      <c r="H317" s="183" t="s">
        <v>1</v>
      </c>
      <c r="I317" s="183" t="s">
        <v>1546</v>
      </c>
      <c r="J317" s="188">
        <v>46289</v>
      </c>
      <c r="K317" s="183" t="s">
        <v>1637</v>
      </c>
      <c r="L317" s="183" t="s">
        <v>323</v>
      </c>
      <c r="M317" s="183"/>
      <c r="N317" s="185">
        <v>7</v>
      </c>
      <c r="O317" s="186">
        <v>2</v>
      </c>
      <c r="P317" s="185">
        <v>8</v>
      </c>
      <c r="Q317" s="185">
        <v>3</v>
      </c>
      <c r="R317" s="183" t="s">
        <v>1625</v>
      </c>
      <c r="S317" s="185">
        <v>108</v>
      </c>
      <c r="T317" s="189">
        <f t="shared" si="5"/>
        <v>2.16</v>
      </c>
      <c r="U317" s="183" t="s">
        <v>703</v>
      </c>
      <c r="V317" s="183" t="s">
        <v>526</v>
      </c>
      <c r="W317" s="183"/>
      <c r="X317" s="183"/>
      <c r="Y317" s="183"/>
      <c r="Z317" s="183"/>
      <c r="AA317" s="183"/>
      <c r="AB317" s="183"/>
      <c r="AC317" s="183"/>
      <c r="AD317" s="183"/>
      <c r="AE317" s="183"/>
    </row>
    <row r="318" spans="1:31" ht="27.6" hidden="1">
      <c r="A318" s="183" t="s">
        <v>694</v>
      </c>
      <c r="B318" s="183" t="s">
        <v>314</v>
      </c>
      <c r="C318" s="183" t="s">
        <v>314</v>
      </c>
      <c r="D318" s="184" t="s">
        <v>1170</v>
      </c>
      <c r="E318" s="183" t="s">
        <v>696</v>
      </c>
      <c r="F318" s="183" t="s">
        <v>697</v>
      </c>
      <c r="G318" s="183" t="s">
        <v>698</v>
      </c>
      <c r="H318" s="183" t="s">
        <v>1</v>
      </c>
      <c r="I318" s="183" t="s">
        <v>1558</v>
      </c>
      <c r="J318" s="188">
        <v>46286</v>
      </c>
      <c r="K318" s="183" t="s">
        <v>1638</v>
      </c>
      <c r="L318" s="183" t="s">
        <v>324</v>
      </c>
      <c r="M318" s="183"/>
      <c r="N318" s="185">
        <v>10</v>
      </c>
      <c r="O318" s="186">
        <v>15</v>
      </c>
      <c r="P318" s="185">
        <v>2</v>
      </c>
      <c r="Q318" s="185">
        <v>15</v>
      </c>
      <c r="R318" s="183" t="s">
        <v>1625</v>
      </c>
      <c r="S318" s="185">
        <v>752</v>
      </c>
      <c r="T318" s="189">
        <f t="shared" si="5"/>
        <v>15.04</v>
      </c>
      <c r="U318" s="183" t="s">
        <v>703</v>
      </c>
      <c r="V318" s="183" t="s">
        <v>526</v>
      </c>
      <c r="W318" s="183"/>
      <c r="X318" s="183"/>
      <c r="Y318" s="183"/>
      <c r="Z318" s="183"/>
      <c r="AA318" s="183"/>
      <c r="AB318" s="183"/>
      <c r="AC318" s="183"/>
      <c r="AD318" s="183"/>
      <c r="AE318" s="183"/>
    </row>
    <row r="319" spans="1:31" ht="27.6" hidden="1">
      <c r="A319" s="183" t="s">
        <v>694</v>
      </c>
      <c r="B319" s="183" t="s">
        <v>314</v>
      </c>
      <c r="C319" s="183" t="s">
        <v>314</v>
      </c>
      <c r="D319" s="184" t="s">
        <v>1170</v>
      </c>
      <c r="E319" s="183" t="s">
        <v>696</v>
      </c>
      <c r="F319" s="183" t="s">
        <v>697</v>
      </c>
      <c r="G319" s="183" t="s">
        <v>698</v>
      </c>
      <c r="H319" s="183" t="s">
        <v>1</v>
      </c>
      <c r="I319" s="183" t="s">
        <v>1639</v>
      </c>
      <c r="J319" s="188">
        <v>46287</v>
      </c>
      <c r="K319" s="183" t="s">
        <v>1640</v>
      </c>
      <c r="L319" s="183" t="s">
        <v>325</v>
      </c>
      <c r="M319" s="183"/>
      <c r="N319" s="185">
        <v>9</v>
      </c>
      <c r="O319" s="186">
        <v>16</v>
      </c>
      <c r="P319" s="185">
        <v>3</v>
      </c>
      <c r="Q319" s="185">
        <v>16</v>
      </c>
      <c r="R319" s="183" t="s">
        <v>1625</v>
      </c>
      <c r="S319" s="185">
        <v>803</v>
      </c>
      <c r="T319" s="189">
        <f t="shared" si="5"/>
        <v>16.059999999999999</v>
      </c>
      <c r="U319" s="183" t="s">
        <v>703</v>
      </c>
      <c r="V319" s="183" t="s">
        <v>526</v>
      </c>
      <c r="W319" s="183"/>
      <c r="X319" s="183"/>
      <c r="Y319" s="183"/>
      <c r="Z319" s="183"/>
      <c r="AA319" s="183"/>
      <c r="AB319" s="183"/>
      <c r="AC319" s="183"/>
      <c r="AD319" s="183"/>
      <c r="AE319" s="183"/>
    </row>
    <row r="320" spans="1:31" ht="27.6" hidden="1">
      <c r="A320" s="183" t="s">
        <v>694</v>
      </c>
      <c r="B320" s="183" t="s">
        <v>314</v>
      </c>
      <c r="C320" s="183" t="s">
        <v>314</v>
      </c>
      <c r="D320" s="184" t="s">
        <v>1170</v>
      </c>
      <c r="E320" s="183" t="s">
        <v>696</v>
      </c>
      <c r="F320" s="183" t="s">
        <v>697</v>
      </c>
      <c r="G320" s="183" t="s">
        <v>698</v>
      </c>
      <c r="H320" s="183" t="s">
        <v>1</v>
      </c>
      <c r="I320" s="183" t="s">
        <v>1641</v>
      </c>
      <c r="J320" s="188">
        <v>46287</v>
      </c>
      <c r="K320" s="183" t="s">
        <v>1642</v>
      </c>
      <c r="L320" s="183" t="s">
        <v>157</v>
      </c>
      <c r="M320" s="183"/>
      <c r="N320" s="185">
        <v>9</v>
      </c>
      <c r="O320" s="186">
        <v>11</v>
      </c>
      <c r="P320" s="185">
        <v>11</v>
      </c>
      <c r="Q320" s="185">
        <v>12</v>
      </c>
      <c r="R320" s="183" t="s">
        <v>1625</v>
      </c>
      <c r="S320" s="185">
        <v>561</v>
      </c>
      <c r="T320" s="189">
        <f t="shared" si="5"/>
        <v>11.22</v>
      </c>
      <c r="U320" s="183" t="s">
        <v>703</v>
      </c>
      <c r="V320" s="183" t="s">
        <v>526</v>
      </c>
      <c r="W320" s="183"/>
      <c r="X320" s="183"/>
      <c r="Y320" s="183"/>
      <c r="Z320" s="183"/>
      <c r="AA320" s="183"/>
      <c r="AB320" s="183"/>
      <c r="AC320" s="183"/>
      <c r="AD320" s="183"/>
      <c r="AE320" s="183"/>
    </row>
    <row r="321" spans="1:31" ht="27.6" hidden="1">
      <c r="A321" s="183" t="s">
        <v>694</v>
      </c>
      <c r="B321" s="183" t="s">
        <v>314</v>
      </c>
      <c r="C321" s="183" t="s">
        <v>314</v>
      </c>
      <c r="D321" s="184" t="s">
        <v>1170</v>
      </c>
      <c r="E321" s="183" t="s">
        <v>696</v>
      </c>
      <c r="F321" s="183" t="s">
        <v>697</v>
      </c>
      <c r="G321" s="183" t="s">
        <v>698</v>
      </c>
      <c r="H321" s="183" t="s">
        <v>1</v>
      </c>
      <c r="I321" s="183" t="s">
        <v>1643</v>
      </c>
      <c r="J321" s="188">
        <v>46293</v>
      </c>
      <c r="K321" s="183" t="s">
        <v>1644</v>
      </c>
      <c r="L321" s="183" t="s">
        <v>155</v>
      </c>
      <c r="M321" s="183"/>
      <c r="N321" s="185">
        <v>3</v>
      </c>
      <c r="O321" s="186">
        <v>28</v>
      </c>
      <c r="P321" s="185">
        <v>21</v>
      </c>
      <c r="Q321" s="185">
        <v>29</v>
      </c>
      <c r="R321" s="183" t="s">
        <v>1625</v>
      </c>
      <c r="S321" s="185">
        <v>1421</v>
      </c>
      <c r="T321" s="189">
        <f t="shared" si="5"/>
        <v>28.42</v>
      </c>
      <c r="U321" s="183" t="s">
        <v>703</v>
      </c>
      <c r="V321" s="183" t="s">
        <v>526</v>
      </c>
      <c r="W321" s="183"/>
      <c r="X321" s="183"/>
      <c r="Y321" s="183"/>
      <c r="Z321" s="183"/>
      <c r="AA321" s="183"/>
      <c r="AB321" s="183"/>
      <c r="AC321" s="183"/>
      <c r="AD321" s="183"/>
      <c r="AE321" s="183"/>
    </row>
    <row r="322" spans="1:31" ht="27.6" hidden="1">
      <c r="A322" s="183" t="s">
        <v>694</v>
      </c>
      <c r="B322" s="183" t="s">
        <v>327</v>
      </c>
      <c r="C322" s="183" t="s">
        <v>327</v>
      </c>
      <c r="D322" s="184" t="s">
        <v>1237</v>
      </c>
      <c r="E322" s="183" t="s">
        <v>696</v>
      </c>
      <c r="F322" s="183" t="s">
        <v>697</v>
      </c>
      <c r="G322" s="183" t="s">
        <v>698</v>
      </c>
      <c r="H322" s="183" t="s">
        <v>4</v>
      </c>
      <c r="I322" s="183" t="s">
        <v>729</v>
      </c>
      <c r="J322" s="188">
        <v>46091</v>
      </c>
      <c r="K322" s="183" t="s">
        <v>1645</v>
      </c>
      <c r="L322" s="183" t="s">
        <v>326</v>
      </c>
      <c r="M322" s="183" t="s">
        <v>1646</v>
      </c>
      <c r="N322" s="185">
        <v>205</v>
      </c>
      <c r="O322" s="186">
        <v>0</v>
      </c>
      <c r="P322" s="185">
        <v>29</v>
      </c>
      <c r="Q322" s="185">
        <v>1</v>
      </c>
      <c r="R322" s="183" t="s">
        <v>702</v>
      </c>
      <c r="S322" s="185">
        <v>29</v>
      </c>
      <c r="T322" s="189">
        <f t="shared" si="4"/>
        <v>0.48333333333333334</v>
      </c>
      <c r="U322" s="183" t="s">
        <v>703</v>
      </c>
      <c r="V322" s="183" t="s">
        <v>704</v>
      </c>
      <c r="W322" s="183" t="s">
        <v>1647</v>
      </c>
      <c r="X322" s="183"/>
      <c r="Y322" s="183"/>
      <c r="Z322" s="183" t="s">
        <v>733</v>
      </c>
      <c r="AA322" s="183" t="s">
        <v>734</v>
      </c>
      <c r="AB322" s="183" t="s">
        <v>1555</v>
      </c>
      <c r="AC322" s="183"/>
      <c r="AD322" s="183" t="s">
        <v>1648</v>
      </c>
      <c r="AE322" s="183" t="s">
        <v>1649</v>
      </c>
    </row>
    <row r="323" spans="1:31" ht="27.6" hidden="1">
      <c r="A323" s="183" t="s">
        <v>694</v>
      </c>
      <c r="B323" s="183" t="s">
        <v>327</v>
      </c>
      <c r="C323" s="183" t="s">
        <v>327</v>
      </c>
      <c r="D323" s="184" t="s">
        <v>1237</v>
      </c>
      <c r="E323" s="183" t="s">
        <v>696</v>
      </c>
      <c r="F323" s="183" t="s">
        <v>697</v>
      </c>
      <c r="G323" s="183" t="s">
        <v>698</v>
      </c>
      <c r="H323" s="183" t="s">
        <v>4</v>
      </c>
      <c r="I323" s="183" t="s">
        <v>729</v>
      </c>
      <c r="J323" s="188">
        <v>46133</v>
      </c>
      <c r="K323" s="183" t="s">
        <v>1650</v>
      </c>
      <c r="L323" s="183" t="s">
        <v>328</v>
      </c>
      <c r="M323" s="183" t="s">
        <v>1651</v>
      </c>
      <c r="N323" s="185">
        <v>163</v>
      </c>
      <c r="O323" s="186">
        <v>0</v>
      </c>
      <c r="P323" s="185">
        <v>26</v>
      </c>
      <c r="Q323" s="185">
        <v>0</v>
      </c>
      <c r="R323" s="183" t="s">
        <v>702</v>
      </c>
      <c r="S323" s="185">
        <v>26</v>
      </c>
      <c r="T323" s="189">
        <f t="shared" ref="T323:T386" si="6">S323/60</f>
        <v>0.43333333333333335</v>
      </c>
      <c r="U323" s="183" t="s">
        <v>703</v>
      </c>
      <c r="V323" s="183" t="s">
        <v>704</v>
      </c>
      <c r="W323" s="183" t="s">
        <v>1652</v>
      </c>
      <c r="X323" s="183"/>
      <c r="Y323" s="183"/>
      <c r="Z323" s="183" t="s">
        <v>733</v>
      </c>
      <c r="AA323" s="183" t="s">
        <v>734</v>
      </c>
      <c r="AB323" s="183" t="s">
        <v>821</v>
      </c>
      <c r="AC323" s="183"/>
      <c r="AD323" s="183" t="s">
        <v>1653</v>
      </c>
      <c r="AE323" s="183" t="s">
        <v>1649</v>
      </c>
    </row>
    <row r="324" spans="1:31" ht="27.6">
      <c r="A324" s="183" t="s">
        <v>694</v>
      </c>
      <c r="B324" s="183" t="s">
        <v>327</v>
      </c>
      <c r="C324" s="183" t="s">
        <v>327</v>
      </c>
      <c r="D324" s="184" t="s">
        <v>1237</v>
      </c>
      <c r="E324" s="183" t="s">
        <v>696</v>
      </c>
      <c r="F324" s="183" t="s">
        <v>697</v>
      </c>
      <c r="G324" s="183" t="s">
        <v>698</v>
      </c>
      <c r="H324" s="183" t="s">
        <v>4</v>
      </c>
      <c r="I324" s="183" t="s">
        <v>729</v>
      </c>
      <c r="J324" s="188">
        <v>46287</v>
      </c>
      <c r="K324" s="183" t="s">
        <v>1654</v>
      </c>
      <c r="L324" s="183" t="s">
        <v>329</v>
      </c>
      <c r="M324" s="183" t="s">
        <v>921</v>
      </c>
      <c r="N324" s="185">
        <v>9</v>
      </c>
      <c r="O324" s="186">
        <v>13</v>
      </c>
      <c r="P324" s="185">
        <v>38</v>
      </c>
      <c r="Q324" s="185">
        <v>14</v>
      </c>
      <c r="R324" s="183" t="s">
        <v>702</v>
      </c>
      <c r="S324" s="185">
        <v>818</v>
      </c>
      <c r="T324" s="189">
        <f t="shared" si="6"/>
        <v>13.633333333333333</v>
      </c>
      <c r="U324" s="183" t="s">
        <v>703</v>
      </c>
      <c r="V324" s="183" t="s">
        <v>704</v>
      </c>
      <c r="W324" s="183" t="s">
        <v>1655</v>
      </c>
      <c r="X324" s="183"/>
      <c r="Y324" s="183"/>
      <c r="Z324" s="183" t="s">
        <v>733</v>
      </c>
      <c r="AA324" s="183" t="s">
        <v>734</v>
      </c>
      <c r="AB324" s="183"/>
      <c r="AC324" s="183"/>
      <c r="AD324" s="183" t="s">
        <v>1656</v>
      </c>
      <c r="AE324" s="183" t="s">
        <v>1649</v>
      </c>
    </row>
    <row r="325" spans="1:31" ht="27.6">
      <c r="A325" s="183" t="s">
        <v>694</v>
      </c>
      <c r="B325" s="183" t="s">
        <v>327</v>
      </c>
      <c r="C325" s="183" t="s">
        <v>327</v>
      </c>
      <c r="D325" s="184" t="s">
        <v>1237</v>
      </c>
      <c r="E325" s="183" t="s">
        <v>696</v>
      </c>
      <c r="F325" s="183" t="s">
        <v>697</v>
      </c>
      <c r="G325" s="183" t="s">
        <v>698</v>
      </c>
      <c r="H325" s="183" t="s">
        <v>4</v>
      </c>
      <c r="I325" s="183" t="s">
        <v>729</v>
      </c>
      <c r="J325" s="188">
        <v>46287</v>
      </c>
      <c r="K325" s="183" t="s">
        <v>1657</v>
      </c>
      <c r="L325" s="183" t="s">
        <v>330</v>
      </c>
      <c r="M325" s="183" t="s">
        <v>1658</v>
      </c>
      <c r="N325" s="185">
        <v>9</v>
      </c>
      <c r="O325" s="186">
        <v>61</v>
      </c>
      <c r="P325" s="185">
        <v>3</v>
      </c>
      <c r="Q325" s="185">
        <v>61</v>
      </c>
      <c r="R325" s="183" t="s">
        <v>702</v>
      </c>
      <c r="S325" s="185">
        <v>3663</v>
      </c>
      <c r="T325" s="189">
        <f t="shared" si="6"/>
        <v>61.05</v>
      </c>
      <c r="U325" s="183" t="s">
        <v>703</v>
      </c>
      <c r="V325" s="183" t="s">
        <v>704</v>
      </c>
      <c r="W325" s="183" t="s">
        <v>1659</v>
      </c>
      <c r="X325" s="183"/>
      <c r="Y325" s="183"/>
      <c r="Z325" s="183" t="s">
        <v>733</v>
      </c>
      <c r="AA325" s="183" t="s">
        <v>734</v>
      </c>
      <c r="AB325" s="183"/>
      <c r="AC325" s="183"/>
      <c r="AD325" s="183" t="s">
        <v>1660</v>
      </c>
      <c r="AE325" s="183" t="s">
        <v>1649</v>
      </c>
    </row>
    <row r="326" spans="1:31" ht="27.6" hidden="1">
      <c r="A326" s="183" t="s">
        <v>694</v>
      </c>
      <c r="B326" s="183" t="s">
        <v>327</v>
      </c>
      <c r="C326" s="183" t="s">
        <v>327</v>
      </c>
      <c r="D326" s="184" t="s">
        <v>1237</v>
      </c>
      <c r="E326" s="183" t="s">
        <v>696</v>
      </c>
      <c r="F326" s="183" t="s">
        <v>697</v>
      </c>
      <c r="G326" s="183" t="s">
        <v>698</v>
      </c>
      <c r="H326" s="183" t="s">
        <v>4</v>
      </c>
      <c r="I326" s="183" t="s">
        <v>729</v>
      </c>
      <c r="J326" s="188">
        <v>46128</v>
      </c>
      <c r="K326" s="183" t="s">
        <v>1661</v>
      </c>
      <c r="L326" s="183" t="s">
        <v>331</v>
      </c>
      <c r="M326" s="183" t="s">
        <v>1662</v>
      </c>
      <c r="N326" s="185">
        <v>168</v>
      </c>
      <c r="O326" s="186">
        <v>29</v>
      </c>
      <c r="P326" s="185">
        <v>33.9</v>
      </c>
      <c r="Q326" s="185">
        <v>30</v>
      </c>
      <c r="R326" s="183" t="s">
        <v>702</v>
      </c>
      <c r="S326" s="185">
        <v>1773.9</v>
      </c>
      <c r="T326" s="189">
        <f t="shared" si="6"/>
        <v>29.565000000000001</v>
      </c>
      <c r="U326" s="183" t="s">
        <v>703</v>
      </c>
      <c r="V326" s="183" t="s">
        <v>704</v>
      </c>
      <c r="W326" s="183" t="s">
        <v>1663</v>
      </c>
      <c r="X326" s="183"/>
      <c r="Y326" s="183"/>
      <c r="Z326" s="183" t="s">
        <v>1664</v>
      </c>
      <c r="AA326" s="183" t="s">
        <v>1665</v>
      </c>
      <c r="AB326" s="183" t="s">
        <v>1543</v>
      </c>
      <c r="AC326" s="183"/>
      <c r="AD326" s="183" t="s">
        <v>1666</v>
      </c>
      <c r="AE326" s="183"/>
    </row>
    <row r="327" spans="1:31" ht="27.6" hidden="1">
      <c r="A327" s="183" t="s">
        <v>694</v>
      </c>
      <c r="B327" s="183" t="s">
        <v>327</v>
      </c>
      <c r="C327" s="183" t="s">
        <v>327</v>
      </c>
      <c r="D327" s="184" t="s">
        <v>1237</v>
      </c>
      <c r="E327" s="183" t="s">
        <v>696</v>
      </c>
      <c r="F327" s="183" t="s">
        <v>697</v>
      </c>
      <c r="G327" s="183" t="s">
        <v>698</v>
      </c>
      <c r="H327" s="183" t="s">
        <v>4</v>
      </c>
      <c r="I327" s="183" t="s">
        <v>729</v>
      </c>
      <c r="J327" s="188">
        <v>46149</v>
      </c>
      <c r="K327" s="183" t="s">
        <v>1667</v>
      </c>
      <c r="L327" s="183" t="s">
        <v>332</v>
      </c>
      <c r="M327" s="183" t="s">
        <v>1668</v>
      </c>
      <c r="N327" s="185">
        <v>147</v>
      </c>
      <c r="O327" s="186">
        <v>0</v>
      </c>
      <c r="P327" s="185">
        <v>26.08</v>
      </c>
      <c r="Q327" s="185">
        <v>1</v>
      </c>
      <c r="R327" s="183" t="s">
        <v>702</v>
      </c>
      <c r="S327" s="185">
        <v>26.08</v>
      </c>
      <c r="T327" s="189">
        <f t="shared" si="6"/>
        <v>0.43466666666666665</v>
      </c>
      <c r="U327" s="183" t="s">
        <v>703</v>
      </c>
      <c r="V327" s="183" t="s">
        <v>704</v>
      </c>
      <c r="W327" s="183" t="s">
        <v>1669</v>
      </c>
      <c r="X327" s="183"/>
      <c r="Y327" s="183"/>
      <c r="Z327" s="183" t="s">
        <v>706</v>
      </c>
      <c r="AA327" s="183" t="s">
        <v>707</v>
      </c>
      <c r="AB327" s="183"/>
      <c r="AC327" s="183"/>
      <c r="AD327" s="183" t="s">
        <v>1670</v>
      </c>
      <c r="AE327" s="183"/>
    </row>
    <row r="328" spans="1:31" ht="27.6" hidden="1">
      <c r="A328" s="183" t="s">
        <v>694</v>
      </c>
      <c r="B328" s="183" t="s">
        <v>327</v>
      </c>
      <c r="C328" s="183" t="s">
        <v>327</v>
      </c>
      <c r="D328" s="184" t="s">
        <v>1237</v>
      </c>
      <c r="E328" s="183" t="s">
        <v>696</v>
      </c>
      <c r="F328" s="183" t="s">
        <v>697</v>
      </c>
      <c r="G328" s="183" t="s">
        <v>698</v>
      </c>
      <c r="H328" s="183" t="s">
        <v>4</v>
      </c>
      <c r="I328" s="183" t="s">
        <v>729</v>
      </c>
      <c r="J328" s="188">
        <v>46149</v>
      </c>
      <c r="K328" s="183" t="s">
        <v>1671</v>
      </c>
      <c r="L328" s="183" t="s">
        <v>333</v>
      </c>
      <c r="M328" s="183" t="s">
        <v>1672</v>
      </c>
      <c r="N328" s="185">
        <v>147</v>
      </c>
      <c r="O328" s="186">
        <v>0</v>
      </c>
      <c r="P328" s="185">
        <v>47.2</v>
      </c>
      <c r="Q328" s="185">
        <v>1</v>
      </c>
      <c r="R328" s="183" t="s">
        <v>702</v>
      </c>
      <c r="S328" s="185">
        <v>47.2</v>
      </c>
      <c r="T328" s="189">
        <f t="shared" si="6"/>
        <v>0.78666666666666674</v>
      </c>
      <c r="U328" s="183" t="s">
        <v>703</v>
      </c>
      <c r="V328" s="183" t="s">
        <v>704</v>
      </c>
      <c r="W328" s="183" t="s">
        <v>1673</v>
      </c>
      <c r="X328" s="183"/>
      <c r="Y328" s="183"/>
      <c r="Z328" s="183" t="s">
        <v>706</v>
      </c>
      <c r="AA328" s="183" t="s">
        <v>707</v>
      </c>
      <c r="AB328" s="183"/>
      <c r="AC328" s="183"/>
      <c r="AD328" s="183" t="s">
        <v>1674</v>
      </c>
      <c r="AE328" s="183"/>
    </row>
    <row r="329" spans="1:31" ht="27.6" hidden="1">
      <c r="A329" s="183" t="s">
        <v>694</v>
      </c>
      <c r="B329" s="183" t="s">
        <v>327</v>
      </c>
      <c r="C329" s="183" t="s">
        <v>327</v>
      </c>
      <c r="D329" s="184" t="s">
        <v>1237</v>
      </c>
      <c r="E329" s="183" t="s">
        <v>696</v>
      </c>
      <c r="F329" s="183" t="s">
        <v>697</v>
      </c>
      <c r="G329" s="183" t="s">
        <v>698</v>
      </c>
      <c r="H329" s="183" t="s">
        <v>5</v>
      </c>
      <c r="I329" s="183" t="s">
        <v>729</v>
      </c>
      <c r="J329" s="188">
        <v>46112</v>
      </c>
      <c r="K329" s="183" t="s">
        <v>1675</v>
      </c>
      <c r="L329" s="183" t="s">
        <v>334</v>
      </c>
      <c r="M329" s="183" t="s">
        <v>1676</v>
      </c>
      <c r="N329" s="185">
        <v>184</v>
      </c>
      <c r="O329" s="186">
        <v>0</v>
      </c>
      <c r="P329" s="185">
        <v>15</v>
      </c>
      <c r="Q329" s="185">
        <v>1</v>
      </c>
      <c r="R329" s="183" t="s">
        <v>702</v>
      </c>
      <c r="S329" s="185">
        <v>15</v>
      </c>
      <c r="T329" s="189">
        <f t="shared" si="6"/>
        <v>0.25</v>
      </c>
      <c r="U329" s="183" t="s">
        <v>703</v>
      </c>
      <c r="V329" s="183" t="s">
        <v>704</v>
      </c>
      <c r="W329" s="183" t="s">
        <v>1677</v>
      </c>
      <c r="X329" s="183"/>
      <c r="Y329" s="183"/>
      <c r="Z329" s="183" t="s">
        <v>733</v>
      </c>
      <c r="AA329" s="183" t="s">
        <v>734</v>
      </c>
      <c r="AB329" s="183"/>
      <c r="AC329" s="183"/>
      <c r="AD329" s="183" t="s">
        <v>1678</v>
      </c>
      <c r="AE329" s="183" t="s">
        <v>1649</v>
      </c>
    </row>
    <row r="330" spans="1:31" ht="27.6" hidden="1">
      <c r="A330" s="183" t="s">
        <v>694</v>
      </c>
      <c r="B330" s="183" t="s">
        <v>327</v>
      </c>
      <c r="C330" s="183" t="s">
        <v>327</v>
      </c>
      <c r="D330" s="184" t="s">
        <v>1679</v>
      </c>
      <c r="E330" s="183" t="s">
        <v>696</v>
      </c>
      <c r="F330" s="183" t="s">
        <v>697</v>
      </c>
      <c r="G330" s="183" t="s">
        <v>698</v>
      </c>
      <c r="H330" s="183" t="s">
        <v>4</v>
      </c>
      <c r="I330" s="183" t="s">
        <v>729</v>
      </c>
      <c r="J330" s="188">
        <v>46163</v>
      </c>
      <c r="K330" s="183" t="s">
        <v>1680</v>
      </c>
      <c r="L330" s="183" t="s">
        <v>335</v>
      </c>
      <c r="M330" s="183" t="s">
        <v>1681</v>
      </c>
      <c r="N330" s="185">
        <v>133</v>
      </c>
      <c r="O330" s="186">
        <v>0</v>
      </c>
      <c r="P330" s="185">
        <v>26.6</v>
      </c>
      <c r="Q330" s="185">
        <v>1</v>
      </c>
      <c r="R330" s="183" t="s">
        <v>702</v>
      </c>
      <c r="S330" s="185">
        <v>26.6</v>
      </c>
      <c r="T330" s="189">
        <f t="shared" si="6"/>
        <v>0.44333333333333336</v>
      </c>
      <c r="U330" s="183" t="s">
        <v>703</v>
      </c>
      <c r="V330" s="183" t="s">
        <v>704</v>
      </c>
      <c r="W330" s="183" t="s">
        <v>1682</v>
      </c>
      <c r="X330" s="183"/>
      <c r="Y330" s="183"/>
      <c r="Z330" s="183" t="s">
        <v>706</v>
      </c>
      <c r="AA330" s="183" t="s">
        <v>707</v>
      </c>
      <c r="AB330" s="183"/>
      <c r="AC330" s="183"/>
      <c r="AD330" s="183" t="s">
        <v>1683</v>
      </c>
      <c r="AE330" s="183"/>
    </row>
    <row r="331" spans="1:31" ht="27.6" hidden="1">
      <c r="A331" s="183" t="s">
        <v>694</v>
      </c>
      <c r="B331" s="183" t="s">
        <v>337</v>
      </c>
      <c r="C331" s="183" t="s">
        <v>337</v>
      </c>
      <c r="D331" s="184" t="s">
        <v>1684</v>
      </c>
      <c r="E331" s="183" t="s">
        <v>696</v>
      </c>
      <c r="F331" s="183" t="s">
        <v>697</v>
      </c>
      <c r="G331" s="183" t="s">
        <v>698</v>
      </c>
      <c r="H331" s="183" t="s">
        <v>1</v>
      </c>
      <c r="I331" s="183" t="s">
        <v>1084</v>
      </c>
      <c r="J331" s="188">
        <v>46290</v>
      </c>
      <c r="K331" s="183" t="s">
        <v>1685</v>
      </c>
      <c r="L331" s="183" t="s">
        <v>336</v>
      </c>
      <c r="M331" s="183" t="s">
        <v>1686</v>
      </c>
      <c r="N331" s="185">
        <v>6</v>
      </c>
      <c r="O331" s="186">
        <v>16</v>
      </c>
      <c r="P331" s="185">
        <v>32.700000000000003</v>
      </c>
      <c r="Q331" s="185">
        <v>17</v>
      </c>
      <c r="R331" s="183" t="s">
        <v>702</v>
      </c>
      <c r="S331" s="185">
        <v>992.7</v>
      </c>
      <c r="T331" s="189">
        <f t="shared" si="6"/>
        <v>16.545000000000002</v>
      </c>
      <c r="U331" s="183" t="s">
        <v>703</v>
      </c>
      <c r="V331" s="183" t="s">
        <v>526</v>
      </c>
      <c r="W331" s="183"/>
      <c r="X331" s="183"/>
      <c r="Y331" s="183"/>
      <c r="Z331" s="183" t="s">
        <v>733</v>
      </c>
      <c r="AA331" s="183" t="s">
        <v>734</v>
      </c>
      <c r="AB331" s="183"/>
      <c r="AC331" s="183"/>
      <c r="AD331" s="183" t="s">
        <v>1687</v>
      </c>
      <c r="AE331" s="183" t="s">
        <v>1688</v>
      </c>
    </row>
    <row r="332" spans="1:31" ht="27.6" hidden="1">
      <c r="A332" s="183" t="s">
        <v>694</v>
      </c>
      <c r="B332" s="183" t="s">
        <v>337</v>
      </c>
      <c r="C332" s="183" t="s">
        <v>337</v>
      </c>
      <c r="D332" s="184" t="s">
        <v>1679</v>
      </c>
      <c r="E332" s="183" t="s">
        <v>696</v>
      </c>
      <c r="F332" s="183" t="s">
        <v>697</v>
      </c>
      <c r="G332" s="183" t="s">
        <v>698</v>
      </c>
      <c r="H332" s="183" t="s">
        <v>4</v>
      </c>
      <c r="I332" s="183" t="s">
        <v>729</v>
      </c>
      <c r="J332" s="188">
        <v>46098</v>
      </c>
      <c r="K332" s="183" t="s">
        <v>1689</v>
      </c>
      <c r="L332" s="183" t="s">
        <v>338</v>
      </c>
      <c r="M332" s="183" t="s">
        <v>1690</v>
      </c>
      <c r="N332" s="185">
        <v>198</v>
      </c>
      <c r="O332" s="186">
        <v>0</v>
      </c>
      <c r="P332" s="185">
        <v>50</v>
      </c>
      <c r="Q332" s="185">
        <v>1</v>
      </c>
      <c r="R332" s="183" t="s">
        <v>702</v>
      </c>
      <c r="S332" s="185">
        <v>50</v>
      </c>
      <c r="T332" s="189">
        <f t="shared" si="6"/>
        <v>0.83333333333333337</v>
      </c>
      <c r="U332" s="183" t="s">
        <v>703</v>
      </c>
      <c r="V332" s="183" t="s">
        <v>704</v>
      </c>
      <c r="W332" s="183" t="s">
        <v>1691</v>
      </c>
      <c r="X332" s="183"/>
      <c r="Y332" s="183"/>
      <c r="Z332" s="183" t="s">
        <v>733</v>
      </c>
      <c r="AA332" s="183" t="s">
        <v>734</v>
      </c>
      <c r="AB332" s="183"/>
      <c r="AC332" s="183"/>
      <c r="AD332" s="183" t="s">
        <v>1692</v>
      </c>
      <c r="AE332" s="183" t="s">
        <v>1693</v>
      </c>
    </row>
    <row r="333" spans="1:31" ht="27.6" hidden="1">
      <c r="A333" s="183" t="s">
        <v>694</v>
      </c>
      <c r="B333" s="183" t="s">
        <v>337</v>
      </c>
      <c r="C333" s="183" t="s">
        <v>337</v>
      </c>
      <c r="D333" s="184" t="s">
        <v>1679</v>
      </c>
      <c r="E333" s="183" t="s">
        <v>696</v>
      </c>
      <c r="F333" s="183" t="s">
        <v>697</v>
      </c>
      <c r="G333" s="183" t="s">
        <v>698</v>
      </c>
      <c r="H333" s="183" t="s">
        <v>1</v>
      </c>
      <c r="I333" s="183" t="s">
        <v>1694</v>
      </c>
      <c r="J333" s="188">
        <v>46234</v>
      </c>
      <c r="K333" s="183" t="s">
        <v>1695</v>
      </c>
      <c r="L333" s="183" t="s">
        <v>339</v>
      </c>
      <c r="M333" s="183" t="s">
        <v>1696</v>
      </c>
      <c r="N333" s="185">
        <v>62</v>
      </c>
      <c r="O333" s="186">
        <v>8</v>
      </c>
      <c r="P333" s="185">
        <v>35.9</v>
      </c>
      <c r="Q333" s="185">
        <v>9</v>
      </c>
      <c r="R333" s="183" t="s">
        <v>702</v>
      </c>
      <c r="S333" s="185">
        <v>515.9</v>
      </c>
      <c r="T333" s="189">
        <f t="shared" si="6"/>
        <v>8.5983333333333327</v>
      </c>
      <c r="U333" s="183" t="s">
        <v>703</v>
      </c>
      <c r="V333" s="183" t="s">
        <v>526</v>
      </c>
      <c r="W333" s="183"/>
      <c r="X333" s="183"/>
      <c r="Y333" s="183"/>
      <c r="Z333" s="183" t="s">
        <v>733</v>
      </c>
      <c r="AA333" s="183" t="s">
        <v>734</v>
      </c>
      <c r="AB333" s="183"/>
      <c r="AC333" s="183"/>
      <c r="AD333" s="183" t="s">
        <v>1697</v>
      </c>
      <c r="AE333" s="183" t="s">
        <v>1693</v>
      </c>
    </row>
    <row r="334" spans="1:31" ht="27.6">
      <c r="A334" s="183" t="s">
        <v>694</v>
      </c>
      <c r="B334" s="183" t="s">
        <v>341</v>
      </c>
      <c r="C334" s="183" t="s">
        <v>341</v>
      </c>
      <c r="D334" s="184" t="s">
        <v>1183</v>
      </c>
      <c r="E334" s="183" t="s">
        <v>696</v>
      </c>
      <c r="F334" s="183" t="s">
        <v>697</v>
      </c>
      <c r="G334" s="183" t="s">
        <v>698</v>
      </c>
      <c r="H334" s="183" t="s">
        <v>4</v>
      </c>
      <c r="I334" s="183" t="s">
        <v>729</v>
      </c>
      <c r="J334" s="188">
        <v>46287</v>
      </c>
      <c r="K334" s="183" t="s">
        <v>1698</v>
      </c>
      <c r="L334" s="183" t="s">
        <v>340</v>
      </c>
      <c r="M334" s="183" t="s">
        <v>921</v>
      </c>
      <c r="N334" s="185">
        <v>9</v>
      </c>
      <c r="O334" s="186">
        <v>4</v>
      </c>
      <c r="P334" s="185">
        <v>42</v>
      </c>
      <c r="Q334" s="185">
        <v>5</v>
      </c>
      <c r="R334" s="183" t="s">
        <v>702</v>
      </c>
      <c r="S334" s="185">
        <v>282</v>
      </c>
      <c r="T334" s="189">
        <f t="shared" si="6"/>
        <v>4.7</v>
      </c>
      <c r="U334" s="183" t="s">
        <v>703</v>
      </c>
      <c r="V334" s="183" t="s">
        <v>704</v>
      </c>
      <c r="W334" s="183" t="s">
        <v>1699</v>
      </c>
      <c r="X334" s="183"/>
      <c r="Y334" s="183"/>
      <c r="Z334" s="183" t="s">
        <v>733</v>
      </c>
      <c r="AA334" s="183" t="s">
        <v>734</v>
      </c>
      <c r="AB334" s="183"/>
      <c r="AC334" s="183"/>
      <c r="AD334" s="183" t="s">
        <v>1700</v>
      </c>
      <c r="AE334" s="183" t="s">
        <v>1088</v>
      </c>
    </row>
    <row r="335" spans="1:31" ht="27.6" hidden="1">
      <c r="A335" s="183" t="s">
        <v>694</v>
      </c>
      <c r="B335" s="183" t="s">
        <v>341</v>
      </c>
      <c r="C335" s="183" t="s">
        <v>341</v>
      </c>
      <c r="D335" s="184" t="s">
        <v>1183</v>
      </c>
      <c r="E335" s="183" t="s">
        <v>696</v>
      </c>
      <c r="F335" s="183" t="s">
        <v>697</v>
      </c>
      <c r="G335" s="183" t="s">
        <v>698</v>
      </c>
      <c r="H335" s="183" t="s">
        <v>1</v>
      </c>
      <c r="I335" s="183" t="s">
        <v>1701</v>
      </c>
      <c r="J335" s="188">
        <v>46295</v>
      </c>
      <c r="K335" s="183" t="s">
        <v>1702</v>
      </c>
      <c r="L335" s="183" t="s">
        <v>342</v>
      </c>
      <c r="M335" s="183" t="s">
        <v>1703</v>
      </c>
      <c r="N335" s="185">
        <v>1</v>
      </c>
      <c r="O335" s="186">
        <v>63</v>
      </c>
      <c r="P335" s="185">
        <v>22.4</v>
      </c>
      <c r="Q335" s="185">
        <v>64</v>
      </c>
      <c r="R335" s="183" t="s">
        <v>702</v>
      </c>
      <c r="S335" s="185">
        <v>3802.4</v>
      </c>
      <c r="T335" s="189">
        <f t="shared" si="6"/>
        <v>63.373333333333335</v>
      </c>
      <c r="U335" s="183" t="s">
        <v>703</v>
      </c>
      <c r="V335" s="183" t="s">
        <v>526</v>
      </c>
      <c r="W335" s="183"/>
      <c r="X335" s="183"/>
      <c r="Y335" s="183"/>
      <c r="Z335" s="183" t="s">
        <v>733</v>
      </c>
      <c r="AA335" s="183" t="s">
        <v>734</v>
      </c>
      <c r="AB335" s="183"/>
      <c r="AC335" s="183"/>
      <c r="AD335" s="183" t="s">
        <v>1704</v>
      </c>
      <c r="AE335" s="183" t="s">
        <v>1088</v>
      </c>
    </row>
    <row r="336" spans="1:31" ht="27.6" hidden="1">
      <c r="A336" s="183" t="s">
        <v>694</v>
      </c>
      <c r="B336" s="183" t="s">
        <v>341</v>
      </c>
      <c r="C336" s="183" t="s">
        <v>341</v>
      </c>
      <c r="D336" s="184" t="s">
        <v>1183</v>
      </c>
      <c r="E336" s="183" t="s">
        <v>696</v>
      </c>
      <c r="F336" s="183" t="s">
        <v>697</v>
      </c>
      <c r="G336" s="183" t="s">
        <v>698</v>
      </c>
      <c r="H336" s="183" t="s">
        <v>1</v>
      </c>
      <c r="I336" s="183" t="s">
        <v>1705</v>
      </c>
      <c r="J336" s="188">
        <v>46294</v>
      </c>
      <c r="K336" s="183" t="s">
        <v>1702</v>
      </c>
      <c r="L336" s="183" t="s">
        <v>342</v>
      </c>
      <c r="M336" s="183" t="s">
        <v>1703</v>
      </c>
      <c r="N336" s="185">
        <v>2</v>
      </c>
      <c r="O336" s="186">
        <v>53</v>
      </c>
      <c r="P336" s="185">
        <v>9.3000000000000007</v>
      </c>
      <c r="Q336" s="185">
        <v>53</v>
      </c>
      <c r="R336" s="183" t="s">
        <v>702</v>
      </c>
      <c r="S336" s="185">
        <v>3189.3</v>
      </c>
      <c r="T336" s="189">
        <f t="shared" si="6"/>
        <v>53.155000000000001</v>
      </c>
      <c r="U336" s="183" t="s">
        <v>703</v>
      </c>
      <c r="V336" s="183" t="s">
        <v>526</v>
      </c>
      <c r="W336" s="183"/>
      <c r="X336" s="183"/>
      <c r="Y336" s="183"/>
      <c r="Z336" s="183" t="s">
        <v>733</v>
      </c>
      <c r="AA336" s="183" t="s">
        <v>734</v>
      </c>
      <c r="AB336" s="183"/>
      <c r="AC336" s="183"/>
      <c r="AD336" s="183" t="s">
        <v>1704</v>
      </c>
      <c r="AE336" s="183" t="s">
        <v>1088</v>
      </c>
    </row>
    <row r="337" spans="1:31" ht="27.6" hidden="1">
      <c r="A337" s="183" t="s">
        <v>694</v>
      </c>
      <c r="B337" s="183" t="s">
        <v>341</v>
      </c>
      <c r="C337" s="183" t="s">
        <v>341</v>
      </c>
      <c r="D337" s="184" t="s">
        <v>1183</v>
      </c>
      <c r="E337" s="183" t="s">
        <v>696</v>
      </c>
      <c r="F337" s="183" t="s">
        <v>697</v>
      </c>
      <c r="G337" s="183" t="s">
        <v>698</v>
      </c>
      <c r="H337" s="183" t="s">
        <v>6</v>
      </c>
      <c r="I337" s="183" t="s">
        <v>729</v>
      </c>
      <c r="J337" s="188">
        <v>46283</v>
      </c>
      <c r="K337" s="183" t="s">
        <v>1702</v>
      </c>
      <c r="L337" s="183" t="s">
        <v>342</v>
      </c>
      <c r="M337" s="183" t="s">
        <v>1703</v>
      </c>
      <c r="N337" s="185">
        <v>13</v>
      </c>
      <c r="O337" s="186">
        <v>4</v>
      </c>
      <c r="P337" s="185">
        <v>0</v>
      </c>
      <c r="Q337" s="185">
        <v>4</v>
      </c>
      <c r="R337" s="183" t="s">
        <v>702</v>
      </c>
      <c r="S337" s="185">
        <v>240</v>
      </c>
      <c r="T337" s="189">
        <f t="shared" si="6"/>
        <v>4</v>
      </c>
      <c r="U337" s="183" t="s">
        <v>703</v>
      </c>
      <c r="V337" s="183" t="s">
        <v>704</v>
      </c>
      <c r="W337" s="183" t="s">
        <v>1706</v>
      </c>
      <c r="X337" s="183"/>
      <c r="Y337" s="183"/>
      <c r="Z337" s="183" t="s">
        <v>733</v>
      </c>
      <c r="AA337" s="183" t="s">
        <v>734</v>
      </c>
      <c r="AB337" s="183"/>
      <c r="AC337" s="183"/>
      <c r="AD337" s="183" t="s">
        <v>1704</v>
      </c>
      <c r="AE337" s="183" t="s">
        <v>1088</v>
      </c>
    </row>
    <row r="338" spans="1:31" ht="27.6" hidden="1">
      <c r="A338" s="183" t="s">
        <v>694</v>
      </c>
      <c r="B338" s="183" t="s">
        <v>344</v>
      </c>
      <c r="C338" s="183" t="s">
        <v>344</v>
      </c>
      <c r="D338" s="184" t="s">
        <v>1707</v>
      </c>
      <c r="E338" s="183" t="s">
        <v>696</v>
      </c>
      <c r="F338" s="183" t="s">
        <v>697</v>
      </c>
      <c r="G338" s="183" t="s">
        <v>698</v>
      </c>
      <c r="H338" s="183" t="s">
        <v>1</v>
      </c>
      <c r="I338" s="183" t="s">
        <v>1200</v>
      </c>
      <c r="J338" s="188">
        <v>46234</v>
      </c>
      <c r="K338" s="183" t="s">
        <v>1708</v>
      </c>
      <c r="L338" s="183" t="s">
        <v>343</v>
      </c>
      <c r="M338" s="183" t="s">
        <v>1709</v>
      </c>
      <c r="N338" s="185">
        <v>62</v>
      </c>
      <c r="O338" s="186">
        <v>2</v>
      </c>
      <c r="P338" s="185">
        <v>36.299999999999997</v>
      </c>
      <c r="Q338" s="185">
        <v>3</v>
      </c>
      <c r="R338" s="183" t="s">
        <v>702</v>
      </c>
      <c r="S338" s="185">
        <v>156.30000000000001</v>
      </c>
      <c r="T338" s="189">
        <f t="shared" si="6"/>
        <v>2.605</v>
      </c>
      <c r="U338" s="183" t="s">
        <v>703</v>
      </c>
      <c r="V338" s="183" t="s">
        <v>526</v>
      </c>
      <c r="W338" s="183"/>
      <c r="X338" s="183"/>
      <c r="Y338" s="183"/>
      <c r="Z338" s="183" t="s">
        <v>733</v>
      </c>
      <c r="AA338" s="183" t="s">
        <v>734</v>
      </c>
      <c r="AB338" s="183"/>
      <c r="AC338" s="183"/>
      <c r="AD338" s="183" t="s">
        <v>1710</v>
      </c>
      <c r="AE338" s="183" t="s">
        <v>806</v>
      </c>
    </row>
    <row r="339" spans="1:31" ht="27.6" hidden="1">
      <c r="A339" s="183" t="s">
        <v>694</v>
      </c>
      <c r="B339" s="183" t="s">
        <v>344</v>
      </c>
      <c r="C339" s="183" t="s">
        <v>344</v>
      </c>
      <c r="D339" s="184" t="s">
        <v>1707</v>
      </c>
      <c r="E339" s="183" t="s">
        <v>696</v>
      </c>
      <c r="F339" s="183" t="s">
        <v>697</v>
      </c>
      <c r="G339" s="183" t="s">
        <v>698</v>
      </c>
      <c r="H339" s="183" t="s">
        <v>1</v>
      </c>
      <c r="I339" s="183" t="s">
        <v>1248</v>
      </c>
      <c r="J339" s="188">
        <v>46240</v>
      </c>
      <c r="K339" s="183" t="s">
        <v>1711</v>
      </c>
      <c r="L339" s="183" t="s">
        <v>345</v>
      </c>
      <c r="M339" s="183" t="s">
        <v>1712</v>
      </c>
      <c r="N339" s="185">
        <v>56</v>
      </c>
      <c r="O339" s="186">
        <v>6</v>
      </c>
      <c r="P339" s="185">
        <v>1.6</v>
      </c>
      <c r="Q339" s="185">
        <v>6</v>
      </c>
      <c r="R339" s="183" t="s">
        <v>702</v>
      </c>
      <c r="S339" s="185">
        <v>361.6</v>
      </c>
      <c r="T339" s="189">
        <f t="shared" si="6"/>
        <v>6.0266666666666673</v>
      </c>
      <c r="U339" s="183" t="s">
        <v>703</v>
      </c>
      <c r="V339" s="183" t="s">
        <v>526</v>
      </c>
      <c r="W339" s="183"/>
      <c r="X339" s="183"/>
      <c r="Y339" s="183"/>
      <c r="Z339" s="183" t="s">
        <v>733</v>
      </c>
      <c r="AA339" s="183" t="s">
        <v>734</v>
      </c>
      <c r="AB339" s="183"/>
      <c r="AC339" s="183"/>
      <c r="AD339" s="183" t="s">
        <v>1713</v>
      </c>
      <c r="AE339" s="183" t="s">
        <v>806</v>
      </c>
    </row>
    <row r="340" spans="1:31" ht="27.6" hidden="1">
      <c r="A340" s="183" t="s">
        <v>694</v>
      </c>
      <c r="B340" s="183" t="s">
        <v>347</v>
      </c>
      <c r="C340" s="183" t="s">
        <v>347</v>
      </c>
      <c r="D340" s="184" t="s">
        <v>817</v>
      </c>
      <c r="E340" s="183" t="s">
        <v>696</v>
      </c>
      <c r="F340" s="183" t="s">
        <v>697</v>
      </c>
      <c r="G340" s="183" t="s">
        <v>698</v>
      </c>
      <c r="H340" s="183" t="s">
        <v>4</v>
      </c>
      <c r="I340" s="183" t="s">
        <v>729</v>
      </c>
      <c r="J340" s="188">
        <v>46265</v>
      </c>
      <c r="K340" s="183" t="s">
        <v>1714</v>
      </c>
      <c r="L340" s="183" t="s">
        <v>346</v>
      </c>
      <c r="M340" s="183" t="s">
        <v>1668</v>
      </c>
      <c r="N340" s="185">
        <v>31</v>
      </c>
      <c r="O340" s="186">
        <v>0</v>
      </c>
      <c r="P340" s="185">
        <v>0.9</v>
      </c>
      <c r="Q340" s="185">
        <v>0</v>
      </c>
      <c r="R340" s="183" t="s">
        <v>702</v>
      </c>
      <c r="S340" s="185">
        <v>0.9</v>
      </c>
      <c r="T340" s="189">
        <f t="shared" si="6"/>
        <v>1.5000000000000001E-2</v>
      </c>
      <c r="U340" s="183" t="s">
        <v>703</v>
      </c>
      <c r="V340" s="183" t="s">
        <v>704</v>
      </c>
      <c r="W340" s="183" t="s">
        <v>1715</v>
      </c>
      <c r="X340" s="183"/>
      <c r="Y340" s="183"/>
      <c r="Z340" s="183" t="s">
        <v>706</v>
      </c>
      <c r="AA340" s="183" t="s">
        <v>707</v>
      </c>
      <c r="AB340" s="183" t="s">
        <v>708</v>
      </c>
      <c r="AC340" s="183"/>
      <c r="AD340" s="183" t="s">
        <v>1716</v>
      </c>
      <c r="AE340" s="183" t="s">
        <v>710</v>
      </c>
    </row>
    <row r="341" spans="1:31" ht="27.6" hidden="1">
      <c r="A341" s="183" t="s">
        <v>694</v>
      </c>
      <c r="B341" s="183" t="s">
        <v>347</v>
      </c>
      <c r="C341" s="183" t="s">
        <v>347</v>
      </c>
      <c r="D341" s="184" t="s">
        <v>817</v>
      </c>
      <c r="E341" s="183" t="s">
        <v>696</v>
      </c>
      <c r="F341" s="183" t="s">
        <v>697</v>
      </c>
      <c r="G341" s="183" t="s">
        <v>698</v>
      </c>
      <c r="H341" s="183" t="s">
        <v>1</v>
      </c>
      <c r="I341" s="183" t="s">
        <v>1717</v>
      </c>
      <c r="J341" s="188">
        <v>46279</v>
      </c>
      <c r="K341" s="183" t="s">
        <v>1718</v>
      </c>
      <c r="L341" s="183" t="s">
        <v>39</v>
      </c>
      <c r="M341" s="183" t="s">
        <v>725</v>
      </c>
      <c r="N341" s="185">
        <v>17</v>
      </c>
      <c r="O341" s="186">
        <v>5</v>
      </c>
      <c r="P341" s="185">
        <v>16.600000000000001</v>
      </c>
      <c r="Q341" s="185">
        <v>6</v>
      </c>
      <c r="R341" s="183" t="s">
        <v>702</v>
      </c>
      <c r="S341" s="185">
        <v>316.60000000000002</v>
      </c>
      <c r="T341" s="189">
        <f t="shared" si="6"/>
        <v>5.2766666666666673</v>
      </c>
      <c r="U341" s="183" t="s">
        <v>703</v>
      </c>
      <c r="V341" s="183" t="s">
        <v>526</v>
      </c>
      <c r="W341" s="183"/>
      <c r="X341" s="183"/>
      <c r="Y341" s="183"/>
      <c r="Z341" s="183" t="s">
        <v>715</v>
      </c>
      <c r="AA341" s="183" t="s">
        <v>716</v>
      </c>
      <c r="AB341" s="183"/>
      <c r="AC341" s="183"/>
      <c r="AD341" s="183" t="s">
        <v>1719</v>
      </c>
      <c r="AE341" s="183" t="s">
        <v>710</v>
      </c>
    </row>
    <row r="342" spans="1:31" ht="27.6" hidden="1">
      <c r="A342" s="183" t="s">
        <v>694</v>
      </c>
      <c r="B342" s="183" t="s">
        <v>347</v>
      </c>
      <c r="C342" s="183" t="s">
        <v>347</v>
      </c>
      <c r="D342" s="184" t="s">
        <v>817</v>
      </c>
      <c r="E342" s="183" t="s">
        <v>696</v>
      </c>
      <c r="F342" s="183" t="s">
        <v>697</v>
      </c>
      <c r="G342" s="183" t="s">
        <v>698</v>
      </c>
      <c r="H342" s="183" t="s">
        <v>1</v>
      </c>
      <c r="I342" s="183" t="s">
        <v>1720</v>
      </c>
      <c r="J342" s="188">
        <v>46279</v>
      </c>
      <c r="K342" s="183" t="s">
        <v>1721</v>
      </c>
      <c r="L342" s="183" t="s">
        <v>38</v>
      </c>
      <c r="M342" s="183" t="s">
        <v>720</v>
      </c>
      <c r="N342" s="185">
        <v>17</v>
      </c>
      <c r="O342" s="186">
        <v>4</v>
      </c>
      <c r="P342" s="185">
        <v>40.5</v>
      </c>
      <c r="Q342" s="185">
        <v>5</v>
      </c>
      <c r="R342" s="183" t="s">
        <v>702</v>
      </c>
      <c r="S342" s="185">
        <v>280.5</v>
      </c>
      <c r="T342" s="189">
        <f t="shared" si="6"/>
        <v>4.6749999999999998</v>
      </c>
      <c r="U342" s="183" t="s">
        <v>703</v>
      </c>
      <c r="V342" s="183" t="s">
        <v>526</v>
      </c>
      <c r="W342" s="183"/>
      <c r="X342" s="183"/>
      <c r="Y342" s="183"/>
      <c r="Z342" s="183" t="s">
        <v>715</v>
      </c>
      <c r="AA342" s="183" t="s">
        <v>716</v>
      </c>
      <c r="AB342" s="183"/>
      <c r="AC342" s="183"/>
      <c r="AD342" s="183" t="s">
        <v>1722</v>
      </c>
      <c r="AE342" s="183" t="s">
        <v>710</v>
      </c>
    </row>
    <row r="343" spans="1:31" ht="27.6" hidden="1">
      <c r="A343" s="183" t="s">
        <v>694</v>
      </c>
      <c r="B343" s="183" t="s">
        <v>347</v>
      </c>
      <c r="C343" s="183" t="s">
        <v>347</v>
      </c>
      <c r="D343" s="184" t="s">
        <v>817</v>
      </c>
      <c r="E343" s="183" t="s">
        <v>696</v>
      </c>
      <c r="F343" s="183" t="s">
        <v>697</v>
      </c>
      <c r="G343" s="183" t="s">
        <v>698</v>
      </c>
      <c r="H343" s="183" t="s">
        <v>1</v>
      </c>
      <c r="I343" s="183" t="s">
        <v>1723</v>
      </c>
      <c r="J343" s="188">
        <v>46288</v>
      </c>
      <c r="K343" s="183" t="s">
        <v>1724</v>
      </c>
      <c r="L343" s="183" t="s">
        <v>213</v>
      </c>
      <c r="M343" s="183" t="s">
        <v>1362</v>
      </c>
      <c r="N343" s="185">
        <v>8</v>
      </c>
      <c r="O343" s="186">
        <v>6</v>
      </c>
      <c r="P343" s="185">
        <v>4.7</v>
      </c>
      <c r="Q343" s="185">
        <v>7</v>
      </c>
      <c r="R343" s="183" t="s">
        <v>702</v>
      </c>
      <c r="S343" s="185">
        <v>364.7</v>
      </c>
      <c r="T343" s="189">
        <f t="shared" si="6"/>
        <v>6.0783333333333331</v>
      </c>
      <c r="U343" s="183" t="s">
        <v>703</v>
      </c>
      <c r="V343" s="183" t="s">
        <v>526</v>
      </c>
      <c r="W343" s="183"/>
      <c r="X343" s="183"/>
      <c r="Y343" s="183"/>
      <c r="Z343" s="183" t="s">
        <v>715</v>
      </c>
      <c r="AA343" s="183" t="s">
        <v>716</v>
      </c>
      <c r="AB343" s="183"/>
      <c r="AC343" s="183"/>
      <c r="AD343" s="183" t="s">
        <v>1725</v>
      </c>
      <c r="AE343" s="183" t="s">
        <v>710</v>
      </c>
    </row>
    <row r="344" spans="1:31" ht="27.6" hidden="1">
      <c r="A344" s="183" t="s">
        <v>694</v>
      </c>
      <c r="B344" s="183" t="s">
        <v>347</v>
      </c>
      <c r="C344" s="183" t="s">
        <v>347</v>
      </c>
      <c r="D344" s="184" t="s">
        <v>817</v>
      </c>
      <c r="E344" s="183" t="s">
        <v>696</v>
      </c>
      <c r="F344" s="183" t="s">
        <v>697</v>
      </c>
      <c r="G344" s="183" t="s">
        <v>698</v>
      </c>
      <c r="H344" s="183" t="s">
        <v>1</v>
      </c>
      <c r="I344" s="183" t="s">
        <v>1726</v>
      </c>
      <c r="J344" s="188">
        <v>46288</v>
      </c>
      <c r="K344" s="183" t="s">
        <v>1727</v>
      </c>
      <c r="L344" s="183" t="s">
        <v>37</v>
      </c>
      <c r="M344" s="183" t="s">
        <v>713</v>
      </c>
      <c r="N344" s="185">
        <v>8</v>
      </c>
      <c r="O344" s="186">
        <v>6</v>
      </c>
      <c r="P344" s="185">
        <v>18.7</v>
      </c>
      <c r="Q344" s="185">
        <v>7</v>
      </c>
      <c r="R344" s="183" t="s">
        <v>702</v>
      </c>
      <c r="S344" s="185">
        <v>378.7</v>
      </c>
      <c r="T344" s="189">
        <f t="shared" si="6"/>
        <v>6.3116666666666665</v>
      </c>
      <c r="U344" s="183" t="s">
        <v>703</v>
      </c>
      <c r="V344" s="183" t="s">
        <v>526</v>
      </c>
      <c r="W344" s="183"/>
      <c r="X344" s="183"/>
      <c r="Y344" s="183"/>
      <c r="Z344" s="183" t="s">
        <v>715</v>
      </c>
      <c r="AA344" s="183" t="s">
        <v>716</v>
      </c>
      <c r="AB344" s="183"/>
      <c r="AC344" s="183"/>
      <c r="AD344" s="183" t="s">
        <v>1728</v>
      </c>
      <c r="AE344" s="183" t="s">
        <v>710</v>
      </c>
    </row>
    <row r="345" spans="1:31" ht="27.6" hidden="1">
      <c r="A345" s="183" t="s">
        <v>694</v>
      </c>
      <c r="B345" s="183" t="s">
        <v>347</v>
      </c>
      <c r="C345" s="183" t="s">
        <v>347</v>
      </c>
      <c r="D345" s="184" t="s">
        <v>830</v>
      </c>
      <c r="E345" s="183" t="s">
        <v>696</v>
      </c>
      <c r="F345" s="183" t="s">
        <v>697</v>
      </c>
      <c r="G345" s="183" t="s">
        <v>698</v>
      </c>
      <c r="H345" s="183" t="s">
        <v>4</v>
      </c>
      <c r="I345" s="183" t="s">
        <v>729</v>
      </c>
      <c r="J345" s="188">
        <v>46098</v>
      </c>
      <c r="K345" s="183" t="s">
        <v>1729</v>
      </c>
      <c r="L345" s="183" t="s">
        <v>348</v>
      </c>
      <c r="M345" s="183" t="s">
        <v>1730</v>
      </c>
      <c r="N345" s="185">
        <v>198</v>
      </c>
      <c r="O345" s="186">
        <v>0</v>
      </c>
      <c r="P345" s="185">
        <v>58</v>
      </c>
      <c r="Q345" s="185">
        <v>1</v>
      </c>
      <c r="R345" s="183" t="s">
        <v>702</v>
      </c>
      <c r="S345" s="185">
        <v>58</v>
      </c>
      <c r="T345" s="189">
        <f t="shared" si="6"/>
        <v>0.96666666666666667</v>
      </c>
      <c r="U345" s="183" t="s">
        <v>703</v>
      </c>
      <c r="V345" s="183" t="s">
        <v>704</v>
      </c>
      <c r="W345" s="183" t="s">
        <v>1731</v>
      </c>
      <c r="X345" s="183"/>
      <c r="Y345" s="183"/>
      <c r="Z345" s="183" t="s">
        <v>733</v>
      </c>
      <c r="AA345" s="183" t="s">
        <v>734</v>
      </c>
      <c r="AB345" s="183"/>
      <c r="AC345" s="183"/>
      <c r="AD345" s="183" t="s">
        <v>1732</v>
      </c>
      <c r="AE345" s="183" t="s">
        <v>741</v>
      </c>
    </row>
    <row r="346" spans="1:31" ht="27.6">
      <c r="A346" s="183" t="s">
        <v>694</v>
      </c>
      <c r="B346" s="183" t="s">
        <v>347</v>
      </c>
      <c r="C346" s="183" t="s">
        <v>347</v>
      </c>
      <c r="D346" s="184" t="s">
        <v>830</v>
      </c>
      <c r="E346" s="183" t="s">
        <v>696</v>
      </c>
      <c r="F346" s="183" t="s">
        <v>697</v>
      </c>
      <c r="G346" s="183" t="s">
        <v>698</v>
      </c>
      <c r="H346" s="183" t="s">
        <v>4</v>
      </c>
      <c r="I346" s="183" t="s">
        <v>729</v>
      </c>
      <c r="J346" s="188">
        <v>46287</v>
      </c>
      <c r="K346" s="183" t="s">
        <v>1733</v>
      </c>
      <c r="L346" s="183" t="s">
        <v>349</v>
      </c>
      <c r="M346" s="183" t="s">
        <v>1734</v>
      </c>
      <c r="N346" s="185">
        <v>9</v>
      </c>
      <c r="O346" s="186">
        <v>7</v>
      </c>
      <c r="P346" s="185">
        <v>24</v>
      </c>
      <c r="Q346" s="185">
        <v>8</v>
      </c>
      <c r="R346" s="183" t="s">
        <v>702</v>
      </c>
      <c r="S346" s="185">
        <v>444</v>
      </c>
      <c r="T346" s="189">
        <f t="shared" si="6"/>
        <v>7.4</v>
      </c>
      <c r="U346" s="183" t="s">
        <v>703</v>
      </c>
      <c r="V346" s="183" t="s">
        <v>704</v>
      </c>
      <c r="W346" s="183" t="s">
        <v>1735</v>
      </c>
      <c r="X346" s="183"/>
      <c r="Y346" s="183"/>
      <c r="Z346" s="183" t="s">
        <v>733</v>
      </c>
      <c r="AA346" s="183" t="s">
        <v>734</v>
      </c>
      <c r="AB346" s="183"/>
      <c r="AC346" s="183"/>
      <c r="AD346" s="183" t="s">
        <v>1736</v>
      </c>
      <c r="AE346" s="183" t="s">
        <v>741</v>
      </c>
    </row>
    <row r="347" spans="1:31" ht="27.6">
      <c r="A347" s="183" t="s">
        <v>694</v>
      </c>
      <c r="B347" s="183" t="s">
        <v>347</v>
      </c>
      <c r="C347" s="183" t="s">
        <v>347</v>
      </c>
      <c r="D347" s="184" t="s">
        <v>830</v>
      </c>
      <c r="E347" s="183" t="s">
        <v>696</v>
      </c>
      <c r="F347" s="183" t="s">
        <v>697</v>
      </c>
      <c r="G347" s="183" t="s">
        <v>698</v>
      </c>
      <c r="H347" s="183" t="s">
        <v>4</v>
      </c>
      <c r="I347" s="183" t="s">
        <v>729</v>
      </c>
      <c r="J347" s="188">
        <v>46287</v>
      </c>
      <c r="K347" s="183" t="s">
        <v>1737</v>
      </c>
      <c r="L347" s="183" t="s">
        <v>68</v>
      </c>
      <c r="M347" s="183" t="s">
        <v>1738</v>
      </c>
      <c r="N347" s="185">
        <v>9</v>
      </c>
      <c r="O347" s="186">
        <v>3</v>
      </c>
      <c r="P347" s="185">
        <v>49</v>
      </c>
      <c r="Q347" s="185">
        <v>4</v>
      </c>
      <c r="R347" s="183" t="s">
        <v>702</v>
      </c>
      <c r="S347" s="185">
        <v>229</v>
      </c>
      <c r="T347" s="189">
        <f t="shared" si="6"/>
        <v>3.8166666666666669</v>
      </c>
      <c r="U347" s="183" t="s">
        <v>703</v>
      </c>
      <c r="V347" s="183" t="s">
        <v>704</v>
      </c>
      <c r="W347" s="183" t="s">
        <v>1739</v>
      </c>
      <c r="X347" s="183"/>
      <c r="Y347" s="183"/>
      <c r="Z347" s="183" t="s">
        <v>733</v>
      </c>
      <c r="AA347" s="183" t="s">
        <v>734</v>
      </c>
      <c r="AB347" s="183"/>
      <c r="AC347" s="183"/>
      <c r="AD347" s="183" t="s">
        <v>1740</v>
      </c>
      <c r="AE347" s="183" t="s">
        <v>741</v>
      </c>
    </row>
    <row r="348" spans="1:31" ht="27.6">
      <c r="A348" s="183" t="s">
        <v>694</v>
      </c>
      <c r="B348" s="183" t="s">
        <v>347</v>
      </c>
      <c r="C348" s="183" t="s">
        <v>347</v>
      </c>
      <c r="D348" s="184" t="s">
        <v>830</v>
      </c>
      <c r="E348" s="183" t="s">
        <v>696</v>
      </c>
      <c r="F348" s="183" t="s">
        <v>697</v>
      </c>
      <c r="G348" s="183" t="s">
        <v>698</v>
      </c>
      <c r="H348" s="183" t="s">
        <v>4</v>
      </c>
      <c r="I348" s="183" t="s">
        <v>729</v>
      </c>
      <c r="J348" s="188">
        <v>46287</v>
      </c>
      <c r="K348" s="183" t="s">
        <v>1741</v>
      </c>
      <c r="L348" s="183" t="s">
        <v>73</v>
      </c>
      <c r="M348" s="183" t="s">
        <v>885</v>
      </c>
      <c r="N348" s="185">
        <v>9</v>
      </c>
      <c r="O348" s="186">
        <v>3</v>
      </c>
      <c r="P348" s="185">
        <v>3</v>
      </c>
      <c r="Q348" s="185">
        <v>3</v>
      </c>
      <c r="R348" s="183" t="s">
        <v>702</v>
      </c>
      <c r="S348" s="185">
        <v>183</v>
      </c>
      <c r="T348" s="189">
        <f t="shared" si="6"/>
        <v>3.05</v>
      </c>
      <c r="U348" s="183" t="s">
        <v>703</v>
      </c>
      <c r="V348" s="183" t="s">
        <v>704</v>
      </c>
      <c r="W348" s="183" t="s">
        <v>1742</v>
      </c>
      <c r="X348" s="183"/>
      <c r="Y348" s="183"/>
      <c r="Z348" s="183" t="s">
        <v>733</v>
      </c>
      <c r="AA348" s="183" t="s">
        <v>734</v>
      </c>
      <c r="AB348" s="183"/>
      <c r="AC348" s="183"/>
      <c r="AD348" s="183" t="s">
        <v>1743</v>
      </c>
      <c r="AE348" s="183" t="s">
        <v>741</v>
      </c>
    </row>
    <row r="349" spans="1:31" ht="27.6">
      <c r="A349" s="183" t="s">
        <v>694</v>
      </c>
      <c r="B349" s="183" t="s">
        <v>347</v>
      </c>
      <c r="C349" s="183" t="s">
        <v>347</v>
      </c>
      <c r="D349" s="184" t="s">
        <v>830</v>
      </c>
      <c r="E349" s="183" t="s">
        <v>696</v>
      </c>
      <c r="F349" s="183" t="s">
        <v>697</v>
      </c>
      <c r="G349" s="183" t="s">
        <v>698</v>
      </c>
      <c r="H349" s="183" t="s">
        <v>4</v>
      </c>
      <c r="I349" s="183" t="s">
        <v>729</v>
      </c>
      <c r="J349" s="188">
        <v>46287</v>
      </c>
      <c r="K349" s="183" t="s">
        <v>1744</v>
      </c>
      <c r="L349" s="183" t="s">
        <v>74</v>
      </c>
      <c r="M349" s="183" t="s">
        <v>889</v>
      </c>
      <c r="N349" s="185">
        <v>9</v>
      </c>
      <c r="O349" s="186">
        <v>3</v>
      </c>
      <c r="P349" s="185">
        <v>0</v>
      </c>
      <c r="Q349" s="185">
        <v>4</v>
      </c>
      <c r="R349" s="183" t="s">
        <v>702</v>
      </c>
      <c r="S349" s="185">
        <v>180</v>
      </c>
      <c r="T349" s="189">
        <f t="shared" si="6"/>
        <v>3</v>
      </c>
      <c r="U349" s="183" t="s">
        <v>703</v>
      </c>
      <c r="V349" s="183" t="s">
        <v>704</v>
      </c>
      <c r="W349" s="183" t="s">
        <v>1745</v>
      </c>
      <c r="X349" s="183"/>
      <c r="Y349" s="183"/>
      <c r="Z349" s="183" t="s">
        <v>733</v>
      </c>
      <c r="AA349" s="183" t="s">
        <v>734</v>
      </c>
      <c r="AB349" s="183"/>
      <c r="AC349" s="183"/>
      <c r="AD349" s="183" t="s">
        <v>1746</v>
      </c>
      <c r="AE349" s="183" t="s">
        <v>741</v>
      </c>
    </row>
    <row r="350" spans="1:31" ht="27.6">
      <c r="A350" s="183" t="s">
        <v>694</v>
      </c>
      <c r="B350" s="183" t="s">
        <v>347</v>
      </c>
      <c r="C350" s="183" t="s">
        <v>347</v>
      </c>
      <c r="D350" s="184" t="s">
        <v>830</v>
      </c>
      <c r="E350" s="183" t="s">
        <v>696</v>
      </c>
      <c r="F350" s="183" t="s">
        <v>697</v>
      </c>
      <c r="G350" s="183" t="s">
        <v>698</v>
      </c>
      <c r="H350" s="183" t="s">
        <v>4</v>
      </c>
      <c r="I350" s="183" t="s">
        <v>729</v>
      </c>
      <c r="J350" s="188">
        <v>46287</v>
      </c>
      <c r="K350" s="183" t="s">
        <v>1747</v>
      </c>
      <c r="L350" s="183" t="s">
        <v>201</v>
      </c>
      <c r="M350" s="183" t="s">
        <v>1294</v>
      </c>
      <c r="N350" s="185">
        <v>9</v>
      </c>
      <c r="O350" s="186">
        <v>7</v>
      </c>
      <c r="P350" s="185">
        <v>32</v>
      </c>
      <c r="Q350" s="185">
        <v>8</v>
      </c>
      <c r="R350" s="183" t="s">
        <v>702</v>
      </c>
      <c r="S350" s="185">
        <v>452</v>
      </c>
      <c r="T350" s="189">
        <f t="shared" si="6"/>
        <v>7.5333333333333332</v>
      </c>
      <c r="U350" s="183" t="s">
        <v>703</v>
      </c>
      <c r="V350" s="183" t="s">
        <v>704</v>
      </c>
      <c r="W350" s="183" t="s">
        <v>1748</v>
      </c>
      <c r="X350" s="183"/>
      <c r="Y350" s="183"/>
      <c r="Z350" s="183" t="s">
        <v>733</v>
      </c>
      <c r="AA350" s="183" t="s">
        <v>734</v>
      </c>
      <c r="AB350" s="183"/>
      <c r="AC350" s="183"/>
      <c r="AD350" s="183" t="s">
        <v>1749</v>
      </c>
      <c r="AE350" s="183" t="s">
        <v>741</v>
      </c>
    </row>
    <row r="351" spans="1:31" ht="27.6">
      <c r="A351" s="183" t="s">
        <v>694</v>
      </c>
      <c r="B351" s="183" t="s">
        <v>347</v>
      </c>
      <c r="C351" s="183" t="s">
        <v>347</v>
      </c>
      <c r="D351" s="184" t="s">
        <v>830</v>
      </c>
      <c r="E351" s="183" t="s">
        <v>696</v>
      </c>
      <c r="F351" s="183" t="s">
        <v>697</v>
      </c>
      <c r="G351" s="183" t="s">
        <v>698</v>
      </c>
      <c r="H351" s="183" t="s">
        <v>4</v>
      </c>
      <c r="I351" s="183" t="s">
        <v>729</v>
      </c>
      <c r="J351" s="188">
        <v>46287</v>
      </c>
      <c r="K351" s="183" t="s">
        <v>1750</v>
      </c>
      <c r="L351" s="183" t="s">
        <v>350</v>
      </c>
      <c r="M351" s="183" t="s">
        <v>1751</v>
      </c>
      <c r="N351" s="185">
        <v>9</v>
      </c>
      <c r="O351" s="186">
        <v>2</v>
      </c>
      <c r="P351" s="185">
        <v>51</v>
      </c>
      <c r="Q351" s="185">
        <v>3</v>
      </c>
      <c r="R351" s="183" t="s">
        <v>702</v>
      </c>
      <c r="S351" s="185">
        <v>171</v>
      </c>
      <c r="T351" s="189">
        <f t="shared" si="6"/>
        <v>2.85</v>
      </c>
      <c r="U351" s="183" t="s">
        <v>703</v>
      </c>
      <c r="V351" s="183" t="s">
        <v>704</v>
      </c>
      <c r="W351" s="183" t="s">
        <v>1752</v>
      </c>
      <c r="X351" s="183"/>
      <c r="Y351" s="183"/>
      <c r="Z351" s="183" t="s">
        <v>733</v>
      </c>
      <c r="AA351" s="183" t="s">
        <v>734</v>
      </c>
      <c r="AB351" s="183"/>
      <c r="AC351" s="183"/>
      <c r="AD351" s="183" t="s">
        <v>1753</v>
      </c>
      <c r="AE351" s="183" t="s">
        <v>741</v>
      </c>
    </row>
    <row r="352" spans="1:31" ht="27.6">
      <c r="A352" s="183" t="s">
        <v>694</v>
      </c>
      <c r="B352" s="183" t="s">
        <v>347</v>
      </c>
      <c r="C352" s="183" t="s">
        <v>347</v>
      </c>
      <c r="D352" s="184" t="s">
        <v>830</v>
      </c>
      <c r="E352" s="183" t="s">
        <v>696</v>
      </c>
      <c r="F352" s="183" t="s">
        <v>697</v>
      </c>
      <c r="G352" s="183" t="s">
        <v>698</v>
      </c>
      <c r="H352" s="183" t="s">
        <v>4</v>
      </c>
      <c r="I352" s="183" t="s">
        <v>729</v>
      </c>
      <c r="J352" s="188">
        <v>46287</v>
      </c>
      <c r="K352" s="183" t="s">
        <v>1754</v>
      </c>
      <c r="L352" s="183" t="s">
        <v>78</v>
      </c>
      <c r="M352" s="183" t="s">
        <v>905</v>
      </c>
      <c r="N352" s="185">
        <v>9</v>
      </c>
      <c r="O352" s="186">
        <v>6</v>
      </c>
      <c r="P352" s="185">
        <v>21</v>
      </c>
      <c r="Q352" s="185">
        <v>7</v>
      </c>
      <c r="R352" s="183" t="s">
        <v>702</v>
      </c>
      <c r="S352" s="185">
        <v>381</v>
      </c>
      <c r="T352" s="189">
        <f t="shared" si="6"/>
        <v>6.35</v>
      </c>
      <c r="U352" s="183" t="s">
        <v>703</v>
      </c>
      <c r="V352" s="183" t="s">
        <v>704</v>
      </c>
      <c r="W352" s="183" t="s">
        <v>1755</v>
      </c>
      <c r="X352" s="183"/>
      <c r="Y352" s="183"/>
      <c r="Z352" s="183" t="s">
        <v>733</v>
      </c>
      <c r="AA352" s="183" t="s">
        <v>734</v>
      </c>
      <c r="AB352" s="183"/>
      <c r="AC352" s="183"/>
      <c r="AD352" s="183" t="s">
        <v>1756</v>
      </c>
      <c r="AE352" s="183" t="s">
        <v>741</v>
      </c>
    </row>
    <row r="353" spans="1:31" ht="27.6">
      <c r="A353" s="183" t="s">
        <v>694</v>
      </c>
      <c r="B353" s="183" t="s">
        <v>347</v>
      </c>
      <c r="C353" s="183" t="s">
        <v>347</v>
      </c>
      <c r="D353" s="184" t="s">
        <v>830</v>
      </c>
      <c r="E353" s="183" t="s">
        <v>696</v>
      </c>
      <c r="F353" s="183" t="s">
        <v>697</v>
      </c>
      <c r="G353" s="183" t="s">
        <v>698</v>
      </c>
      <c r="H353" s="183" t="s">
        <v>4</v>
      </c>
      <c r="I353" s="183" t="s">
        <v>729</v>
      </c>
      <c r="J353" s="188">
        <v>46287</v>
      </c>
      <c r="K353" s="183" t="s">
        <v>1757</v>
      </c>
      <c r="L353" s="183" t="s">
        <v>351</v>
      </c>
      <c r="M353" s="183" t="s">
        <v>1758</v>
      </c>
      <c r="N353" s="185">
        <v>9</v>
      </c>
      <c r="O353" s="186">
        <v>5</v>
      </c>
      <c r="P353" s="185">
        <v>0</v>
      </c>
      <c r="Q353" s="185">
        <v>6</v>
      </c>
      <c r="R353" s="183" t="s">
        <v>702</v>
      </c>
      <c r="S353" s="185">
        <v>300</v>
      </c>
      <c r="T353" s="189">
        <f t="shared" si="6"/>
        <v>5</v>
      </c>
      <c r="U353" s="183" t="s">
        <v>703</v>
      </c>
      <c r="V353" s="183" t="s">
        <v>704</v>
      </c>
      <c r="W353" s="183" t="s">
        <v>1759</v>
      </c>
      <c r="X353" s="183"/>
      <c r="Y353" s="183"/>
      <c r="Z353" s="183" t="s">
        <v>733</v>
      </c>
      <c r="AA353" s="183" t="s">
        <v>734</v>
      </c>
      <c r="AB353" s="183"/>
      <c r="AC353" s="183"/>
      <c r="AD353" s="183" t="s">
        <v>1760</v>
      </c>
      <c r="AE353" s="183" t="s">
        <v>741</v>
      </c>
    </row>
    <row r="354" spans="1:31" ht="27.6">
      <c r="A354" s="183" t="s">
        <v>694</v>
      </c>
      <c r="B354" s="183" t="s">
        <v>347</v>
      </c>
      <c r="C354" s="183" t="s">
        <v>347</v>
      </c>
      <c r="D354" s="184" t="s">
        <v>830</v>
      </c>
      <c r="E354" s="183" t="s">
        <v>696</v>
      </c>
      <c r="F354" s="183" t="s">
        <v>697</v>
      </c>
      <c r="G354" s="183" t="s">
        <v>698</v>
      </c>
      <c r="H354" s="183" t="s">
        <v>4</v>
      </c>
      <c r="I354" s="183" t="s">
        <v>729</v>
      </c>
      <c r="J354" s="188">
        <v>46287</v>
      </c>
      <c r="K354" s="183" t="s">
        <v>1761</v>
      </c>
      <c r="L354" s="183" t="s">
        <v>352</v>
      </c>
      <c r="M354" s="183" t="s">
        <v>1762</v>
      </c>
      <c r="N354" s="185">
        <v>9</v>
      </c>
      <c r="O354" s="186">
        <v>3</v>
      </c>
      <c r="P354" s="185">
        <v>18</v>
      </c>
      <c r="Q354" s="185">
        <v>4</v>
      </c>
      <c r="R354" s="183" t="s">
        <v>702</v>
      </c>
      <c r="S354" s="185">
        <v>198</v>
      </c>
      <c r="T354" s="189">
        <f t="shared" si="6"/>
        <v>3.3</v>
      </c>
      <c r="U354" s="183" t="s">
        <v>703</v>
      </c>
      <c r="V354" s="183" t="s">
        <v>704</v>
      </c>
      <c r="W354" s="183" t="s">
        <v>1763</v>
      </c>
      <c r="X354" s="183"/>
      <c r="Y354" s="183"/>
      <c r="Z354" s="183" t="s">
        <v>733</v>
      </c>
      <c r="AA354" s="183" t="s">
        <v>734</v>
      </c>
      <c r="AB354" s="183"/>
      <c r="AC354" s="183"/>
      <c r="AD354" s="183" t="s">
        <v>1764</v>
      </c>
      <c r="AE354" s="183" t="s">
        <v>741</v>
      </c>
    </row>
    <row r="355" spans="1:31" ht="27.6">
      <c r="A355" s="183" t="s">
        <v>694</v>
      </c>
      <c r="B355" s="183" t="s">
        <v>347</v>
      </c>
      <c r="C355" s="183" t="s">
        <v>347</v>
      </c>
      <c r="D355" s="184" t="s">
        <v>830</v>
      </c>
      <c r="E355" s="183" t="s">
        <v>696</v>
      </c>
      <c r="F355" s="183" t="s">
        <v>697</v>
      </c>
      <c r="G355" s="183" t="s">
        <v>698</v>
      </c>
      <c r="H355" s="183" t="s">
        <v>4</v>
      </c>
      <c r="I355" s="183" t="s">
        <v>729</v>
      </c>
      <c r="J355" s="188">
        <v>46287</v>
      </c>
      <c r="K355" s="183" t="s">
        <v>1765</v>
      </c>
      <c r="L355" s="183" t="s">
        <v>81</v>
      </c>
      <c r="M355" s="183" t="s">
        <v>921</v>
      </c>
      <c r="N355" s="185">
        <v>9</v>
      </c>
      <c r="O355" s="186">
        <v>13</v>
      </c>
      <c r="P355" s="185">
        <v>18</v>
      </c>
      <c r="Q355" s="185">
        <v>14</v>
      </c>
      <c r="R355" s="183" t="s">
        <v>702</v>
      </c>
      <c r="S355" s="185">
        <v>798</v>
      </c>
      <c r="T355" s="189">
        <f t="shared" si="6"/>
        <v>13.3</v>
      </c>
      <c r="U355" s="183" t="s">
        <v>703</v>
      </c>
      <c r="V355" s="183" t="s">
        <v>704</v>
      </c>
      <c r="W355" s="183" t="s">
        <v>1766</v>
      </c>
      <c r="X355" s="183"/>
      <c r="Y355" s="183"/>
      <c r="Z355" s="183" t="s">
        <v>733</v>
      </c>
      <c r="AA355" s="183" t="s">
        <v>734</v>
      </c>
      <c r="AB355" s="183"/>
      <c r="AC355" s="183"/>
      <c r="AD355" s="183" t="s">
        <v>1767</v>
      </c>
      <c r="AE355" s="183" t="s">
        <v>741</v>
      </c>
    </row>
    <row r="356" spans="1:31" ht="27.6">
      <c r="A356" s="183" t="s">
        <v>694</v>
      </c>
      <c r="B356" s="183" t="s">
        <v>347</v>
      </c>
      <c r="C356" s="183" t="s">
        <v>347</v>
      </c>
      <c r="D356" s="184" t="s">
        <v>830</v>
      </c>
      <c r="E356" s="183" t="s">
        <v>696</v>
      </c>
      <c r="F356" s="183" t="s">
        <v>697</v>
      </c>
      <c r="G356" s="183" t="s">
        <v>698</v>
      </c>
      <c r="H356" s="183" t="s">
        <v>4</v>
      </c>
      <c r="I356" s="183" t="s">
        <v>729</v>
      </c>
      <c r="J356" s="188">
        <v>46287</v>
      </c>
      <c r="K356" s="183" t="s">
        <v>1768</v>
      </c>
      <c r="L356" s="183" t="s">
        <v>46</v>
      </c>
      <c r="M356" s="183" t="s">
        <v>917</v>
      </c>
      <c r="N356" s="185">
        <v>9</v>
      </c>
      <c r="O356" s="186">
        <v>8</v>
      </c>
      <c r="P356" s="185">
        <v>49</v>
      </c>
      <c r="Q356" s="185">
        <v>9</v>
      </c>
      <c r="R356" s="183" t="s">
        <v>702</v>
      </c>
      <c r="S356" s="185">
        <v>529</v>
      </c>
      <c r="T356" s="189">
        <f t="shared" si="6"/>
        <v>8.8166666666666664</v>
      </c>
      <c r="U356" s="183" t="s">
        <v>703</v>
      </c>
      <c r="V356" s="183" t="s">
        <v>704</v>
      </c>
      <c r="W356" s="183" t="s">
        <v>1769</v>
      </c>
      <c r="X356" s="183"/>
      <c r="Y356" s="183"/>
      <c r="Z356" s="183" t="s">
        <v>733</v>
      </c>
      <c r="AA356" s="183" t="s">
        <v>734</v>
      </c>
      <c r="AB356" s="183"/>
      <c r="AC356" s="183"/>
      <c r="AD356" s="183" t="s">
        <v>1770</v>
      </c>
      <c r="AE356" s="183" t="s">
        <v>741</v>
      </c>
    </row>
    <row r="357" spans="1:31" ht="27.6">
      <c r="A357" s="183" t="s">
        <v>694</v>
      </c>
      <c r="B357" s="183" t="s">
        <v>347</v>
      </c>
      <c r="C357" s="183" t="s">
        <v>347</v>
      </c>
      <c r="D357" s="184" t="s">
        <v>830</v>
      </c>
      <c r="E357" s="183" t="s">
        <v>696</v>
      </c>
      <c r="F357" s="183" t="s">
        <v>697</v>
      </c>
      <c r="G357" s="183" t="s">
        <v>698</v>
      </c>
      <c r="H357" s="183" t="s">
        <v>4</v>
      </c>
      <c r="I357" s="183" t="s">
        <v>729</v>
      </c>
      <c r="J357" s="188">
        <v>46287</v>
      </c>
      <c r="K357" s="183" t="s">
        <v>1771</v>
      </c>
      <c r="L357" s="183" t="s">
        <v>225</v>
      </c>
      <c r="M357" s="183" t="s">
        <v>1416</v>
      </c>
      <c r="N357" s="185">
        <v>9</v>
      </c>
      <c r="O357" s="186">
        <v>8</v>
      </c>
      <c r="P357" s="185">
        <v>27</v>
      </c>
      <c r="Q357" s="185">
        <v>9</v>
      </c>
      <c r="R357" s="183" t="s">
        <v>702</v>
      </c>
      <c r="S357" s="185">
        <v>507</v>
      </c>
      <c r="T357" s="189">
        <f t="shared" si="6"/>
        <v>8.4499999999999993</v>
      </c>
      <c r="U357" s="183" t="s">
        <v>703</v>
      </c>
      <c r="V357" s="183" t="s">
        <v>704</v>
      </c>
      <c r="W357" s="183" t="s">
        <v>1772</v>
      </c>
      <c r="X357" s="183"/>
      <c r="Y357" s="183"/>
      <c r="Z357" s="183" t="s">
        <v>733</v>
      </c>
      <c r="AA357" s="183" t="s">
        <v>734</v>
      </c>
      <c r="AB357" s="183"/>
      <c r="AC357" s="183"/>
      <c r="AD357" s="183" t="s">
        <v>1773</v>
      </c>
      <c r="AE357" s="183" t="s">
        <v>741</v>
      </c>
    </row>
    <row r="358" spans="1:31" ht="27.6">
      <c r="A358" s="183" t="s">
        <v>694</v>
      </c>
      <c r="B358" s="183" t="s">
        <v>347</v>
      </c>
      <c r="C358" s="183" t="s">
        <v>347</v>
      </c>
      <c r="D358" s="184" t="s">
        <v>830</v>
      </c>
      <c r="E358" s="183" t="s">
        <v>696</v>
      </c>
      <c r="F358" s="183" t="s">
        <v>697</v>
      </c>
      <c r="G358" s="183" t="s">
        <v>698</v>
      </c>
      <c r="H358" s="183" t="s">
        <v>4</v>
      </c>
      <c r="I358" s="183" t="s">
        <v>729</v>
      </c>
      <c r="J358" s="188">
        <v>46287</v>
      </c>
      <c r="K358" s="183" t="s">
        <v>1774</v>
      </c>
      <c r="L358" s="183" t="s">
        <v>353</v>
      </c>
      <c r="M358" s="183" t="s">
        <v>1775</v>
      </c>
      <c r="N358" s="185">
        <v>9</v>
      </c>
      <c r="O358" s="186">
        <v>2</v>
      </c>
      <c r="P358" s="185">
        <v>41</v>
      </c>
      <c r="Q358" s="185">
        <v>3</v>
      </c>
      <c r="R358" s="183" t="s">
        <v>702</v>
      </c>
      <c r="S358" s="185">
        <v>161</v>
      </c>
      <c r="T358" s="189">
        <f t="shared" si="6"/>
        <v>2.6833333333333331</v>
      </c>
      <c r="U358" s="183" t="s">
        <v>703</v>
      </c>
      <c r="V358" s="183" t="s">
        <v>704</v>
      </c>
      <c r="W358" s="183" t="s">
        <v>1776</v>
      </c>
      <c r="X358" s="183"/>
      <c r="Y358" s="183"/>
      <c r="Z358" s="183" t="s">
        <v>733</v>
      </c>
      <c r="AA358" s="183" t="s">
        <v>734</v>
      </c>
      <c r="AB358" s="183"/>
      <c r="AC358" s="183"/>
      <c r="AD358" s="183" t="s">
        <v>1777</v>
      </c>
      <c r="AE358" s="183" t="s">
        <v>741</v>
      </c>
    </row>
    <row r="359" spans="1:31" ht="27.6">
      <c r="A359" s="183" t="s">
        <v>694</v>
      </c>
      <c r="B359" s="183" t="s">
        <v>347</v>
      </c>
      <c r="C359" s="183" t="s">
        <v>347</v>
      </c>
      <c r="D359" s="184" t="s">
        <v>830</v>
      </c>
      <c r="E359" s="183" t="s">
        <v>696</v>
      </c>
      <c r="F359" s="183" t="s">
        <v>697</v>
      </c>
      <c r="G359" s="183" t="s">
        <v>698</v>
      </c>
      <c r="H359" s="183" t="s">
        <v>4</v>
      </c>
      <c r="I359" s="183" t="s">
        <v>729</v>
      </c>
      <c r="J359" s="188">
        <v>46287</v>
      </c>
      <c r="K359" s="183" t="s">
        <v>1778</v>
      </c>
      <c r="L359" s="183" t="s">
        <v>354</v>
      </c>
      <c r="M359" s="183" t="s">
        <v>1779</v>
      </c>
      <c r="N359" s="185">
        <v>9</v>
      </c>
      <c r="O359" s="186">
        <v>10</v>
      </c>
      <c r="P359" s="185">
        <v>32</v>
      </c>
      <c r="Q359" s="185">
        <v>11</v>
      </c>
      <c r="R359" s="183" t="s">
        <v>702</v>
      </c>
      <c r="S359" s="185">
        <v>632</v>
      </c>
      <c r="T359" s="189">
        <f t="shared" si="6"/>
        <v>10.533333333333333</v>
      </c>
      <c r="U359" s="183" t="s">
        <v>703</v>
      </c>
      <c r="V359" s="183" t="s">
        <v>704</v>
      </c>
      <c r="W359" s="183" t="s">
        <v>1780</v>
      </c>
      <c r="X359" s="183"/>
      <c r="Y359" s="183"/>
      <c r="Z359" s="183" t="s">
        <v>733</v>
      </c>
      <c r="AA359" s="183" t="s">
        <v>734</v>
      </c>
      <c r="AB359" s="183"/>
      <c r="AC359" s="183"/>
      <c r="AD359" s="183" t="s">
        <v>1781</v>
      </c>
      <c r="AE359" s="183" t="s">
        <v>741</v>
      </c>
    </row>
    <row r="360" spans="1:31" ht="27.6">
      <c r="A360" s="183" t="s">
        <v>694</v>
      </c>
      <c r="B360" s="183" t="s">
        <v>347</v>
      </c>
      <c r="C360" s="183" t="s">
        <v>347</v>
      </c>
      <c r="D360" s="184" t="s">
        <v>830</v>
      </c>
      <c r="E360" s="183" t="s">
        <v>696</v>
      </c>
      <c r="F360" s="183" t="s">
        <v>697</v>
      </c>
      <c r="G360" s="183" t="s">
        <v>698</v>
      </c>
      <c r="H360" s="183" t="s">
        <v>4</v>
      </c>
      <c r="I360" s="183" t="s">
        <v>729</v>
      </c>
      <c r="J360" s="188">
        <v>46287</v>
      </c>
      <c r="K360" s="183" t="s">
        <v>1782</v>
      </c>
      <c r="L360" s="183" t="s">
        <v>355</v>
      </c>
      <c r="M360" s="183" t="s">
        <v>1730</v>
      </c>
      <c r="N360" s="185">
        <v>9</v>
      </c>
      <c r="O360" s="186">
        <v>5</v>
      </c>
      <c r="P360" s="185">
        <v>42</v>
      </c>
      <c r="Q360" s="185">
        <v>6</v>
      </c>
      <c r="R360" s="183" t="s">
        <v>702</v>
      </c>
      <c r="S360" s="185">
        <v>342</v>
      </c>
      <c r="T360" s="189">
        <f t="shared" si="6"/>
        <v>5.7</v>
      </c>
      <c r="U360" s="183" t="s">
        <v>703</v>
      </c>
      <c r="V360" s="183" t="s">
        <v>704</v>
      </c>
      <c r="W360" s="183" t="s">
        <v>1783</v>
      </c>
      <c r="X360" s="183"/>
      <c r="Y360" s="183"/>
      <c r="Z360" s="183" t="s">
        <v>733</v>
      </c>
      <c r="AA360" s="183" t="s">
        <v>734</v>
      </c>
      <c r="AB360" s="183"/>
      <c r="AC360" s="183"/>
      <c r="AD360" s="183" t="s">
        <v>1784</v>
      </c>
      <c r="AE360" s="183" t="s">
        <v>741</v>
      </c>
    </row>
    <row r="361" spans="1:31" ht="27.6">
      <c r="A361" s="183" t="s">
        <v>694</v>
      </c>
      <c r="B361" s="183" t="s">
        <v>347</v>
      </c>
      <c r="C361" s="183" t="s">
        <v>347</v>
      </c>
      <c r="D361" s="184" t="s">
        <v>830</v>
      </c>
      <c r="E361" s="183" t="s">
        <v>696</v>
      </c>
      <c r="F361" s="183" t="s">
        <v>697</v>
      </c>
      <c r="G361" s="183" t="s">
        <v>698</v>
      </c>
      <c r="H361" s="183" t="s">
        <v>4</v>
      </c>
      <c r="I361" s="183" t="s">
        <v>729</v>
      </c>
      <c r="J361" s="188">
        <v>46287</v>
      </c>
      <c r="K361" s="183" t="s">
        <v>1785</v>
      </c>
      <c r="L361" s="183" t="s">
        <v>356</v>
      </c>
      <c r="M361" s="183" t="s">
        <v>1730</v>
      </c>
      <c r="N361" s="185">
        <v>9</v>
      </c>
      <c r="O361" s="186">
        <v>14</v>
      </c>
      <c r="P361" s="185">
        <v>31</v>
      </c>
      <c r="Q361" s="185">
        <v>15</v>
      </c>
      <c r="R361" s="183" t="s">
        <v>702</v>
      </c>
      <c r="S361" s="185">
        <v>871</v>
      </c>
      <c r="T361" s="189">
        <f t="shared" si="6"/>
        <v>14.516666666666667</v>
      </c>
      <c r="U361" s="183" t="s">
        <v>703</v>
      </c>
      <c r="V361" s="183" t="s">
        <v>704</v>
      </c>
      <c r="W361" s="183" t="s">
        <v>1786</v>
      </c>
      <c r="X361" s="183"/>
      <c r="Y361" s="183"/>
      <c r="Z361" s="183" t="s">
        <v>733</v>
      </c>
      <c r="AA361" s="183" t="s">
        <v>734</v>
      </c>
      <c r="AB361" s="183" t="s">
        <v>765</v>
      </c>
      <c r="AC361" s="183"/>
      <c r="AD361" s="183" t="s">
        <v>1787</v>
      </c>
      <c r="AE361" s="183" t="s">
        <v>741</v>
      </c>
    </row>
    <row r="362" spans="1:31" ht="27.6">
      <c r="A362" s="183" t="s">
        <v>694</v>
      </c>
      <c r="B362" s="183" t="s">
        <v>347</v>
      </c>
      <c r="C362" s="183" t="s">
        <v>347</v>
      </c>
      <c r="D362" s="184" t="s">
        <v>830</v>
      </c>
      <c r="E362" s="183" t="s">
        <v>696</v>
      </c>
      <c r="F362" s="183" t="s">
        <v>697</v>
      </c>
      <c r="G362" s="183" t="s">
        <v>698</v>
      </c>
      <c r="H362" s="183" t="s">
        <v>4</v>
      </c>
      <c r="I362" s="183" t="s">
        <v>729</v>
      </c>
      <c r="J362" s="188">
        <v>46287</v>
      </c>
      <c r="K362" s="183" t="s">
        <v>1788</v>
      </c>
      <c r="L362" s="183" t="s">
        <v>357</v>
      </c>
      <c r="M362" s="183" t="s">
        <v>1730</v>
      </c>
      <c r="N362" s="185">
        <v>9</v>
      </c>
      <c r="O362" s="186">
        <v>3</v>
      </c>
      <c r="P362" s="185">
        <v>2</v>
      </c>
      <c r="Q362" s="185">
        <v>3</v>
      </c>
      <c r="R362" s="183" t="s">
        <v>702</v>
      </c>
      <c r="S362" s="185">
        <v>182</v>
      </c>
      <c r="T362" s="189">
        <f t="shared" si="6"/>
        <v>3.0333333333333332</v>
      </c>
      <c r="U362" s="183" t="s">
        <v>703</v>
      </c>
      <c r="V362" s="183" t="s">
        <v>704</v>
      </c>
      <c r="W362" s="183" t="s">
        <v>1789</v>
      </c>
      <c r="X362" s="183"/>
      <c r="Y362" s="183"/>
      <c r="Z362" s="183" t="s">
        <v>733</v>
      </c>
      <c r="AA362" s="183" t="s">
        <v>734</v>
      </c>
      <c r="AB362" s="183" t="s">
        <v>1051</v>
      </c>
      <c r="AC362" s="183"/>
      <c r="AD362" s="183" t="s">
        <v>1790</v>
      </c>
      <c r="AE362" s="183" t="s">
        <v>741</v>
      </c>
    </row>
    <row r="363" spans="1:31" ht="27.6">
      <c r="A363" s="183" t="s">
        <v>694</v>
      </c>
      <c r="B363" s="183" t="s">
        <v>347</v>
      </c>
      <c r="C363" s="183" t="s">
        <v>347</v>
      </c>
      <c r="D363" s="184" t="s">
        <v>830</v>
      </c>
      <c r="E363" s="183" t="s">
        <v>696</v>
      </c>
      <c r="F363" s="183" t="s">
        <v>697</v>
      </c>
      <c r="G363" s="183" t="s">
        <v>698</v>
      </c>
      <c r="H363" s="183" t="s">
        <v>4</v>
      </c>
      <c r="I363" s="183" t="s">
        <v>729</v>
      </c>
      <c r="J363" s="188">
        <v>46287</v>
      </c>
      <c r="K363" s="183" t="s">
        <v>1791</v>
      </c>
      <c r="L363" s="183" t="s">
        <v>358</v>
      </c>
      <c r="M363" s="183" t="s">
        <v>1792</v>
      </c>
      <c r="N363" s="185">
        <v>9</v>
      </c>
      <c r="O363" s="186">
        <v>2</v>
      </c>
      <c r="P363" s="185">
        <v>9</v>
      </c>
      <c r="Q363" s="185">
        <v>3</v>
      </c>
      <c r="R363" s="183" t="s">
        <v>702</v>
      </c>
      <c r="S363" s="185">
        <v>129</v>
      </c>
      <c r="T363" s="189">
        <f t="shared" si="6"/>
        <v>2.15</v>
      </c>
      <c r="U363" s="183" t="s">
        <v>703</v>
      </c>
      <c r="V363" s="183" t="s">
        <v>704</v>
      </c>
      <c r="W363" s="183" t="s">
        <v>1793</v>
      </c>
      <c r="X363" s="183"/>
      <c r="Y363" s="183"/>
      <c r="Z363" s="183" t="s">
        <v>733</v>
      </c>
      <c r="AA363" s="183" t="s">
        <v>734</v>
      </c>
      <c r="AB363" s="183" t="s">
        <v>940</v>
      </c>
      <c r="AC363" s="183"/>
      <c r="AD363" s="183" t="s">
        <v>1794</v>
      </c>
      <c r="AE363" s="183" t="s">
        <v>741</v>
      </c>
    </row>
    <row r="364" spans="1:31" ht="27.6">
      <c r="A364" s="183" t="s">
        <v>694</v>
      </c>
      <c r="B364" s="183" t="s">
        <v>347</v>
      </c>
      <c r="C364" s="183" t="s">
        <v>347</v>
      </c>
      <c r="D364" s="184" t="s">
        <v>830</v>
      </c>
      <c r="E364" s="183" t="s">
        <v>696</v>
      </c>
      <c r="F364" s="183" t="s">
        <v>697</v>
      </c>
      <c r="G364" s="183" t="s">
        <v>698</v>
      </c>
      <c r="H364" s="183" t="s">
        <v>4</v>
      </c>
      <c r="I364" s="183" t="s">
        <v>729</v>
      </c>
      <c r="J364" s="188">
        <v>46287</v>
      </c>
      <c r="K364" s="183" t="s">
        <v>1795</v>
      </c>
      <c r="L364" s="183" t="s">
        <v>359</v>
      </c>
      <c r="M364" s="183" t="s">
        <v>1796</v>
      </c>
      <c r="N364" s="185">
        <v>9</v>
      </c>
      <c r="O364" s="186">
        <v>9</v>
      </c>
      <c r="P364" s="185">
        <v>30</v>
      </c>
      <c r="Q364" s="185">
        <v>10</v>
      </c>
      <c r="R364" s="183" t="s">
        <v>702</v>
      </c>
      <c r="S364" s="185">
        <v>570</v>
      </c>
      <c r="T364" s="189">
        <f t="shared" si="6"/>
        <v>9.5</v>
      </c>
      <c r="U364" s="183" t="s">
        <v>703</v>
      </c>
      <c r="V364" s="183" t="s">
        <v>704</v>
      </c>
      <c r="W364" s="183" t="s">
        <v>1797</v>
      </c>
      <c r="X364" s="183"/>
      <c r="Y364" s="183"/>
      <c r="Z364" s="183" t="s">
        <v>733</v>
      </c>
      <c r="AA364" s="183" t="s">
        <v>734</v>
      </c>
      <c r="AB364" s="183"/>
      <c r="AC364" s="183"/>
      <c r="AD364" s="183" t="s">
        <v>1798</v>
      </c>
      <c r="AE364" s="183" t="s">
        <v>741</v>
      </c>
    </row>
    <row r="365" spans="1:31" ht="27.6" hidden="1">
      <c r="A365" s="183" t="s">
        <v>694</v>
      </c>
      <c r="B365" s="183" t="s">
        <v>347</v>
      </c>
      <c r="C365" s="183" t="s">
        <v>347</v>
      </c>
      <c r="D365" s="184" t="s">
        <v>830</v>
      </c>
      <c r="E365" s="183" t="s">
        <v>696</v>
      </c>
      <c r="F365" s="183" t="s">
        <v>697</v>
      </c>
      <c r="G365" s="183" t="s">
        <v>698</v>
      </c>
      <c r="H365" s="183" t="s">
        <v>4</v>
      </c>
      <c r="I365" s="183" t="s">
        <v>729</v>
      </c>
      <c r="J365" s="188">
        <v>46294</v>
      </c>
      <c r="K365" s="183" t="s">
        <v>1799</v>
      </c>
      <c r="L365" s="183" t="s">
        <v>212</v>
      </c>
      <c r="M365" s="183" t="s">
        <v>802</v>
      </c>
      <c r="N365" s="185">
        <v>2</v>
      </c>
      <c r="O365" s="186">
        <v>42</v>
      </c>
      <c r="P365" s="185">
        <v>0</v>
      </c>
      <c r="Q365" s="185">
        <v>42</v>
      </c>
      <c r="R365" s="183" t="s">
        <v>702</v>
      </c>
      <c r="S365" s="185">
        <v>2520</v>
      </c>
      <c r="T365" s="189">
        <f t="shared" si="6"/>
        <v>42</v>
      </c>
      <c r="U365" s="183" t="s">
        <v>703</v>
      </c>
      <c r="V365" s="183" t="s">
        <v>526</v>
      </c>
      <c r="W365" s="183"/>
      <c r="X365" s="183"/>
      <c r="Y365" s="183"/>
      <c r="Z365" s="183" t="s">
        <v>803</v>
      </c>
      <c r="AA365" s="183" t="s">
        <v>804</v>
      </c>
      <c r="AB365" s="183"/>
      <c r="AC365" s="183"/>
      <c r="AD365" s="183" t="s">
        <v>1800</v>
      </c>
      <c r="AE365" s="183" t="s">
        <v>741</v>
      </c>
    </row>
    <row r="366" spans="1:31" ht="27.6" hidden="1">
      <c r="A366" s="183" t="s">
        <v>694</v>
      </c>
      <c r="B366" s="183" t="s">
        <v>347</v>
      </c>
      <c r="C366" s="183" t="s">
        <v>347</v>
      </c>
      <c r="D366" s="184" t="s">
        <v>830</v>
      </c>
      <c r="E366" s="183" t="s">
        <v>696</v>
      </c>
      <c r="F366" s="183" t="s">
        <v>697</v>
      </c>
      <c r="G366" s="183" t="s">
        <v>698</v>
      </c>
      <c r="H366" s="183" t="s">
        <v>1</v>
      </c>
      <c r="I366" s="183" t="s">
        <v>1801</v>
      </c>
      <c r="J366" s="188">
        <v>46294</v>
      </c>
      <c r="K366" s="183" t="s">
        <v>1802</v>
      </c>
      <c r="L366" s="183" t="s">
        <v>92</v>
      </c>
      <c r="M366" s="183" t="s">
        <v>963</v>
      </c>
      <c r="N366" s="185">
        <v>2</v>
      </c>
      <c r="O366" s="186">
        <v>12</v>
      </c>
      <c r="P366" s="185">
        <v>33.299999999999997</v>
      </c>
      <c r="Q366" s="185">
        <v>13</v>
      </c>
      <c r="R366" s="183" t="s">
        <v>702</v>
      </c>
      <c r="S366" s="185">
        <v>753.3</v>
      </c>
      <c r="T366" s="189">
        <f t="shared" si="6"/>
        <v>12.555</v>
      </c>
      <c r="U366" s="183" t="s">
        <v>703</v>
      </c>
      <c r="V366" s="183" t="s">
        <v>526</v>
      </c>
      <c r="W366" s="183"/>
      <c r="X366" s="183"/>
      <c r="Y366" s="183"/>
      <c r="Z366" s="183" t="s">
        <v>733</v>
      </c>
      <c r="AA366" s="183" t="s">
        <v>734</v>
      </c>
      <c r="AB366" s="183"/>
      <c r="AC366" s="183"/>
      <c r="AD366" s="183" t="s">
        <v>1803</v>
      </c>
      <c r="AE366" s="183" t="s">
        <v>741</v>
      </c>
    </row>
    <row r="367" spans="1:31" ht="27.6" hidden="1">
      <c r="A367" s="183" t="s">
        <v>694</v>
      </c>
      <c r="B367" s="183" t="s">
        <v>347</v>
      </c>
      <c r="C367" s="183" t="s">
        <v>347</v>
      </c>
      <c r="D367" s="184" t="s">
        <v>830</v>
      </c>
      <c r="E367" s="183" t="s">
        <v>696</v>
      </c>
      <c r="F367" s="183" t="s">
        <v>697</v>
      </c>
      <c r="G367" s="183" t="s">
        <v>698</v>
      </c>
      <c r="H367" s="183" t="s">
        <v>1</v>
      </c>
      <c r="I367" s="183" t="s">
        <v>1804</v>
      </c>
      <c r="J367" s="188">
        <v>46293</v>
      </c>
      <c r="K367" s="183" t="s">
        <v>1805</v>
      </c>
      <c r="L367" s="183" t="s">
        <v>360</v>
      </c>
      <c r="M367" s="183" t="s">
        <v>1806</v>
      </c>
      <c r="N367" s="185">
        <v>3</v>
      </c>
      <c r="O367" s="186">
        <v>12</v>
      </c>
      <c r="P367" s="185">
        <v>40.299999999999997</v>
      </c>
      <c r="Q367" s="185">
        <v>13</v>
      </c>
      <c r="R367" s="183" t="s">
        <v>702</v>
      </c>
      <c r="S367" s="185">
        <v>760.3</v>
      </c>
      <c r="T367" s="189">
        <f t="shared" si="6"/>
        <v>12.671666666666665</v>
      </c>
      <c r="U367" s="183" t="s">
        <v>703</v>
      </c>
      <c r="V367" s="183" t="s">
        <v>526</v>
      </c>
      <c r="W367" s="183"/>
      <c r="X367" s="183"/>
      <c r="Y367" s="183"/>
      <c r="Z367" s="183" t="s">
        <v>733</v>
      </c>
      <c r="AA367" s="183" t="s">
        <v>734</v>
      </c>
      <c r="AB367" s="183"/>
      <c r="AC367" s="183"/>
      <c r="AD367" s="183" t="s">
        <v>1807</v>
      </c>
      <c r="AE367" s="183" t="s">
        <v>741</v>
      </c>
    </row>
    <row r="368" spans="1:31" ht="27.6" hidden="1">
      <c r="A368" s="183" t="s">
        <v>694</v>
      </c>
      <c r="B368" s="183" t="s">
        <v>347</v>
      </c>
      <c r="C368" s="183" t="s">
        <v>347</v>
      </c>
      <c r="D368" s="184" t="s">
        <v>830</v>
      </c>
      <c r="E368" s="183" t="s">
        <v>696</v>
      </c>
      <c r="F368" s="183" t="s">
        <v>697</v>
      </c>
      <c r="G368" s="183" t="s">
        <v>698</v>
      </c>
      <c r="H368" s="183" t="s">
        <v>1</v>
      </c>
      <c r="I368" s="183" t="s">
        <v>1808</v>
      </c>
      <c r="J368" s="188">
        <v>46293</v>
      </c>
      <c r="K368" s="183" t="s">
        <v>1809</v>
      </c>
      <c r="L368" s="183" t="s">
        <v>361</v>
      </c>
      <c r="M368" s="183" t="s">
        <v>1779</v>
      </c>
      <c r="N368" s="185">
        <v>3</v>
      </c>
      <c r="O368" s="186">
        <v>33</v>
      </c>
      <c r="P368" s="185">
        <v>51.4</v>
      </c>
      <c r="Q368" s="185">
        <v>34</v>
      </c>
      <c r="R368" s="183" t="s">
        <v>702</v>
      </c>
      <c r="S368" s="185">
        <v>2031.4</v>
      </c>
      <c r="T368" s="189">
        <f t="shared" si="6"/>
        <v>33.856666666666669</v>
      </c>
      <c r="U368" s="183" t="s">
        <v>703</v>
      </c>
      <c r="V368" s="183" t="s">
        <v>526</v>
      </c>
      <c r="W368" s="183"/>
      <c r="X368" s="183"/>
      <c r="Y368" s="183"/>
      <c r="Z368" s="183" t="s">
        <v>733</v>
      </c>
      <c r="AA368" s="183" t="s">
        <v>734</v>
      </c>
      <c r="AB368" s="183"/>
      <c r="AC368" s="183"/>
      <c r="AD368" s="183" t="s">
        <v>1810</v>
      </c>
      <c r="AE368" s="183" t="s">
        <v>741</v>
      </c>
    </row>
    <row r="369" spans="1:31" ht="27.6">
      <c r="A369" s="183" t="s">
        <v>694</v>
      </c>
      <c r="B369" s="183" t="s">
        <v>347</v>
      </c>
      <c r="C369" s="183" t="s">
        <v>347</v>
      </c>
      <c r="D369" s="184" t="s">
        <v>830</v>
      </c>
      <c r="E369" s="183" t="s">
        <v>696</v>
      </c>
      <c r="F369" s="183" t="s">
        <v>697</v>
      </c>
      <c r="G369" s="183" t="s">
        <v>698</v>
      </c>
      <c r="H369" s="183" t="s">
        <v>8</v>
      </c>
      <c r="I369" s="183" t="s">
        <v>729</v>
      </c>
      <c r="J369" s="188">
        <v>46287</v>
      </c>
      <c r="K369" s="183" t="s">
        <v>1811</v>
      </c>
      <c r="L369" s="183" t="s">
        <v>217</v>
      </c>
      <c r="M369" s="183" t="s">
        <v>1379</v>
      </c>
      <c r="N369" s="185">
        <v>9</v>
      </c>
      <c r="O369" s="186">
        <v>2</v>
      </c>
      <c r="P369" s="185">
        <v>23</v>
      </c>
      <c r="Q369" s="185">
        <v>3</v>
      </c>
      <c r="R369" s="183" t="s">
        <v>702</v>
      </c>
      <c r="S369" s="185">
        <v>143</v>
      </c>
      <c r="T369" s="189">
        <f t="shared" si="6"/>
        <v>2.3833333333333333</v>
      </c>
      <c r="U369" s="183" t="s">
        <v>703</v>
      </c>
      <c r="V369" s="183" t="s">
        <v>704</v>
      </c>
      <c r="W369" s="183" t="s">
        <v>1812</v>
      </c>
      <c r="X369" s="183"/>
      <c r="Y369" s="183"/>
      <c r="Z369" s="183" t="s">
        <v>733</v>
      </c>
      <c r="AA369" s="183" t="s">
        <v>734</v>
      </c>
      <c r="AB369" s="183"/>
      <c r="AC369" s="183"/>
      <c r="AD369" s="183" t="s">
        <v>1813</v>
      </c>
      <c r="AE369" s="183" t="s">
        <v>741</v>
      </c>
    </row>
    <row r="370" spans="1:31" ht="27.6">
      <c r="A370" s="183" t="s">
        <v>694</v>
      </c>
      <c r="B370" s="183" t="s">
        <v>347</v>
      </c>
      <c r="C370" s="183" t="s">
        <v>347</v>
      </c>
      <c r="D370" s="184" t="s">
        <v>830</v>
      </c>
      <c r="E370" s="183" t="s">
        <v>696</v>
      </c>
      <c r="F370" s="183" t="s">
        <v>697</v>
      </c>
      <c r="G370" s="183" t="s">
        <v>698</v>
      </c>
      <c r="H370" s="183" t="s">
        <v>8</v>
      </c>
      <c r="I370" s="183" t="s">
        <v>729</v>
      </c>
      <c r="J370" s="188">
        <v>46287</v>
      </c>
      <c r="K370" s="183" t="s">
        <v>1814</v>
      </c>
      <c r="L370" s="183" t="s">
        <v>362</v>
      </c>
      <c r="M370" s="183" t="s">
        <v>1779</v>
      </c>
      <c r="N370" s="185">
        <v>9</v>
      </c>
      <c r="O370" s="186">
        <v>8</v>
      </c>
      <c r="P370" s="185">
        <v>56</v>
      </c>
      <c r="Q370" s="185">
        <v>9</v>
      </c>
      <c r="R370" s="183" t="s">
        <v>702</v>
      </c>
      <c r="S370" s="185">
        <v>536</v>
      </c>
      <c r="T370" s="189">
        <f t="shared" si="6"/>
        <v>8.9333333333333336</v>
      </c>
      <c r="U370" s="183" t="s">
        <v>703</v>
      </c>
      <c r="V370" s="183" t="s">
        <v>704</v>
      </c>
      <c r="W370" s="183" t="s">
        <v>1815</v>
      </c>
      <c r="X370" s="183"/>
      <c r="Y370" s="183"/>
      <c r="Z370" s="183" t="s">
        <v>733</v>
      </c>
      <c r="AA370" s="183" t="s">
        <v>734</v>
      </c>
      <c r="AB370" s="183"/>
      <c r="AC370" s="183"/>
      <c r="AD370" s="183" t="s">
        <v>1816</v>
      </c>
      <c r="AE370" s="183" t="s">
        <v>741</v>
      </c>
    </row>
    <row r="371" spans="1:31" ht="27.6">
      <c r="A371" s="183" t="s">
        <v>694</v>
      </c>
      <c r="B371" s="183" t="s">
        <v>347</v>
      </c>
      <c r="C371" s="183" t="s">
        <v>347</v>
      </c>
      <c r="D371" s="184" t="s">
        <v>830</v>
      </c>
      <c r="E371" s="183" t="s">
        <v>696</v>
      </c>
      <c r="F371" s="183" t="s">
        <v>697</v>
      </c>
      <c r="G371" s="183" t="s">
        <v>698</v>
      </c>
      <c r="H371" s="183" t="s">
        <v>8</v>
      </c>
      <c r="I371" s="183" t="s">
        <v>729</v>
      </c>
      <c r="J371" s="188">
        <v>46287</v>
      </c>
      <c r="K371" s="183" t="s">
        <v>1817</v>
      </c>
      <c r="L371" s="183" t="s">
        <v>363</v>
      </c>
      <c r="M371" s="183" t="s">
        <v>1818</v>
      </c>
      <c r="N371" s="185">
        <v>9</v>
      </c>
      <c r="O371" s="186">
        <v>2</v>
      </c>
      <c r="P371" s="185">
        <v>11</v>
      </c>
      <c r="Q371" s="185">
        <v>3</v>
      </c>
      <c r="R371" s="183" t="s">
        <v>702</v>
      </c>
      <c r="S371" s="185">
        <v>131</v>
      </c>
      <c r="T371" s="189">
        <f t="shared" si="6"/>
        <v>2.1833333333333331</v>
      </c>
      <c r="U371" s="183" t="s">
        <v>703</v>
      </c>
      <c r="V371" s="183" t="s">
        <v>704</v>
      </c>
      <c r="W371" s="183" t="s">
        <v>1819</v>
      </c>
      <c r="X371" s="183"/>
      <c r="Y371" s="183"/>
      <c r="Z371" s="183" t="s">
        <v>733</v>
      </c>
      <c r="AA371" s="183" t="s">
        <v>734</v>
      </c>
      <c r="AB371" s="183"/>
      <c r="AC371" s="183"/>
      <c r="AD371" s="183" t="s">
        <v>1820</v>
      </c>
      <c r="AE371" s="183" t="s">
        <v>741</v>
      </c>
    </row>
    <row r="372" spans="1:31" ht="27.6">
      <c r="A372" s="183" t="s">
        <v>694</v>
      </c>
      <c r="B372" s="183" t="s">
        <v>347</v>
      </c>
      <c r="C372" s="183" t="s">
        <v>347</v>
      </c>
      <c r="D372" s="184" t="s">
        <v>830</v>
      </c>
      <c r="E372" s="183" t="s">
        <v>696</v>
      </c>
      <c r="F372" s="183" t="s">
        <v>697</v>
      </c>
      <c r="G372" s="183" t="s">
        <v>698</v>
      </c>
      <c r="H372" s="183" t="s">
        <v>6</v>
      </c>
      <c r="I372" s="183" t="s">
        <v>729</v>
      </c>
      <c r="J372" s="188">
        <v>46287</v>
      </c>
      <c r="K372" s="183" t="s">
        <v>1821</v>
      </c>
      <c r="L372" s="183" t="s">
        <v>106</v>
      </c>
      <c r="M372" s="183" t="s">
        <v>1017</v>
      </c>
      <c r="N372" s="185">
        <v>9</v>
      </c>
      <c r="O372" s="186">
        <v>7</v>
      </c>
      <c r="P372" s="185">
        <v>51</v>
      </c>
      <c r="Q372" s="185">
        <v>8</v>
      </c>
      <c r="R372" s="183" t="s">
        <v>702</v>
      </c>
      <c r="S372" s="185">
        <v>471</v>
      </c>
      <c r="T372" s="189">
        <f t="shared" si="6"/>
        <v>7.85</v>
      </c>
      <c r="U372" s="183" t="s">
        <v>703</v>
      </c>
      <c r="V372" s="183" t="s">
        <v>704</v>
      </c>
      <c r="W372" s="183" t="s">
        <v>1822</v>
      </c>
      <c r="X372" s="183"/>
      <c r="Y372" s="183"/>
      <c r="Z372" s="183" t="s">
        <v>733</v>
      </c>
      <c r="AA372" s="183" t="s">
        <v>734</v>
      </c>
      <c r="AB372" s="183"/>
      <c r="AC372" s="183"/>
      <c r="AD372" s="183" t="s">
        <v>1823</v>
      </c>
      <c r="AE372" s="183" t="s">
        <v>741</v>
      </c>
    </row>
    <row r="373" spans="1:31" ht="27.6" hidden="1">
      <c r="A373" s="183" t="s">
        <v>694</v>
      </c>
      <c r="B373" s="183" t="s">
        <v>347</v>
      </c>
      <c r="C373" s="183" t="s">
        <v>347</v>
      </c>
      <c r="D373" s="184" t="s">
        <v>830</v>
      </c>
      <c r="E373" s="183" t="s">
        <v>696</v>
      </c>
      <c r="F373" s="183" t="s">
        <v>697</v>
      </c>
      <c r="G373" s="183" t="s">
        <v>698</v>
      </c>
      <c r="H373" s="183" t="s">
        <v>5</v>
      </c>
      <c r="I373" s="183" t="s">
        <v>729</v>
      </c>
      <c r="J373" s="188">
        <v>46058</v>
      </c>
      <c r="K373" s="183" t="s">
        <v>1824</v>
      </c>
      <c r="L373" s="183" t="s">
        <v>364</v>
      </c>
      <c r="M373" s="183" t="s">
        <v>1825</v>
      </c>
      <c r="N373" s="185">
        <v>238</v>
      </c>
      <c r="O373" s="186">
        <v>0</v>
      </c>
      <c r="P373" s="185">
        <v>13</v>
      </c>
      <c r="Q373" s="185">
        <v>1</v>
      </c>
      <c r="R373" s="183" t="s">
        <v>702</v>
      </c>
      <c r="S373" s="185">
        <v>13</v>
      </c>
      <c r="T373" s="189">
        <f t="shared" si="6"/>
        <v>0.21666666666666667</v>
      </c>
      <c r="U373" s="183" t="s">
        <v>703</v>
      </c>
      <c r="V373" s="183" t="s">
        <v>704</v>
      </c>
      <c r="W373" s="183" t="s">
        <v>1826</v>
      </c>
      <c r="X373" s="183"/>
      <c r="Y373" s="183"/>
      <c r="Z373" s="183" t="s">
        <v>733</v>
      </c>
      <c r="AA373" s="183" t="s">
        <v>734</v>
      </c>
      <c r="AB373" s="183"/>
      <c r="AC373" s="183"/>
      <c r="AD373" s="183" t="s">
        <v>1827</v>
      </c>
      <c r="AE373" s="183" t="s">
        <v>741</v>
      </c>
    </row>
    <row r="374" spans="1:31" ht="27.6" hidden="1">
      <c r="A374" s="183" t="s">
        <v>694</v>
      </c>
      <c r="B374" s="183" t="s">
        <v>347</v>
      </c>
      <c r="C374" s="183" t="s">
        <v>347</v>
      </c>
      <c r="D374" s="184" t="s">
        <v>830</v>
      </c>
      <c r="E374" s="183" t="s">
        <v>696</v>
      </c>
      <c r="F374" s="183" t="s">
        <v>697</v>
      </c>
      <c r="G374" s="183" t="s">
        <v>698</v>
      </c>
      <c r="H374" s="183" t="s">
        <v>5</v>
      </c>
      <c r="I374" s="183" t="s">
        <v>729</v>
      </c>
      <c r="J374" s="188">
        <v>46084</v>
      </c>
      <c r="K374" s="183" t="s">
        <v>1828</v>
      </c>
      <c r="L374" s="183" t="s">
        <v>365</v>
      </c>
      <c r="M374" s="183" t="s">
        <v>797</v>
      </c>
      <c r="N374" s="185">
        <v>212</v>
      </c>
      <c r="O374" s="186">
        <v>0</v>
      </c>
      <c r="P374" s="185">
        <v>41</v>
      </c>
      <c r="Q374" s="185">
        <v>0</v>
      </c>
      <c r="R374" s="183" t="s">
        <v>702</v>
      </c>
      <c r="S374" s="185">
        <v>41</v>
      </c>
      <c r="T374" s="189">
        <f t="shared" si="6"/>
        <v>0.68333333333333335</v>
      </c>
      <c r="U374" s="183" t="s">
        <v>703</v>
      </c>
      <c r="V374" s="183" t="s">
        <v>704</v>
      </c>
      <c r="W374" s="183" t="s">
        <v>1829</v>
      </c>
      <c r="X374" s="183"/>
      <c r="Y374" s="183"/>
      <c r="Z374" s="183" t="s">
        <v>733</v>
      </c>
      <c r="AA374" s="183" t="s">
        <v>734</v>
      </c>
      <c r="AB374" s="183"/>
      <c r="AC374" s="183"/>
      <c r="AD374" s="183"/>
      <c r="AE374" s="183" t="s">
        <v>736</v>
      </c>
    </row>
    <row r="375" spans="1:31" ht="27.6">
      <c r="A375" s="183" t="s">
        <v>694</v>
      </c>
      <c r="B375" s="183" t="s">
        <v>347</v>
      </c>
      <c r="C375" s="183" t="s">
        <v>347</v>
      </c>
      <c r="D375" s="184" t="s">
        <v>830</v>
      </c>
      <c r="E375" s="183" t="s">
        <v>696</v>
      </c>
      <c r="F375" s="183" t="s">
        <v>697</v>
      </c>
      <c r="G375" s="183" t="s">
        <v>698</v>
      </c>
      <c r="H375" s="183" t="s">
        <v>5</v>
      </c>
      <c r="I375" s="183" t="s">
        <v>729</v>
      </c>
      <c r="J375" s="188">
        <v>46287</v>
      </c>
      <c r="K375" s="183" t="s">
        <v>1830</v>
      </c>
      <c r="L375" s="183" t="s">
        <v>53</v>
      </c>
      <c r="M375" s="183" t="s">
        <v>791</v>
      </c>
      <c r="N375" s="185">
        <v>9</v>
      </c>
      <c r="O375" s="186">
        <v>5</v>
      </c>
      <c r="P375" s="185">
        <v>22</v>
      </c>
      <c r="Q375" s="185">
        <v>6</v>
      </c>
      <c r="R375" s="183" t="s">
        <v>702</v>
      </c>
      <c r="S375" s="185">
        <v>322</v>
      </c>
      <c r="T375" s="189">
        <f t="shared" si="6"/>
        <v>5.3666666666666663</v>
      </c>
      <c r="U375" s="183" t="s">
        <v>703</v>
      </c>
      <c r="V375" s="183" t="s">
        <v>704</v>
      </c>
      <c r="W375" s="183" t="s">
        <v>1831</v>
      </c>
      <c r="X375" s="183"/>
      <c r="Y375" s="183"/>
      <c r="Z375" s="183" t="s">
        <v>733</v>
      </c>
      <c r="AA375" s="183" t="s">
        <v>734</v>
      </c>
      <c r="AB375" s="183"/>
      <c r="AC375" s="183"/>
      <c r="AD375" s="183" t="s">
        <v>1832</v>
      </c>
      <c r="AE375" s="183" t="s">
        <v>741</v>
      </c>
    </row>
    <row r="376" spans="1:31" ht="27.6">
      <c r="A376" s="183" t="s">
        <v>694</v>
      </c>
      <c r="B376" s="183" t="s">
        <v>347</v>
      </c>
      <c r="C376" s="183" t="s">
        <v>347</v>
      </c>
      <c r="D376" s="184" t="s">
        <v>1047</v>
      </c>
      <c r="E376" s="183" t="s">
        <v>696</v>
      </c>
      <c r="F376" s="183" t="s">
        <v>697</v>
      </c>
      <c r="G376" s="183" t="s">
        <v>698</v>
      </c>
      <c r="H376" s="183" t="s">
        <v>4</v>
      </c>
      <c r="I376" s="183" t="s">
        <v>729</v>
      </c>
      <c r="J376" s="188">
        <v>46287</v>
      </c>
      <c r="K376" s="183" t="s">
        <v>1833</v>
      </c>
      <c r="L376" s="183" t="s">
        <v>366</v>
      </c>
      <c r="M376" s="183" t="s">
        <v>1834</v>
      </c>
      <c r="N376" s="185">
        <v>9</v>
      </c>
      <c r="O376" s="186">
        <v>8</v>
      </c>
      <c r="P376" s="185">
        <v>36</v>
      </c>
      <c r="Q376" s="185">
        <v>9</v>
      </c>
      <c r="R376" s="183" t="s">
        <v>702</v>
      </c>
      <c r="S376" s="185">
        <v>516</v>
      </c>
      <c r="T376" s="189">
        <f t="shared" si="6"/>
        <v>8.6</v>
      </c>
      <c r="U376" s="183" t="s">
        <v>703</v>
      </c>
      <c r="V376" s="183" t="s">
        <v>704</v>
      </c>
      <c r="W376" s="183" t="s">
        <v>1835</v>
      </c>
      <c r="X376" s="183"/>
      <c r="Y376" s="183"/>
      <c r="Z376" s="183" t="s">
        <v>733</v>
      </c>
      <c r="AA376" s="183" t="s">
        <v>734</v>
      </c>
      <c r="AB376" s="183"/>
      <c r="AC376" s="183"/>
      <c r="AD376" s="183" t="s">
        <v>1836</v>
      </c>
      <c r="AE376" s="183" t="s">
        <v>806</v>
      </c>
    </row>
    <row r="377" spans="1:31" ht="27.6">
      <c r="A377" s="183" t="s">
        <v>694</v>
      </c>
      <c r="B377" s="183" t="s">
        <v>347</v>
      </c>
      <c r="C377" s="183" t="s">
        <v>347</v>
      </c>
      <c r="D377" s="184" t="s">
        <v>1047</v>
      </c>
      <c r="E377" s="183" t="s">
        <v>696</v>
      </c>
      <c r="F377" s="183" t="s">
        <v>697</v>
      </c>
      <c r="G377" s="183" t="s">
        <v>698</v>
      </c>
      <c r="H377" s="183" t="s">
        <v>4</v>
      </c>
      <c r="I377" s="183" t="s">
        <v>729</v>
      </c>
      <c r="J377" s="188">
        <v>46287</v>
      </c>
      <c r="K377" s="183" t="s">
        <v>1837</v>
      </c>
      <c r="L377" s="183" t="s">
        <v>367</v>
      </c>
      <c r="M377" s="183" t="s">
        <v>1838</v>
      </c>
      <c r="N377" s="185">
        <v>9</v>
      </c>
      <c r="O377" s="186">
        <v>5</v>
      </c>
      <c r="P377" s="185">
        <v>57</v>
      </c>
      <c r="Q377" s="185">
        <v>6</v>
      </c>
      <c r="R377" s="183" t="s">
        <v>702</v>
      </c>
      <c r="S377" s="185">
        <v>357</v>
      </c>
      <c r="T377" s="189">
        <f t="shared" si="6"/>
        <v>5.95</v>
      </c>
      <c r="U377" s="183" t="s">
        <v>703</v>
      </c>
      <c r="V377" s="183" t="s">
        <v>704</v>
      </c>
      <c r="W377" s="183" t="s">
        <v>1839</v>
      </c>
      <c r="X377" s="183"/>
      <c r="Y377" s="183"/>
      <c r="Z377" s="183" t="s">
        <v>733</v>
      </c>
      <c r="AA377" s="183" t="s">
        <v>734</v>
      </c>
      <c r="AB377" s="183" t="s">
        <v>821</v>
      </c>
      <c r="AC377" s="183"/>
      <c r="AD377" s="183" t="s">
        <v>1840</v>
      </c>
      <c r="AE377" s="183" t="s">
        <v>1057</v>
      </c>
    </row>
    <row r="378" spans="1:31" ht="27.6">
      <c r="A378" s="183" t="s">
        <v>694</v>
      </c>
      <c r="B378" s="183" t="s">
        <v>347</v>
      </c>
      <c r="C378" s="183" t="s">
        <v>347</v>
      </c>
      <c r="D378" s="184" t="s">
        <v>1047</v>
      </c>
      <c r="E378" s="183" t="s">
        <v>696</v>
      </c>
      <c r="F378" s="183" t="s">
        <v>697</v>
      </c>
      <c r="G378" s="183" t="s">
        <v>698</v>
      </c>
      <c r="H378" s="183" t="s">
        <v>4</v>
      </c>
      <c r="I378" s="183" t="s">
        <v>729</v>
      </c>
      <c r="J378" s="188">
        <v>46287</v>
      </c>
      <c r="K378" s="183" t="s">
        <v>1841</v>
      </c>
      <c r="L378" s="183" t="s">
        <v>368</v>
      </c>
      <c r="M378" s="183" t="s">
        <v>1842</v>
      </c>
      <c r="N378" s="185">
        <v>9</v>
      </c>
      <c r="O378" s="186">
        <v>11</v>
      </c>
      <c r="P378" s="185">
        <v>42</v>
      </c>
      <c r="Q378" s="185">
        <v>12</v>
      </c>
      <c r="R378" s="183" t="s">
        <v>702</v>
      </c>
      <c r="S378" s="185">
        <v>702</v>
      </c>
      <c r="T378" s="189">
        <f t="shared" si="6"/>
        <v>11.7</v>
      </c>
      <c r="U378" s="183" t="s">
        <v>703</v>
      </c>
      <c r="V378" s="183" t="s">
        <v>704</v>
      </c>
      <c r="W378" s="183" t="s">
        <v>1843</v>
      </c>
      <c r="X378" s="183"/>
      <c r="Y378" s="183"/>
      <c r="Z378" s="183" t="s">
        <v>733</v>
      </c>
      <c r="AA378" s="183" t="s">
        <v>734</v>
      </c>
      <c r="AB378" s="183"/>
      <c r="AC378" s="183"/>
      <c r="AD378" s="183" t="s">
        <v>1844</v>
      </c>
      <c r="AE378" s="183" t="s">
        <v>800</v>
      </c>
    </row>
    <row r="379" spans="1:31" ht="27.6">
      <c r="A379" s="183" t="s">
        <v>694</v>
      </c>
      <c r="B379" s="183" t="s">
        <v>347</v>
      </c>
      <c r="C379" s="183" t="s">
        <v>347</v>
      </c>
      <c r="D379" s="184" t="s">
        <v>1047</v>
      </c>
      <c r="E379" s="183" t="s">
        <v>696</v>
      </c>
      <c r="F379" s="183" t="s">
        <v>697</v>
      </c>
      <c r="G379" s="183" t="s">
        <v>698</v>
      </c>
      <c r="H379" s="183" t="s">
        <v>4</v>
      </c>
      <c r="I379" s="183" t="s">
        <v>729</v>
      </c>
      <c r="J379" s="188">
        <v>46287</v>
      </c>
      <c r="K379" s="183" t="s">
        <v>1845</v>
      </c>
      <c r="L379" s="183" t="s">
        <v>369</v>
      </c>
      <c r="M379" s="183" t="s">
        <v>1846</v>
      </c>
      <c r="N379" s="185">
        <v>9</v>
      </c>
      <c r="O379" s="186">
        <v>7</v>
      </c>
      <c r="P379" s="185">
        <v>4</v>
      </c>
      <c r="Q379" s="185">
        <v>7</v>
      </c>
      <c r="R379" s="183" t="s">
        <v>702</v>
      </c>
      <c r="S379" s="185">
        <v>424</v>
      </c>
      <c r="T379" s="189">
        <f t="shared" si="6"/>
        <v>7.0666666666666664</v>
      </c>
      <c r="U379" s="183" t="s">
        <v>703</v>
      </c>
      <c r="V379" s="183" t="s">
        <v>704</v>
      </c>
      <c r="W379" s="183" t="s">
        <v>1847</v>
      </c>
      <c r="X379" s="183"/>
      <c r="Y379" s="183"/>
      <c r="Z379" s="183" t="s">
        <v>733</v>
      </c>
      <c r="AA379" s="183" t="s">
        <v>734</v>
      </c>
      <c r="AB379" s="183" t="s">
        <v>708</v>
      </c>
      <c r="AC379" s="183"/>
      <c r="AD379" s="183" t="s">
        <v>1848</v>
      </c>
      <c r="AE379" s="183" t="s">
        <v>800</v>
      </c>
    </row>
    <row r="380" spans="1:31" ht="27.6">
      <c r="A380" s="183" t="s">
        <v>694</v>
      </c>
      <c r="B380" s="183" t="s">
        <v>347</v>
      </c>
      <c r="C380" s="183" t="s">
        <v>347</v>
      </c>
      <c r="D380" s="184" t="s">
        <v>1047</v>
      </c>
      <c r="E380" s="183" t="s">
        <v>696</v>
      </c>
      <c r="F380" s="183" t="s">
        <v>697</v>
      </c>
      <c r="G380" s="183" t="s">
        <v>698</v>
      </c>
      <c r="H380" s="183" t="s">
        <v>4</v>
      </c>
      <c r="I380" s="183" t="s">
        <v>729</v>
      </c>
      <c r="J380" s="188">
        <v>46287</v>
      </c>
      <c r="K380" s="183" t="s">
        <v>1849</v>
      </c>
      <c r="L380" s="183" t="s">
        <v>370</v>
      </c>
      <c r="M380" s="183" t="s">
        <v>162</v>
      </c>
      <c r="N380" s="185">
        <v>9</v>
      </c>
      <c r="O380" s="186">
        <v>2</v>
      </c>
      <c r="P380" s="185">
        <v>46</v>
      </c>
      <c r="Q380" s="185">
        <v>3</v>
      </c>
      <c r="R380" s="183" t="s">
        <v>702</v>
      </c>
      <c r="S380" s="185">
        <v>166</v>
      </c>
      <c r="T380" s="189">
        <f t="shared" si="6"/>
        <v>2.7666666666666666</v>
      </c>
      <c r="U380" s="183" t="s">
        <v>703</v>
      </c>
      <c r="V380" s="183" t="s">
        <v>704</v>
      </c>
      <c r="W380" s="183" t="s">
        <v>1850</v>
      </c>
      <c r="X380" s="183"/>
      <c r="Y380" s="183"/>
      <c r="Z380" s="183" t="s">
        <v>733</v>
      </c>
      <c r="AA380" s="183" t="s">
        <v>734</v>
      </c>
      <c r="AB380" s="183"/>
      <c r="AC380" s="183"/>
      <c r="AD380" s="183" t="s">
        <v>1851</v>
      </c>
      <c r="AE380" s="183" t="s">
        <v>806</v>
      </c>
    </row>
    <row r="381" spans="1:31" ht="27.6">
      <c r="A381" s="183" t="s">
        <v>694</v>
      </c>
      <c r="B381" s="183" t="s">
        <v>347</v>
      </c>
      <c r="C381" s="183" t="s">
        <v>347</v>
      </c>
      <c r="D381" s="184" t="s">
        <v>1047</v>
      </c>
      <c r="E381" s="183" t="s">
        <v>696</v>
      </c>
      <c r="F381" s="183" t="s">
        <v>697</v>
      </c>
      <c r="G381" s="183" t="s">
        <v>698</v>
      </c>
      <c r="H381" s="183" t="s">
        <v>8</v>
      </c>
      <c r="I381" s="183" t="s">
        <v>729</v>
      </c>
      <c r="J381" s="188">
        <v>46287</v>
      </c>
      <c r="K381" s="183" t="s">
        <v>1852</v>
      </c>
      <c r="L381" s="183" t="s">
        <v>371</v>
      </c>
      <c r="M381" s="183" t="s">
        <v>1779</v>
      </c>
      <c r="N381" s="185">
        <v>9</v>
      </c>
      <c r="O381" s="186">
        <v>5</v>
      </c>
      <c r="P381" s="185">
        <v>38</v>
      </c>
      <c r="Q381" s="185">
        <v>6</v>
      </c>
      <c r="R381" s="183" t="s">
        <v>702</v>
      </c>
      <c r="S381" s="185">
        <v>338</v>
      </c>
      <c r="T381" s="189">
        <f t="shared" si="6"/>
        <v>5.6333333333333337</v>
      </c>
      <c r="U381" s="183" t="s">
        <v>703</v>
      </c>
      <c r="V381" s="183" t="s">
        <v>704</v>
      </c>
      <c r="W381" s="183" t="s">
        <v>1853</v>
      </c>
      <c r="X381" s="183"/>
      <c r="Y381" s="183"/>
      <c r="Z381" s="183" t="s">
        <v>733</v>
      </c>
      <c r="AA381" s="183" t="s">
        <v>734</v>
      </c>
      <c r="AB381" s="183"/>
      <c r="AC381" s="183"/>
      <c r="AD381" s="183" t="s">
        <v>1854</v>
      </c>
      <c r="AE381" s="183" t="s">
        <v>1057</v>
      </c>
    </row>
    <row r="382" spans="1:31" ht="27.6">
      <c r="A382" s="183" t="s">
        <v>694</v>
      </c>
      <c r="B382" s="183" t="s">
        <v>347</v>
      </c>
      <c r="C382" s="183" t="s">
        <v>347</v>
      </c>
      <c r="D382" s="184" t="s">
        <v>1047</v>
      </c>
      <c r="E382" s="183" t="s">
        <v>696</v>
      </c>
      <c r="F382" s="183" t="s">
        <v>697</v>
      </c>
      <c r="G382" s="183" t="s">
        <v>698</v>
      </c>
      <c r="H382" s="183" t="s">
        <v>8</v>
      </c>
      <c r="I382" s="183" t="s">
        <v>729</v>
      </c>
      <c r="J382" s="188">
        <v>46287</v>
      </c>
      <c r="K382" s="183" t="s">
        <v>1855</v>
      </c>
      <c r="L382" s="183" t="s">
        <v>372</v>
      </c>
      <c r="M382" s="183" t="s">
        <v>1779</v>
      </c>
      <c r="N382" s="185">
        <v>9</v>
      </c>
      <c r="O382" s="186">
        <v>6</v>
      </c>
      <c r="P382" s="185">
        <v>40</v>
      </c>
      <c r="Q382" s="185">
        <v>7</v>
      </c>
      <c r="R382" s="183" t="s">
        <v>702</v>
      </c>
      <c r="S382" s="185">
        <v>400</v>
      </c>
      <c r="T382" s="189">
        <f t="shared" si="6"/>
        <v>6.666666666666667</v>
      </c>
      <c r="U382" s="183" t="s">
        <v>703</v>
      </c>
      <c r="V382" s="183" t="s">
        <v>704</v>
      </c>
      <c r="W382" s="183" t="s">
        <v>1856</v>
      </c>
      <c r="X382" s="183"/>
      <c r="Y382" s="183"/>
      <c r="Z382" s="183" t="s">
        <v>733</v>
      </c>
      <c r="AA382" s="183" t="s">
        <v>734</v>
      </c>
      <c r="AB382" s="183"/>
      <c r="AC382" s="183"/>
      <c r="AD382" s="183" t="s">
        <v>1857</v>
      </c>
      <c r="AE382" s="183" t="s">
        <v>800</v>
      </c>
    </row>
    <row r="383" spans="1:31" ht="27.6" hidden="1">
      <c r="A383" s="183" t="s">
        <v>694</v>
      </c>
      <c r="B383" s="183" t="s">
        <v>373</v>
      </c>
      <c r="C383" s="183" t="s">
        <v>373</v>
      </c>
      <c r="D383" s="184" t="s">
        <v>1157</v>
      </c>
      <c r="E383" s="183" t="s">
        <v>696</v>
      </c>
      <c r="F383" s="183" t="s">
        <v>697</v>
      </c>
      <c r="G383" s="183" t="s">
        <v>698</v>
      </c>
      <c r="H383" s="183" t="s">
        <v>1</v>
      </c>
      <c r="I383" s="183" t="s">
        <v>1858</v>
      </c>
      <c r="J383" s="188">
        <v>46294</v>
      </c>
      <c r="K383" s="183" t="s">
        <v>1859</v>
      </c>
      <c r="L383" s="183" t="s">
        <v>254</v>
      </c>
      <c r="M383" s="183"/>
      <c r="N383" s="185">
        <v>2</v>
      </c>
      <c r="O383" s="186">
        <v>37</v>
      </c>
      <c r="P383" s="185">
        <v>4</v>
      </c>
      <c r="Q383" s="185">
        <v>37</v>
      </c>
      <c r="R383" s="183" t="s">
        <v>702</v>
      </c>
      <c r="S383" s="185">
        <v>2224</v>
      </c>
      <c r="T383" s="189">
        <f t="shared" si="6"/>
        <v>37.06666666666667</v>
      </c>
      <c r="U383" s="183" t="s">
        <v>703</v>
      </c>
      <c r="V383" s="183" t="s">
        <v>526</v>
      </c>
      <c r="W383" s="183"/>
      <c r="X383" s="183"/>
      <c r="Y383" s="183"/>
      <c r="Z383" s="183"/>
      <c r="AA383" s="183"/>
      <c r="AB383" s="183"/>
      <c r="AC383" s="183"/>
      <c r="AD383" s="183"/>
      <c r="AE383" s="183"/>
    </row>
    <row r="384" spans="1:31" ht="27.6" hidden="1">
      <c r="A384" s="183" t="s">
        <v>694</v>
      </c>
      <c r="B384" s="183" t="s">
        <v>373</v>
      </c>
      <c r="C384" s="183" t="s">
        <v>373</v>
      </c>
      <c r="D384" s="184" t="s">
        <v>1157</v>
      </c>
      <c r="E384" s="183" t="s">
        <v>696</v>
      </c>
      <c r="F384" s="183" t="s">
        <v>697</v>
      </c>
      <c r="G384" s="183" t="s">
        <v>698</v>
      </c>
      <c r="H384" s="183" t="s">
        <v>1</v>
      </c>
      <c r="I384" s="183" t="s">
        <v>1860</v>
      </c>
      <c r="J384" s="188">
        <v>46294</v>
      </c>
      <c r="K384" s="183" t="s">
        <v>1861</v>
      </c>
      <c r="L384" s="183" t="s">
        <v>374</v>
      </c>
      <c r="M384" s="183"/>
      <c r="N384" s="185">
        <v>2</v>
      </c>
      <c r="O384" s="186">
        <v>21</v>
      </c>
      <c r="P384" s="185">
        <v>20</v>
      </c>
      <c r="Q384" s="185">
        <v>22</v>
      </c>
      <c r="R384" s="183" t="s">
        <v>702</v>
      </c>
      <c r="S384" s="185">
        <v>1280</v>
      </c>
      <c r="T384" s="189">
        <f t="shared" si="6"/>
        <v>21.333333333333332</v>
      </c>
      <c r="U384" s="183" t="s">
        <v>703</v>
      </c>
      <c r="V384" s="183" t="s">
        <v>526</v>
      </c>
      <c r="W384" s="183"/>
      <c r="X384" s="183"/>
      <c r="Y384" s="183"/>
      <c r="Z384" s="183"/>
      <c r="AA384" s="183"/>
      <c r="AB384" s="183"/>
      <c r="AC384" s="183"/>
      <c r="AD384" s="183"/>
      <c r="AE384" s="183"/>
    </row>
    <row r="385" spans="1:31" ht="27.6" hidden="1">
      <c r="A385" s="183" t="s">
        <v>694</v>
      </c>
      <c r="B385" s="183" t="s">
        <v>373</v>
      </c>
      <c r="C385" s="183" t="s">
        <v>373</v>
      </c>
      <c r="D385" s="184" t="s">
        <v>1157</v>
      </c>
      <c r="E385" s="183" t="s">
        <v>696</v>
      </c>
      <c r="F385" s="183" t="s">
        <v>697</v>
      </c>
      <c r="G385" s="183" t="s">
        <v>698</v>
      </c>
      <c r="H385" s="183" t="s">
        <v>1</v>
      </c>
      <c r="I385" s="183" t="s">
        <v>1546</v>
      </c>
      <c r="J385" s="188">
        <v>46288</v>
      </c>
      <c r="K385" s="183" t="s">
        <v>1862</v>
      </c>
      <c r="L385" s="183" t="s">
        <v>252</v>
      </c>
      <c r="M385" s="183"/>
      <c r="N385" s="185">
        <v>8</v>
      </c>
      <c r="O385" s="186">
        <v>1</v>
      </c>
      <c r="P385" s="185">
        <v>46</v>
      </c>
      <c r="Q385" s="185">
        <v>2</v>
      </c>
      <c r="R385" s="183" t="s">
        <v>702</v>
      </c>
      <c r="S385" s="185">
        <v>106</v>
      </c>
      <c r="T385" s="189">
        <f t="shared" si="6"/>
        <v>1.7666666666666666</v>
      </c>
      <c r="U385" s="183" t="s">
        <v>703</v>
      </c>
      <c r="V385" s="183" t="s">
        <v>526</v>
      </c>
      <c r="W385" s="183"/>
      <c r="X385" s="183"/>
      <c r="Y385" s="183"/>
      <c r="Z385" s="183"/>
      <c r="AA385" s="183"/>
      <c r="AB385" s="183"/>
      <c r="AC385" s="183"/>
      <c r="AD385" s="183"/>
      <c r="AE385" s="183"/>
    </row>
    <row r="386" spans="1:31" ht="27.6" hidden="1">
      <c r="A386" s="183" t="s">
        <v>694</v>
      </c>
      <c r="B386" s="183" t="s">
        <v>373</v>
      </c>
      <c r="C386" s="183" t="s">
        <v>373</v>
      </c>
      <c r="D386" s="184" t="s">
        <v>1157</v>
      </c>
      <c r="E386" s="183" t="s">
        <v>696</v>
      </c>
      <c r="F386" s="183" t="s">
        <v>697</v>
      </c>
      <c r="G386" s="183" t="s">
        <v>698</v>
      </c>
      <c r="H386" s="183" t="s">
        <v>1</v>
      </c>
      <c r="I386" s="183" t="s">
        <v>1546</v>
      </c>
      <c r="J386" s="188">
        <v>46289</v>
      </c>
      <c r="K386" s="183" t="s">
        <v>1863</v>
      </c>
      <c r="L386" s="183" t="s">
        <v>263</v>
      </c>
      <c r="M386" s="183"/>
      <c r="N386" s="185">
        <v>7</v>
      </c>
      <c r="O386" s="186">
        <v>3</v>
      </c>
      <c r="P386" s="185">
        <v>23</v>
      </c>
      <c r="Q386" s="185">
        <v>4</v>
      </c>
      <c r="R386" s="183" t="s">
        <v>702</v>
      </c>
      <c r="S386" s="185">
        <v>203</v>
      </c>
      <c r="T386" s="189">
        <f t="shared" si="6"/>
        <v>3.3833333333333333</v>
      </c>
      <c r="U386" s="183" t="s">
        <v>703</v>
      </c>
      <c r="V386" s="183" t="s">
        <v>526</v>
      </c>
      <c r="W386" s="183"/>
      <c r="X386" s="183"/>
      <c r="Y386" s="183"/>
      <c r="Z386" s="183"/>
      <c r="AA386" s="183"/>
      <c r="AB386" s="183"/>
      <c r="AC386" s="183"/>
      <c r="AD386" s="183"/>
      <c r="AE386" s="183"/>
    </row>
    <row r="387" spans="1:31" ht="27.6" hidden="1">
      <c r="A387" s="183" t="s">
        <v>694</v>
      </c>
      <c r="B387" s="183" t="s">
        <v>373</v>
      </c>
      <c r="C387" s="183" t="s">
        <v>373</v>
      </c>
      <c r="D387" s="184" t="s">
        <v>1157</v>
      </c>
      <c r="E387" s="183" t="s">
        <v>696</v>
      </c>
      <c r="F387" s="183" t="s">
        <v>697</v>
      </c>
      <c r="G387" s="183" t="s">
        <v>698</v>
      </c>
      <c r="H387" s="183" t="s">
        <v>1</v>
      </c>
      <c r="I387" s="183" t="s">
        <v>1546</v>
      </c>
      <c r="J387" s="188">
        <v>46293</v>
      </c>
      <c r="K387" s="183" t="s">
        <v>1864</v>
      </c>
      <c r="L387" s="183" t="s">
        <v>375</v>
      </c>
      <c r="M387" s="183"/>
      <c r="N387" s="185">
        <v>3</v>
      </c>
      <c r="O387" s="186">
        <v>3</v>
      </c>
      <c r="P387" s="185">
        <v>19</v>
      </c>
      <c r="Q387" s="185">
        <v>4</v>
      </c>
      <c r="R387" s="183" t="s">
        <v>702</v>
      </c>
      <c r="S387" s="185">
        <v>199</v>
      </c>
      <c r="T387" s="189">
        <f t="shared" ref="T387:T450" si="7">S387/60</f>
        <v>3.3166666666666669</v>
      </c>
      <c r="U387" s="183" t="s">
        <v>703</v>
      </c>
      <c r="V387" s="183" t="s">
        <v>526</v>
      </c>
      <c r="W387" s="183"/>
      <c r="X387" s="183"/>
      <c r="Y387" s="183"/>
      <c r="Z387" s="183"/>
      <c r="AA387" s="183"/>
      <c r="AB387" s="183"/>
      <c r="AC387" s="183"/>
      <c r="AD387" s="183"/>
      <c r="AE387" s="183"/>
    </row>
    <row r="388" spans="1:31" ht="27.6" hidden="1">
      <c r="A388" s="183" t="s">
        <v>694</v>
      </c>
      <c r="B388" s="183" t="s">
        <v>373</v>
      </c>
      <c r="C388" s="183" t="s">
        <v>373</v>
      </c>
      <c r="D388" s="184" t="s">
        <v>1157</v>
      </c>
      <c r="E388" s="183" t="s">
        <v>696</v>
      </c>
      <c r="F388" s="183" t="s">
        <v>697</v>
      </c>
      <c r="G388" s="183" t="s">
        <v>698</v>
      </c>
      <c r="H388" s="183" t="s">
        <v>1</v>
      </c>
      <c r="I388" s="183" t="s">
        <v>1546</v>
      </c>
      <c r="J388" s="188">
        <v>46295</v>
      </c>
      <c r="K388" s="183" t="s">
        <v>1865</v>
      </c>
      <c r="L388" s="183" t="s">
        <v>270</v>
      </c>
      <c r="M388" s="183"/>
      <c r="N388" s="185">
        <v>1</v>
      </c>
      <c r="O388" s="186">
        <v>4</v>
      </c>
      <c r="P388" s="185">
        <v>25</v>
      </c>
      <c r="Q388" s="185">
        <v>5</v>
      </c>
      <c r="R388" s="183" t="s">
        <v>702</v>
      </c>
      <c r="S388" s="185">
        <v>265</v>
      </c>
      <c r="T388" s="189">
        <f t="shared" si="7"/>
        <v>4.416666666666667</v>
      </c>
      <c r="U388" s="183" t="s">
        <v>703</v>
      </c>
      <c r="V388" s="183" t="s">
        <v>526</v>
      </c>
      <c r="W388" s="183"/>
      <c r="X388" s="183"/>
      <c r="Y388" s="183"/>
      <c r="Z388" s="183"/>
      <c r="AA388" s="183"/>
      <c r="AB388" s="183" t="s">
        <v>1080</v>
      </c>
      <c r="AC388" s="183"/>
      <c r="AD388" s="183"/>
      <c r="AE388" s="183"/>
    </row>
    <row r="389" spans="1:31" ht="27.6" hidden="1">
      <c r="A389" s="183" t="s">
        <v>694</v>
      </c>
      <c r="B389" s="183" t="s">
        <v>373</v>
      </c>
      <c r="C389" s="183" t="s">
        <v>373</v>
      </c>
      <c r="D389" s="184" t="s">
        <v>1157</v>
      </c>
      <c r="E389" s="183" t="s">
        <v>696</v>
      </c>
      <c r="F389" s="183" t="s">
        <v>697</v>
      </c>
      <c r="G389" s="183" t="s">
        <v>698</v>
      </c>
      <c r="H389" s="183" t="s">
        <v>1</v>
      </c>
      <c r="I389" s="183" t="s">
        <v>1623</v>
      </c>
      <c r="J389" s="188">
        <v>46287</v>
      </c>
      <c r="K389" s="183" t="s">
        <v>1866</v>
      </c>
      <c r="L389" s="183" t="s">
        <v>256</v>
      </c>
      <c r="M389" s="183"/>
      <c r="N389" s="185">
        <v>9</v>
      </c>
      <c r="O389" s="186">
        <v>2</v>
      </c>
      <c r="P389" s="185">
        <v>40</v>
      </c>
      <c r="Q389" s="185">
        <v>3</v>
      </c>
      <c r="R389" s="183" t="s">
        <v>702</v>
      </c>
      <c r="S389" s="185">
        <v>160</v>
      </c>
      <c r="T389" s="189">
        <f t="shared" si="7"/>
        <v>2.6666666666666665</v>
      </c>
      <c r="U389" s="183" t="s">
        <v>703</v>
      </c>
      <c r="V389" s="183" t="s">
        <v>526</v>
      </c>
      <c r="W389" s="183"/>
      <c r="X389" s="183"/>
      <c r="Y389" s="183"/>
      <c r="Z389" s="183"/>
      <c r="AA389" s="183"/>
      <c r="AB389" s="183"/>
      <c r="AC389" s="183"/>
      <c r="AD389" s="183"/>
      <c r="AE389" s="183"/>
    </row>
    <row r="390" spans="1:31" ht="27.6" hidden="1">
      <c r="A390" s="183" t="s">
        <v>694</v>
      </c>
      <c r="B390" s="183" t="s">
        <v>373</v>
      </c>
      <c r="C390" s="183" t="s">
        <v>373</v>
      </c>
      <c r="D390" s="184" t="s">
        <v>1157</v>
      </c>
      <c r="E390" s="183" t="s">
        <v>696</v>
      </c>
      <c r="F390" s="183" t="s">
        <v>697</v>
      </c>
      <c r="G390" s="183" t="s">
        <v>698</v>
      </c>
      <c r="H390" s="183" t="s">
        <v>1</v>
      </c>
      <c r="I390" s="183" t="s">
        <v>1623</v>
      </c>
      <c r="J390" s="188">
        <v>46293</v>
      </c>
      <c r="K390" s="183" t="s">
        <v>1867</v>
      </c>
      <c r="L390" s="183" t="s">
        <v>285</v>
      </c>
      <c r="M390" s="183"/>
      <c r="N390" s="185">
        <v>3</v>
      </c>
      <c r="O390" s="186">
        <v>3</v>
      </c>
      <c r="P390" s="185">
        <v>41</v>
      </c>
      <c r="Q390" s="185">
        <v>4</v>
      </c>
      <c r="R390" s="183" t="s">
        <v>702</v>
      </c>
      <c r="S390" s="185">
        <v>221</v>
      </c>
      <c r="T390" s="189">
        <f t="shared" si="7"/>
        <v>3.6833333333333331</v>
      </c>
      <c r="U390" s="183" t="s">
        <v>703</v>
      </c>
      <c r="V390" s="183" t="s">
        <v>526</v>
      </c>
      <c r="W390" s="183"/>
      <c r="X390" s="183"/>
      <c r="Y390" s="183"/>
      <c r="Z390" s="183"/>
      <c r="AA390" s="183"/>
      <c r="AB390" s="183"/>
      <c r="AC390" s="183"/>
      <c r="AD390" s="183"/>
      <c r="AE390" s="183"/>
    </row>
    <row r="391" spans="1:31" ht="27.6" hidden="1">
      <c r="A391" s="183" t="s">
        <v>694</v>
      </c>
      <c r="B391" s="183" t="s">
        <v>373</v>
      </c>
      <c r="C391" s="183" t="s">
        <v>373</v>
      </c>
      <c r="D391" s="184" t="s">
        <v>1157</v>
      </c>
      <c r="E391" s="183" t="s">
        <v>696</v>
      </c>
      <c r="F391" s="183" t="s">
        <v>697</v>
      </c>
      <c r="G391" s="183" t="s">
        <v>698</v>
      </c>
      <c r="H391" s="183" t="s">
        <v>1</v>
      </c>
      <c r="I391" s="183" t="s">
        <v>1623</v>
      </c>
      <c r="J391" s="188">
        <v>46294</v>
      </c>
      <c r="K391" s="183" t="s">
        <v>1868</v>
      </c>
      <c r="L391" s="183" t="s">
        <v>278</v>
      </c>
      <c r="M391" s="183"/>
      <c r="N391" s="185">
        <v>2</v>
      </c>
      <c r="O391" s="186">
        <v>0</v>
      </c>
      <c r="P391" s="185">
        <v>33</v>
      </c>
      <c r="Q391" s="185">
        <v>1</v>
      </c>
      <c r="R391" s="183" t="s">
        <v>702</v>
      </c>
      <c r="S391" s="185">
        <v>33</v>
      </c>
      <c r="T391" s="189">
        <f t="shared" si="7"/>
        <v>0.55000000000000004</v>
      </c>
      <c r="U391" s="183" t="s">
        <v>703</v>
      </c>
      <c r="V391" s="183" t="s">
        <v>526</v>
      </c>
      <c r="W391" s="183"/>
      <c r="X391" s="183"/>
      <c r="Y391" s="183"/>
      <c r="Z391" s="183"/>
      <c r="AA391" s="183"/>
      <c r="AB391" s="183"/>
      <c r="AC391" s="183"/>
      <c r="AD391" s="183"/>
      <c r="AE391" s="183"/>
    </row>
    <row r="392" spans="1:31" ht="27.6" hidden="1">
      <c r="A392" s="183" t="s">
        <v>694</v>
      </c>
      <c r="B392" s="183" t="s">
        <v>373</v>
      </c>
      <c r="C392" s="183" t="s">
        <v>373</v>
      </c>
      <c r="D392" s="184" t="s">
        <v>1157</v>
      </c>
      <c r="E392" s="183" t="s">
        <v>696</v>
      </c>
      <c r="F392" s="183" t="s">
        <v>697</v>
      </c>
      <c r="G392" s="183" t="s">
        <v>698</v>
      </c>
      <c r="H392" s="183" t="s">
        <v>1</v>
      </c>
      <c r="I392" s="183" t="s">
        <v>1623</v>
      </c>
      <c r="J392" s="188">
        <v>46294</v>
      </c>
      <c r="K392" s="183" t="s">
        <v>1869</v>
      </c>
      <c r="L392" s="183" t="s">
        <v>245</v>
      </c>
      <c r="M392" s="183"/>
      <c r="N392" s="185">
        <v>2</v>
      </c>
      <c r="O392" s="186">
        <v>2</v>
      </c>
      <c r="P392" s="185">
        <v>35</v>
      </c>
      <c r="Q392" s="185">
        <v>3</v>
      </c>
      <c r="R392" s="183" t="s">
        <v>702</v>
      </c>
      <c r="S392" s="185">
        <v>155</v>
      </c>
      <c r="T392" s="189">
        <f t="shared" si="7"/>
        <v>2.5833333333333335</v>
      </c>
      <c r="U392" s="183" t="s">
        <v>703</v>
      </c>
      <c r="V392" s="183" t="s">
        <v>526</v>
      </c>
      <c r="W392" s="183"/>
      <c r="X392" s="183"/>
      <c r="Y392" s="183"/>
      <c r="Z392" s="183"/>
      <c r="AA392" s="183"/>
      <c r="AB392" s="183"/>
      <c r="AC392" s="183"/>
      <c r="AD392" s="183"/>
      <c r="AE392" s="183"/>
    </row>
    <row r="393" spans="1:31" ht="27.6" hidden="1">
      <c r="A393" s="183" t="s">
        <v>694</v>
      </c>
      <c r="B393" s="183" t="s">
        <v>373</v>
      </c>
      <c r="C393" s="183" t="s">
        <v>373</v>
      </c>
      <c r="D393" s="184" t="s">
        <v>1157</v>
      </c>
      <c r="E393" s="183" t="s">
        <v>696</v>
      </c>
      <c r="F393" s="183" t="s">
        <v>697</v>
      </c>
      <c r="G393" s="183" t="s">
        <v>698</v>
      </c>
      <c r="H393" s="183" t="s">
        <v>1</v>
      </c>
      <c r="I393" s="183" t="s">
        <v>1870</v>
      </c>
      <c r="J393" s="188">
        <v>46289</v>
      </c>
      <c r="K393" s="183" t="s">
        <v>1871</v>
      </c>
      <c r="L393" s="183" t="s">
        <v>376</v>
      </c>
      <c r="M393" s="183"/>
      <c r="N393" s="185">
        <v>7</v>
      </c>
      <c r="O393" s="186">
        <v>7</v>
      </c>
      <c r="P393" s="185">
        <v>20</v>
      </c>
      <c r="Q393" s="185">
        <v>8</v>
      </c>
      <c r="R393" s="183" t="s">
        <v>702</v>
      </c>
      <c r="S393" s="185">
        <v>440</v>
      </c>
      <c r="T393" s="189">
        <f t="shared" si="7"/>
        <v>7.333333333333333</v>
      </c>
      <c r="U393" s="183" t="s">
        <v>703</v>
      </c>
      <c r="V393" s="183" t="s">
        <v>526</v>
      </c>
      <c r="W393" s="183"/>
      <c r="X393" s="183"/>
      <c r="Y393" s="183"/>
      <c r="Z393" s="183"/>
      <c r="AA393" s="183"/>
      <c r="AB393" s="183"/>
      <c r="AC393" s="183"/>
      <c r="AD393" s="183"/>
      <c r="AE393" s="183"/>
    </row>
    <row r="394" spans="1:31" ht="27.6" hidden="1">
      <c r="A394" s="183" t="s">
        <v>694</v>
      </c>
      <c r="B394" s="183" t="s">
        <v>373</v>
      </c>
      <c r="C394" s="183" t="s">
        <v>373</v>
      </c>
      <c r="D394" s="184" t="s">
        <v>1157</v>
      </c>
      <c r="E394" s="183" t="s">
        <v>696</v>
      </c>
      <c r="F394" s="183" t="s">
        <v>697</v>
      </c>
      <c r="G394" s="183" t="s">
        <v>698</v>
      </c>
      <c r="H394" s="183" t="s">
        <v>1</v>
      </c>
      <c r="I394" s="183" t="s">
        <v>1870</v>
      </c>
      <c r="J394" s="188">
        <v>46294</v>
      </c>
      <c r="K394" s="183" t="s">
        <v>1872</v>
      </c>
      <c r="L394" s="183" t="s">
        <v>279</v>
      </c>
      <c r="M394" s="183"/>
      <c r="N394" s="185">
        <v>2</v>
      </c>
      <c r="O394" s="186">
        <v>1</v>
      </c>
      <c r="P394" s="185">
        <v>21</v>
      </c>
      <c r="Q394" s="185">
        <v>2</v>
      </c>
      <c r="R394" s="183" t="s">
        <v>702</v>
      </c>
      <c r="S394" s="185">
        <v>81</v>
      </c>
      <c r="T394" s="189">
        <f t="shared" si="7"/>
        <v>1.35</v>
      </c>
      <c r="U394" s="183" t="s">
        <v>703</v>
      </c>
      <c r="V394" s="183" t="s">
        <v>526</v>
      </c>
      <c r="W394" s="183"/>
      <c r="X394" s="183"/>
      <c r="Y394" s="183"/>
      <c r="Z394" s="183"/>
      <c r="AA394" s="183"/>
      <c r="AB394" s="183"/>
      <c r="AC394" s="183"/>
      <c r="AD394" s="183"/>
      <c r="AE394" s="183"/>
    </row>
    <row r="395" spans="1:31" ht="27.6" hidden="1">
      <c r="A395" s="183" t="s">
        <v>694</v>
      </c>
      <c r="B395" s="183" t="s">
        <v>373</v>
      </c>
      <c r="C395" s="183" t="s">
        <v>373</v>
      </c>
      <c r="D395" s="184" t="s">
        <v>1157</v>
      </c>
      <c r="E395" s="183" t="s">
        <v>696</v>
      </c>
      <c r="F395" s="183" t="s">
        <v>697</v>
      </c>
      <c r="G395" s="183" t="s">
        <v>698</v>
      </c>
      <c r="H395" s="183" t="s">
        <v>1</v>
      </c>
      <c r="I395" s="183" t="s">
        <v>1870</v>
      </c>
      <c r="J395" s="188">
        <v>46295</v>
      </c>
      <c r="K395" s="183" t="s">
        <v>1873</v>
      </c>
      <c r="L395" s="183" t="s">
        <v>251</v>
      </c>
      <c r="M395" s="183"/>
      <c r="N395" s="185">
        <v>1</v>
      </c>
      <c r="O395" s="186">
        <v>0</v>
      </c>
      <c r="P395" s="185">
        <v>11</v>
      </c>
      <c r="Q395" s="185">
        <v>1</v>
      </c>
      <c r="R395" s="183" t="s">
        <v>702</v>
      </c>
      <c r="S395" s="185">
        <v>11</v>
      </c>
      <c r="T395" s="189">
        <f t="shared" si="7"/>
        <v>0.18333333333333332</v>
      </c>
      <c r="U395" s="183" t="s">
        <v>703</v>
      </c>
      <c r="V395" s="183" t="s">
        <v>526</v>
      </c>
      <c r="W395" s="183"/>
      <c r="X395" s="183"/>
      <c r="Y395" s="183"/>
      <c r="Z395" s="183"/>
      <c r="AA395" s="183"/>
      <c r="AB395" s="183"/>
      <c r="AC395" s="183"/>
      <c r="AD395" s="183"/>
      <c r="AE395" s="183"/>
    </row>
    <row r="396" spans="1:31" ht="27.6" hidden="1">
      <c r="A396" s="183" t="s">
        <v>694</v>
      </c>
      <c r="B396" s="183" t="s">
        <v>373</v>
      </c>
      <c r="C396" s="183" t="s">
        <v>373</v>
      </c>
      <c r="D396" s="184" t="s">
        <v>1157</v>
      </c>
      <c r="E396" s="183" t="s">
        <v>696</v>
      </c>
      <c r="F396" s="183" t="s">
        <v>697</v>
      </c>
      <c r="G396" s="183" t="s">
        <v>698</v>
      </c>
      <c r="H396" s="183" t="s">
        <v>1</v>
      </c>
      <c r="I396" s="183" t="s">
        <v>1870</v>
      </c>
      <c r="J396" s="188">
        <v>46294</v>
      </c>
      <c r="K396" s="183" t="s">
        <v>1874</v>
      </c>
      <c r="L396" s="183" t="s">
        <v>250</v>
      </c>
      <c r="M396" s="183"/>
      <c r="N396" s="185">
        <v>2</v>
      </c>
      <c r="O396" s="186">
        <v>3</v>
      </c>
      <c r="P396" s="185">
        <v>8</v>
      </c>
      <c r="Q396" s="185">
        <v>3</v>
      </c>
      <c r="R396" s="183" t="s">
        <v>702</v>
      </c>
      <c r="S396" s="185">
        <v>188</v>
      </c>
      <c r="T396" s="189">
        <f t="shared" si="7"/>
        <v>3.1333333333333333</v>
      </c>
      <c r="U396" s="183" t="s">
        <v>703</v>
      </c>
      <c r="V396" s="183" t="s">
        <v>526</v>
      </c>
      <c r="W396" s="183"/>
      <c r="X396" s="183"/>
      <c r="Y396" s="183"/>
      <c r="Z396" s="183"/>
      <c r="AA396" s="183"/>
      <c r="AB396" s="183"/>
      <c r="AC396" s="183"/>
      <c r="AD396" s="183"/>
      <c r="AE396" s="183"/>
    </row>
    <row r="397" spans="1:31" ht="27.6" hidden="1">
      <c r="A397" s="183" t="s">
        <v>694</v>
      </c>
      <c r="B397" s="183" t="s">
        <v>373</v>
      </c>
      <c r="C397" s="183" t="s">
        <v>373</v>
      </c>
      <c r="D397" s="184" t="s">
        <v>1157</v>
      </c>
      <c r="E397" s="183" t="s">
        <v>696</v>
      </c>
      <c r="F397" s="183" t="s">
        <v>697</v>
      </c>
      <c r="G397" s="183" t="s">
        <v>698</v>
      </c>
      <c r="H397" s="183" t="s">
        <v>1</v>
      </c>
      <c r="I397" s="183" t="s">
        <v>1875</v>
      </c>
      <c r="J397" s="188">
        <v>46295</v>
      </c>
      <c r="K397" s="183" t="s">
        <v>1876</v>
      </c>
      <c r="L397" s="183" t="s">
        <v>257</v>
      </c>
      <c r="M397" s="183"/>
      <c r="N397" s="185">
        <v>1</v>
      </c>
      <c r="O397" s="186">
        <v>17</v>
      </c>
      <c r="P397" s="185">
        <v>5</v>
      </c>
      <c r="Q397" s="185">
        <v>17</v>
      </c>
      <c r="R397" s="183" t="s">
        <v>702</v>
      </c>
      <c r="S397" s="185">
        <v>1025</v>
      </c>
      <c r="T397" s="189">
        <f t="shared" si="7"/>
        <v>17.083333333333332</v>
      </c>
      <c r="U397" s="183" t="s">
        <v>703</v>
      </c>
      <c r="V397" s="183" t="s">
        <v>526</v>
      </c>
      <c r="W397" s="183"/>
      <c r="X397" s="183"/>
      <c r="Y397" s="183"/>
      <c r="Z397" s="183"/>
      <c r="AA397" s="183"/>
      <c r="AB397" s="183"/>
      <c r="AC397" s="183"/>
      <c r="AD397" s="183"/>
      <c r="AE397" s="183"/>
    </row>
    <row r="398" spans="1:31" ht="27.6" hidden="1">
      <c r="A398" s="183" t="s">
        <v>694</v>
      </c>
      <c r="B398" s="183" t="s">
        <v>373</v>
      </c>
      <c r="C398" s="183" t="s">
        <v>373</v>
      </c>
      <c r="D398" s="184" t="s">
        <v>1157</v>
      </c>
      <c r="E398" s="183" t="s">
        <v>696</v>
      </c>
      <c r="F398" s="183" t="s">
        <v>697</v>
      </c>
      <c r="G398" s="183" t="s">
        <v>698</v>
      </c>
      <c r="H398" s="183" t="s">
        <v>1</v>
      </c>
      <c r="I398" s="183" t="s">
        <v>1877</v>
      </c>
      <c r="J398" s="188">
        <v>46286</v>
      </c>
      <c r="K398" s="183" t="s">
        <v>1878</v>
      </c>
      <c r="L398" s="183" t="s">
        <v>258</v>
      </c>
      <c r="M398" s="183"/>
      <c r="N398" s="185">
        <v>10</v>
      </c>
      <c r="O398" s="186">
        <v>7</v>
      </c>
      <c r="P398" s="185">
        <v>32</v>
      </c>
      <c r="Q398" s="185">
        <v>8</v>
      </c>
      <c r="R398" s="183" t="s">
        <v>702</v>
      </c>
      <c r="S398" s="185">
        <v>452</v>
      </c>
      <c r="T398" s="189">
        <f t="shared" si="7"/>
        <v>7.5333333333333332</v>
      </c>
      <c r="U398" s="183" t="s">
        <v>703</v>
      </c>
      <c r="V398" s="183" t="s">
        <v>526</v>
      </c>
      <c r="W398" s="183"/>
      <c r="X398" s="183"/>
      <c r="Y398" s="183"/>
      <c r="Z398" s="183"/>
      <c r="AA398" s="183"/>
      <c r="AB398" s="183"/>
      <c r="AC398" s="183"/>
      <c r="AD398" s="183"/>
      <c r="AE398" s="183"/>
    </row>
    <row r="399" spans="1:31" ht="27.6" hidden="1">
      <c r="A399" s="183" t="s">
        <v>694</v>
      </c>
      <c r="B399" s="183" t="s">
        <v>373</v>
      </c>
      <c r="C399" s="183" t="s">
        <v>373</v>
      </c>
      <c r="D399" s="184" t="s">
        <v>1157</v>
      </c>
      <c r="E399" s="183" t="s">
        <v>696</v>
      </c>
      <c r="F399" s="183" t="s">
        <v>697</v>
      </c>
      <c r="G399" s="183" t="s">
        <v>698</v>
      </c>
      <c r="H399" s="183" t="s">
        <v>1</v>
      </c>
      <c r="I399" s="183" t="s">
        <v>1561</v>
      </c>
      <c r="J399" s="188">
        <v>46286</v>
      </c>
      <c r="K399" s="183" t="s">
        <v>1879</v>
      </c>
      <c r="L399" s="183" t="s">
        <v>377</v>
      </c>
      <c r="M399" s="183"/>
      <c r="N399" s="185">
        <v>10</v>
      </c>
      <c r="O399" s="186">
        <v>1</v>
      </c>
      <c r="P399" s="185">
        <v>39</v>
      </c>
      <c r="Q399" s="185">
        <v>2</v>
      </c>
      <c r="R399" s="183" t="s">
        <v>702</v>
      </c>
      <c r="S399" s="185">
        <v>99</v>
      </c>
      <c r="T399" s="189">
        <f t="shared" si="7"/>
        <v>1.65</v>
      </c>
      <c r="U399" s="183" t="s">
        <v>703</v>
      </c>
      <c r="V399" s="183" t="s">
        <v>526</v>
      </c>
      <c r="W399" s="183"/>
      <c r="X399" s="183"/>
      <c r="Y399" s="183"/>
      <c r="Z399" s="183"/>
      <c r="AA399" s="183"/>
      <c r="AB399" s="183"/>
      <c r="AC399" s="183"/>
      <c r="AD399" s="183"/>
      <c r="AE399" s="183"/>
    </row>
    <row r="400" spans="1:31" ht="27.6" hidden="1">
      <c r="A400" s="183" t="s">
        <v>694</v>
      </c>
      <c r="B400" s="183" t="s">
        <v>373</v>
      </c>
      <c r="C400" s="183" t="s">
        <v>373</v>
      </c>
      <c r="D400" s="184" t="s">
        <v>1157</v>
      </c>
      <c r="E400" s="183" t="s">
        <v>696</v>
      </c>
      <c r="F400" s="183" t="s">
        <v>697</v>
      </c>
      <c r="G400" s="183" t="s">
        <v>698</v>
      </c>
      <c r="H400" s="183" t="s">
        <v>1</v>
      </c>
      <c r="I400" s="183" t="s">
        <v>1561</v>
      </c>
      <c r="J400" s="188">
        <v>46286</v>
      </c>
      <c r="K400" s="183" t="s">
        <v>1880</v>
      </c>
      <c r="L400" s="183" t="s">
        <v>246</v>
      </c>
      <c r="M400" s="183"/>
      <c r="N400" s="185">
        <v>10</v>
      </c>
      <c r="O400" s="186">
        <v>3</v>
      </c>
      <c r="P400" s="185">
        <v>10</v>
      </c>
      <c r="Q400" s="185">
        <v>4</v>
      </c>
      <c r="R400" s="183" t="s">
        <v>702</v>
      </c>
      <c r="S400" s="185">
        <v>190</v>
      </c>
      <c r="T400" s="189">
        <f t="shared" si="7"/>
        <v>3.1666666666666665</v>
      </c>
      <c r="U400" s="183" t="s">
        <v>703</v>
      </c>
      <c r="V400" s="183" t="s">
        <v>526</v>
      </c>
      <c r="W400" s="183"/>
      <c r="X400" s="183"/>
      <c r="Y400" s="183"/>
      <c r="Z400" s="183"/>
      <c r="AA400" s="183"/>
      <c r="AB400" s="183"/>
      <c r="AC400" s="183"/>
      <c r="AD400" s="183"/>
      <c r="AE400" s="183"/>
    </row>
    <row r="401" spans="1:31" ht="27.6" hidden="1">
      <c r="A401" s="183" t="s">
        <v>694</v>
      </c>
      <c r="B401" s="183" t="s">
        <v>373</v>
      </c>
      <c r="C401" s="183" t="s">
        <v>373</v>
      </c>
      <c r="D401" s="184" t="s">
        <v>1157</v>
      </c>
      <c r="E401" s="183" t="s">
        <v>696</v>
      </c>
      <c r="F401" s="183" t="s">
        <v>697</v>
      </c>
      <c r="G401" s="183" t="s">
        <v>698</v>
      </c>
      <c r="H401" s="183" t="s">
        <v>1</v>
      </c>
      <c r="I401" s="183" t="s">
        <v>1561</v>
      </c>
      <c r="J401" s="188">
        <v>46289</v>
      </c>
      <c r="K401" s="183" t="s">
        <v>1881</v>
      </c>
      <c r="L401" s="183" t="s">
        <v>247</v>
      </c>
      <c r="M401" s="183"/>
      <c r="N401" s="185">
        <v>7</v>
      </c>
      <c r="O401" s="186">
        <v>1</v>
      </c>
      <c r="P401" s="185">
        <v>23</v>
      </c>
      <c r="Q401" s="185">
        <v>2</v>
      </c>
      <c r="R401" s="183" t="s">
        <v>702</v>
      </c>
      <c r="S401" s="185">
        <v>83</v>
      </c>
      <c r="T401" s="189">
        <f t="shared" si="7"/>
        <v>1.3833333333333333</v>
      </c>
      <c r="U401" s="183" t="s">
        <v>703</v>
      </c>
      <c r="V401" s="183" t="s">
        <v>526</v>
      </c>
      <c r="W401" s="183"/>
      <c r="X401" s="183"/>
      <c r="Y401" s="183"/>
      <c r="Z401" s="183"/>
      <c r="AA401" s="183"/>
      <c r="AB401" s="183"/>
      <c r="AC401" s="183"/>
      <c r="AD401" s="183"/>
      <c r="AE401" s="183"/>
    </row>
    <row r="402" spans="1:31" ht="27.6" hidden="1">
      <c r="A402" s="183" t="s">
        <v>694</v>
      </c>
      <c r="B402" s="183" t="s">
        <v>373</v>
      </c>
      <c r="C402" s="183" t="s">
        <v>373</v>
      </c>
      <c r="D402" s="184" t="s">
        <v>1157</v>
      </c>
      <c r="E402" s="183" t="s">
        <v>696</v>
      </c>
      <c r="F402" s="183" t="s">
        <v>697</v>
      </c>
      <c r="G402" s="183" t="s">
        <v>698</v>
      </c>
      <c r="H402" s="183" t="s">
        <v>1</v>
      </c>
      <c r="I402" s="183" t="s">
        <v>1565</v>
      </c>
      <c r="J402" s="188">
        <v>46287</v>
      </c>
      <c r="K402" s="183" t="s">
        <v>1882</v>
      </c>
      <c r="L402" s="183" t="s">
        <v>242</v>
      </c>
      <c r="M402" s="183"/>
      <c r="N402" s="185">
        <v>9</v>
      </c>
      <c r="O402" s="186">
        <v>2</v>
      </c>
      <c r="P402" s="185">
        <v>17</v>
      </c>
      <c r="Q402" s="185">
        <v>3</v>
      </c>
      <c r="R402" s="183" t="s">
        <v>702</v>
      </c>
      <c r="S402" s="185">
        <v>137</v>
      </c>
      <c r="T402" s="189">
        <f t="shared" si="7"/>
        <v>2.2833333333333332</v>
      </c>
      <c r="U402" s="183" t="s">
        <v>703</v>
      </c>
      <c r="V402" s="183" t="s">
        <v>526</v>
      </c>
      <c r="W402" s="183"/>
      <c r="X402" s="183"/>
      <c r="Y402" s="183"/>
      <c r="Z402" s="183"/>
      <c r="AA402" s="183"/>
      <c r="AB402" s="183"/>
      <c r="AC402" s="183"/>
      <c r="AD402" s="183"/>
      <c r="AE402" s="183"/>
    </row>
    <row r="403" spans="1:31" ht="27.6" hidden="1">
      <c r="A403" s="183" t="s">
        <v>694</v>
      </c>
      <c r="B403" s="183" t="s">
        <v>373</v>
      </c>
      <c r="C403" s="183" t="s">
        <v>373</v>
      </c>
      <c r="D403" s="184" t="s">
        <v>1157</v>
      </c>
      <c r="E403" s="183" t="s">
        <v>696</v>
      </c>
      <c r="F403" s="183" t="s">
        <v>697</v>
      </c>
      <c r="G403" s="183" t="s">
        <v>698</v>
      </c>
      <c r="H403" s="183" t="s">
        <v>1</v>
      </c>
      <c r="I403" s="183" t="s">
        <v>1558</v>
      </c>
      <c r="J403" s="188">
        <v>46295</v>
      </c>
      <c r="K403" s="183" t="s">
        <v>1883</v>
      </c>
      <c r="L403" s="183" t="s">
        <v>378</v>
      </c>
      <c r="M403" s="183"/>
      <c r="N403" s="185">
        <v>1</v>
      </c>
      <c r="O403" s="186">
        <v>6</v>
      </c>
      <c r="P403" s="185">
        <v>41</v>
      </c>
      <c r="Q403" s="185">
        <v>7</v>
      </c>
      <c r="R403" s="183" t="s">
        <v>702</v>
      </c>
      <c r="S403" s="185">
        <v>401</v>
      </c>
      <c r="T403" s="189">
        <f t="shared" si="7"/>
        <v>6.6833333333333336</v>
      </c>
      <c r="U403" s="183" t="s">
        <v>703</v>
      </c>
      <c r="V403" s="183" t="s">
        <v>526</v>
      </c>
      <c r="W403" s="183"/>
      <c r="X403" s="183"/>
      <c r="Y403" s="183"/>
      <c r="Z403" s="183"/>
      <c r="AA403" s="183"/>
      <c r="AB403" s="183"/>
      <c r="AC403" s="183"/>
      <c r="AD403" s="183"/>
      <c r="AE403" s="183"/>
    </row>
    <row r="404" spans="1:31" ht="27.6" hidden="1">
      <c r="A404" s="183" t="s">
        <v>694</v>
      </c>
      <c r="B404" s="183" t="s">
        <v>373</v>
      </c>
      <c r="C404" s="183" t="s">
        <v>373</v>
      </c>
      <c r="D404" s="184" t="s">
        <v>1157</v>
      </c>
      <c r="E404" s="183" t="s">
        <v>696</v>
      </c>
      <c r="F404" s="183" t="s">
        <v>697</v>
      </c>
      <c r="G404" s="183" t="s">
        <v>698</v>
      </c>
      <c r="H404" s="183" t="s">
        <v>1</v>
      </c>
      <c r="I404" s="183" t="s">
        <v>1639</v>
      </c>
      <c r="J404" s="188">
        <v>46295</v>
      </c>
      <c r="K404" s="183" t="s">
        <v>1884</v>
      </c>
      <c r="L404" s="183" t="s">
        <v>379</v>
      </c>
      <c r="M404" s="183"/>
      <c r="N404" s="185">
        <v>1</v>
      </c>
      <c r="O404" s="186">
        <v>16</v>
      </c>
      <c r="P404" s="185">
        <v>51</v>
      </c>
      <c r="Q404" s="185">
        <v>17</v>
      </c>
      <c r="R404" s="183" t="s">
        <v>702</v>
      </c>
      <c r="S404" s="185">
        <v>1011</v>
      </c>
      <c r="T404" s="189">
        <f t="shared" si="7"/>
        <v>16.850000000000001</v>
      </c>
      <c r="U404" s="183" t="s">
        <v>703</v>
      </c>
      <c r="V404" s="183" t="s">
        <v>526</v>
      </c>
      <c r="W404" s="183"/>
      <c r="X404" s="183"/>
      <c r="Y404" s="183"/>
      <c r="Z404" s="183"/>
      <c r="AA404" s="183"/>
      <c r="AB404" s="183"/>
      <c r="AC404" s="183"/>
      <c r="AD404" s="183"/>
      <c r="AE404" s="183"/>
    </row>
    <row r="405" spans="1:31" ht="27.6" hidden="1">
      <c r="A405" s="183" t="s">
        <v>694</v>
      </c>
      <c r="B405" s="183" t="s">
        <v>373</v>
      </c>
      <c r="C405" s="183" t="s">
        <v>373</v>
      </c>
      <c r="D405" s="184" t="s">
        <v>1157</v>
      </c>
      <c r="E405" s="183" t="s">
        <v>696</v>
      </c>
      <c r="F405" s="183" t="s">
        <v>697</v>
      </c>
      <c r="G405" s="183" t="s">
        <v>698</v>
      </c>
      <c r="H405" s="183" t="s">
        <v>1</v>
      </c>
      <c r="I405" s="183" t="s">
        <v>1641</v>
      </c>
      <c r="J405" s="188">
        <v>46295</v>
      </c>
      <c r="K405" s="183" t="s">
        <v>1885</v>
      </c>
      <c r="L405" s="183" t="s">
        <v>281</v>
      </c>
      <c r="M405" s="183"/>
      <c r="N405" s="185">
        <v>1</v>
      </c>
      <c r="O405" s="186">
        <v>14</v>
      </c>
      <c r="P405" s="185">
        <v>59</v>
      </c>
      <c r="Q405" s="185">
        <v>15</v>
      </c>
      <c r="R405" s="183" t="s">
        <v>702</v>
      </c>
      <c r="S405" s="185">
        <v>899</v>
      </c>
      <c r="T405" s="189">
        <f t="shared" si="7"/>
        <v>14.983333333333333</v>
      </c>
      <c r="U405" s="183" t="s">
        <v>703</v>
      </c>
      <c r="V405" s="183" t="s">
        <v>526</v>
      </c>
      <c r="W405" s="183"/>
      <c r="X405" s="183"/>
      <c r="Y405" s="183"/>
      <c r="Z405" s="183"/>
      <c r="AA405" s="183"/>
      <c r="AB405" s="183"/>
      <c r="AC405" s="183"/>
      <c r="AD405" s="183"/>
      <c r="AE405" s="183"/>
    </row>
    <row r="406" spans="1:31" ht="27.6" hidden="1">
      <c r="A406" s="183" t="s">
        <v>694</v>
      </c>
      <c r="B406" s="183" t="s">
        <v>373</v>
      </c>
      <c r="C406" s="183" t="s">
        <v>373</v>
      </c>
      <c r="D406" s="184" t="s">
        <v>1157</v>
      </c>
      <c r="E406" s="183" t="s">
        <v>696</v>
      </c>
      <c r="F406" s="183" t="s">
        <v>697</v>
      </c>
      <c r="G406" s="183" t="s">
        <v>698</v>
      </c>
      <c r="H406" s="183" t="s">
        <v>1</v>
      </c>
      <c r="I406" s="183" t="s">
        <v>1632</v>
      </c>
      <c r="J406" s="188">
        <v>46295</v>
      </c>
      <c r="K406" s="183" t="s">
        <v>1886</v>
      </c>
      <c r="L406" s="183" t="s">
        <v>266</v>
      </c>
      <c r="M406" s="183"/>
      <c r="N406" s="185">
        <v>1</v>
      </c>
      <c r="O406" s="186">
        <v>6</v>
      </c>
      <c r="P406" s="185">
        <v>59</v>
      </c>
      <c r="Q406" s="185">
        <v>7</v>
      </c>
      <c r="R406" s="183" t="s">
        <v>702</v>
      </c>
      <c r="S406" s="185">
        <v>419</v>
      </c>
      <c r="T406" s="189">
        <f t="shared" si="7"/>
        <v>6.9833333333333334</v>
      </c>
      <c r="U406" s="183" t="s">
        <v>703</v>
      </c>
      <c r="V406" s="183" t="s">
        <v>526</v>
      </c>
      <c r="W406" s="183"/>
      <c r="X406" s="183"/>
      <c r="Y406" s="183"/>
      <c r="Z406" s="183"/>
      <c r="AA406" s="183"/>
      <c r="AB406" s="183" t="s">
        <v>1543</v>
      </c>
      <c r="AC406" s="183"/>
      <c r="AD406" s="183"/>
      <c r="AE406" s="183"/>
    </row>
    <row r="407" spans="1:31" ht="27.6" hidden="1">
      <c r="A407" s="183" t="s">
        <v>694</v>
      </c>
      <c r="B407" s="183" t="s">
        <v>373</v>
      </c>
      <c r="C407" s="183" t="s">
        <v>373</v>
      </c>
      <c r="D407" s="184" t="s">
        <v>1157</v>
      </c>
      <c r="E407" s="183" t="s">
        <v>696</v>
      </c>
      <c r="F407" s="183" t="s">
        <v>697</v>
      </c>
      <c r="G407" s="183" t="s">
        <v>698</v>
      </c>
      <c r="H407" s="183" t="s">
        <v>1</v>
      </c>
      <c r="I407" s="183" t="s">
        <v>1173</v>
      </c>
      <c r="J407" s="188">
        <v>46286</v>
      </c>
      <c r="K407" s="183" t="s">
        <v>1887</v>
      </c>
      <c r="L407" s="183" t="s">
        <v>276</v>
      </c>
      <c r="M407" s="183"/>
      <c r="N407" s="185">
        <v>10</v>
      </c>
      <c r="O407" s="186">
        <v>7</v>
      </c>
      <c r="P407" s="185">
        <v>37</v>
      </c>
      <c r="Q407" s="185">
        <v>8</v>
      </c>
      <c r="R407" s="183" t="s">
        <v>702</v>
      </c>
      <c r="S407" s="185">
        <v>457</v>
      </c>
      <c r="T407" s="189">
        <f t="shared" si="7"/>
        <v>7.6166666666666663</v>
      </c>
      <c r="U407" s="183" t="s">
        <v>703</v>
      </c>
      <c r="V407" s="183" t="s">
        <v>526</v>
      </c>
      <c r="W407" s="183"/>
      <c r="X407" s="183"/>
      <c r="Y407" s="183"/>
      <c r="Z407" s="183"/>
      <c r="AA407" s="183"/>
      <c r="AB407" s="183"/>
      <c r="AC407" s="183"/>
      <c r="AD407" s="183"/>
      <c r="AE407" s="183"/>
    </row>
    <row r="408" spans="1:31" ht="27.6" hidden="1">
      <c r="A408" s="183" t="s">
        <v>694</v>
      </c>
      <c r="B408" s="183" t="s">
        <v>373</v>
      </c>
      <c r="C408" s="183" t="s">
        <v>373</v>
      </c>
      <c r="D408" s="184" t="s">
        <v>1157</v>
      </c>
      <c r="E408" s="183" t="s">
        <v>696</v>
      </c>
      <c r="F408" s="183" t="s">
        <v>697</v>
      </c>
      <c r="G408" s="183" t="s">
        <v>698</v>
      </c>
      <c r="H408" s="183" t="s">
        <v>1</v>
      </c>
      <c r="I408" s="183" t="s">
        <v>1184</v>
      </c>
      <c r="J408" s="188">
        <v>46286</v>
      </c>
      <c r="K408" s="183" t="s">
        <v>1888</v>
      </c>
      <c r="L408" s="183" t="s">
        <v>271</v>
      </c>
      <c r="M408" s="183"/>
      <c r="N408" s="185">
        <v>10</v>
      </c>
      <c r="O408" s="186">
        <v>16</v>
      </c>
      <c r="P408" s="185">
        <v>25</v>
      </c>
      <c r="Q408" s="185">
        <v>17</v>
      </c>
      <c r="R408" s="183" t="s">
        <v>702</v>
      </c>
      <c r="S408" s="185">
        <v>985</v>
      </c>
      <c r="T408" s="189">
        <f t="shared" si="7"/>
        <v>16.416666666666668</v>
      </c>
      <c r="U408" s="183" t="s">
        <v>703</v>
      </c>
      <c r="V408" s="183" t="s">
        <v>526</v>
      </c>
      <c r="W408" s="183"/>
      <c r="X408" s="183"/>
      <c r="Y408" s="183"/>
      <c r="Z408" s="183"/>
      <c r="AA408" s="183"/>
      <c r="AB408" s="183"/>
      <c r="AC408" s="183"/>
      <c r="AD408" s="183"/>
      <c r="AE408" s="183"/>
    </row>
    <row r="409" spans="1:31" ht="27.6" hidden="1">
      <c r="A409" s="183" t="s">
        <v>694</v>
      </c>
      <c r="B409" s="183" t="s">
        <v>373</v>
      </c>
      <c r="C409" s="183" t="s">
        <v>373</v>
      </c>
      <c r="D409" s="184" t="s">
        <v>1157</v>
      </c>
      <c r="E409" s="183" t="s">
        <v>696</v>
      </c>
      <c r="F409" s="183" t="s">
        <v>697</v>
      </c>
      <c r="G409" s="183" t="s">
        <v>698</v>
      </c>
      <c r="H409" s="183" t="s">
        <v>1</v>
      </c>
      <c r="I409" s="183" t="s">
        <v>1889</v>
      </c>
      <c r="J409" s="188">
        <v>46287</v>
      </c>
      <c r="K409" s="183" t="s">
        <v>1890</v>
      </c>
      <c r="L409" s="183" t="s">
        <v>248</v>
      </c>
      <c r="M409" s="183"/>
      <c r="N409" s="185">
        <v>9</v>
      </c>
      <c r="O409" s="186">
        <v>6</v>
      </c>
      <c r="P409" s="185">
        <v>30</v>
      </c>
      <c r="Q409" s="185">
        <v>7</v>
      </c>
      <c r="R409" s="183" t="s">
        <v>702</v>
      </c>
      <c r="S409" s="185">
        <v>390</v>
      </c>
      <c r="T409" s="189">
        <f t="shared" si="7"/>
        <v>6.5</v>
      </c>
      <c r="U409" s="183" t="s">
        <v>703</v>
      </c>
      <c r="V409" s="183" t="s">
        <v>526</v>
      </c>
      <c r="W409" s="183"/>
      <c r="X409" s="183"/>
      <c r="Y409" s="183"/>
      <c r="Z409" s="183"/>
      <c r="AA409" s="183"/>
      <c r="AB409" s="183"/>
      <c r="AC409" s="183"/>
      <c r="AD409" s="183"/>
      <c r="AE409" s="183"/>
    </row>
    <row r="410" spans="1:31" ht="27.6" hidden="1">
      <c r="A410" s="183" t="s">
        <v>694</v>
      </c>
      <c r="B410" s="183" t="s">
        <v>373</v>
      </c>
      <c r="C410" s="183" t="s">
        <v>373</v>
      </c>
      <c r="D410" s="184" t="s">
        <v>1157</v>
      </c>
      <c r="E410" s="183" t="s">
        <v>696</v>
      </c>
      <c r="F410" s="183" t="s">
        <v>697</v>
      </c>
      <c r="G410" s="183" t="s">
        <v>698</v>
      </c>
      <c r="H410" s="183" t="s">
        <v>1</v>
      </c>
      <c r="I410" s="183" t="s">
        <v>1891</v>
      </c>
      <c r="J410" s="188">
        <v>46287</v>
      </c>
      <c r="K410" s="183" t="s">
        <v>1892</v>
      </c>
      <c r="L410" s="183" t="s">
        <v>261</v>
      </c>
      <c r="M410" s="183"/>
      <c r="N410" s="185">
        <v>9</v>
      </c>
      <c r="O410" s="186">
        <v>5</v>
      </c>
      <c r="P410" s="185">
        <v>25</v>
      </c>
      <c r="Q410" s="185">
        <v>6</v>
      </c>
      <c r="R410" s="183" t="s">
        <v>702</v>
      </c>
      <c r="S410" s="185">
        <v>325</v>
      </c>
      <c r="T410" s="189">
        <f t="shared" si="7"/>
        <v>5.416666666666667</v>
      </c>
      <c r="U410" s="183" t="s">
        <v>703</v>
      </c>
      <c r="V410" s="183" t="s">
        <v>526</v>
      </c>
      <c r="W410" s="183"/>
      <c r="X410" s="183"/>
      <c r="Y410" s="183"/>
      <c r="Z410" s="183"/>
      <c r="AA410" s="183"/>
      <c r="AB410" s="183"/>
      <c r="AC410" s="183"/>
      <c r="AD410" s="183"/>
      <c r="AE410" s="183"/>
    </row>
    <row r="411" spans="1:31" ht="27.6" hidden="1">
      <c r="A411" s="183" t="s">
        <v>694</v>
      </c>
      <c r="B411" s="183" t="s">
        <v>373</v>
      </c>
      <c r="C411" s="183" t="s">
        <v>373</v>
      </c>
      <c r="D411" s="184" t="s">
        <v>1157</v>
      </c>
      <c r="E411" s="183" t="s">
        <v>696</v>
      </c>
      <c r="F411" s="183" t="s">
        <v>697</v>
      </c>
      <c r="G411" s="183" t="s">
        <v>698</v>
      </c>
      <c r="H411" s="183" t="s">
        <v>1</v>
      </c>
      <c r="I411" s="183" t="s">
        <v>1891</v>
      </c>
      <c r="J411" s="188">
        <v>46287</v>
      </c>
      <c r="K411" s="183" t="s">
        <v>1893</v>
      </c>
      <c r="L411" s="183" t="s">
        <v>253</v>
      </c>
      <c r="M411" s="183"/>
      <c r="N411" s="185">
        <v>9</v>
      </c>
      <c r="O411" s="186">
        <v>12</v>
      </c>
      <c r="P411" s="185">
        <v>40</v>
      </c>
      <c r="Q411" s="185">
        <v>13</v>
      </c>
      <c r="R411" s="183" t="s">
        <v>702</v>
      </c>
      <c r="S411" s="185">
        <v>760</v>
      </c>
      <c r="T411" s="189">
        <f t="shared" si="7"/>
        <v>12.666666666666666</v>
      </c>
      <c r="U411" s="183" t="s">
        <v>703</v>
      </c>
      <c r="V411" s="183" t="s">
        <v>526</v>
      </c>
      <c r="W411" s="183"/>
      <c r="X411" s="183"/>
      <c r="Y411" s="183"/>
      <c r="Z411" s="183"/>
      <c r="AA411" s="183"/>
      <c r="AB411" s="183"/>
      <c r="AC411" s="183"/>
      <c r="AD411" s="183"/>
      <c r="AE411" s="183"/>
    </row>
    <row r="412" spans="1:31" ht="27.6" hidden="1">
      <c r="A412" s="183" t="s">
        <v>694</v>
      </c>
      <c r="B412" s="183" t="s">
        <v>373</v>
      </c>
      <c r="C412" s="183" t="s">
        <v>373</v>
      </c>
      <c r="D412" s="184" t="s">
        <v>1245</v>
      </c>
      <c r="E412" s="183" t="s">
        <v>696</v>
      </c>
      <c r="F412" s="183" t="s">
        <v>697</v>
      </c>
      <c r="G412" s="183" t="s">
        <v>698</v>
      </c>
      <c r="H412" s="183" t="s">
        <v>1</v>
      </c>
      <c r="I412" s="183" t="s">
        <v>1894</v>
      </c>
      <c r="J412" s="188">
        <v>46283</v>
      </c>
      <c r="K412" s="183" t="s">
        <v>1895</v>
      </c>
      <c r="L412" s="183" t="s">
        <v>380</v>
      </c>
      <c r="M412" s="183"/>
      <c r="N412" s="185">
        <v>13</v>
      </c>
      <c r="O412" s="186">
        <v>16</v>
      </c>
      <c r="P412" s="185">
        <v>51</v>
      </c>
      <c r="Q412" s="185">
        <v>17</v>
      </c>
      <c r="R412" s="183" t="s">
        <v>702</v>
      </c>
      <c r="S412" s="185">
        <v>1011</v>
      </c>
      <c r="T412" s="189">
        <f t="shared" si="7"/>
        <v>16.850000000000001</v>
      </c>
      <c r="U412" s="183" t="s">
        <v>703</v>
      </c>
      <c r="V412" s="183" t="s">
        <v>526</v>
      </c>
      <c r="W412" s="183"/>
      <c r="X412" s="183"/>
      <c r="Y412" s="183"/>
      <c r="Z412" s="183"/>
      <c r="AA412" s="183"/>
      <c r="AB412" s="183"/>
      <c r="AC412" s="183"/>
      <c r="AD412" s="183"/>
      <c r="AE412" s="183"/>
    </row>
    <row r="413" spans="1:31" ht="27.6" hidden="1">
      <c r="A413" s="183" t="s">
        <v>694</v>
      </c>
      <c r="B413" s="183" t="s">
        <v>373</v>
      </c>
      <c r="C413" s="183" t="s">
        <v>373</v>
      </c>
      <c r="D413" s="184" t="s">
        <v>1245</v>
      </c>
      <c r="E413" s="183" t="s">
        <v>696</v>
      </c>
      <c r="F413" s="183" t="s">
        <v>697</v>
      </c>
      <c r="G413" s="183" t="s">
        <v>698</v>
      </c>
      <c r="H413" s="183" t="s">
        <v>1</v>
      </c>
      <c r="I413" s="183" t="s">
        <v>1896</v>
      </c>
      <c r="J413" s="188">
        <v>46282</v>
      </c>
      <c r="K413" s="183" t="s">
        <v>1897</v>
      </c>
      <c r="L413" s="183" t="s">
        <v>381</v>
      </c>
      <c r="M413" s="183"/>
      <c r="N413" s="185">
        <v>14</v>
      </c>
      <c r="O413" s="186">
        <v>19</v>
      </c>
      <c r="P413" s="185">
        <v>31</v>
      </c>
      <c r="Q413" s="185">
        <v>20</v>
      </c>
      <c r="R413" s="183" t="s">
        <v>702</v>
      </c>
      <c r="S413" s="185">
        <v>1171</v>
      </c>
      <c r="T413" s="189">
        <f t="shared" si="7"/>
        <v>19.516666666666666</v>
      </c>
      <c r="U413" s="183" t="s">
        <v>703</v>
      </c>
      <c r="V413" s="183" t="s">
        <v>526</v>
      </c>
      <c r="W413" s="183"/>
      <c r="X413" s="183"/>
      <c r="Y413" s="183"/>
      <c r="Z413" s="183"/>
      <c r="AA413" s="183"/>
      <c r="AB413" s="183"/>
      <c r="AC413" s="183"/>
      <c r="AD413" s="183"/>
      <c r="AE413" s="183"/>
    </row>
    <row r="414" spans="1:31" ht="27.6" hidden="1">
      <c r="A414" s="183" t="s">
        <v>694</v>
      </c>
      <c r="B414" s="183" t="s">
        <v>373</v>
      </c>
      <c r="C414" s="183" t="s">
        <v>373</v>
      </c>
      <c r="D414" s="184" t="s">
        <v>1245</v>
      </c>
      <c r="E414" s="183" t="s">
        <v>696</v>
      </c>
      <c r="F414" s="183" t="s">
        <v>697</v>
      </c>
      <c r="G414" s="183" t="s">
        <v>698</v>
      </c>
      <c r="H414" s="183" t="s">
        <v>1</v>
      </c>
      <c r="I414" s="183" t="s">
        <v>1546</v>
      </c>
      <c r="J414" s="188">
        <v>46288</v>
      </c>
      <c r="K414" s="183" t="s">
        <v>1898</v>
      </c>
      <c r="L414" s="183" t="s">
        <v>382</v>
      </c>
      <c r="M414" s="183"/>
      <c r="N414" s="185">
        <v>8</v>
      </c>
      <c r="O414" s="186">
        <v>3</v>
      </c>
      <c r="P414" s="185">
        <v>59</v>
      </c>
      <c r="Q414" s="185">
        <v>4</v>
      </c>
      <c r="R414" s="183" t="s">
        <v>702</v>
      </c>
      <c r="S414" s="185">
        <v>239</v>
      </c>
      <c r="T414" s="189">
        <f t="shared" si="7"/>
        <v>3.9833333333333334</v>
      </c>
      <c r="U414" s="183" t="s">
        <v>703</v>
      </c>
      <c r="V414" s="183" t="s">
        <v>526</v>
      </c>
      <c r="W414" s="183"/>
      <c r="X414" s="183"/>
      <c r="Y414" s="183"/>
      <c r="Z414" s="183"/>
      <c r="AA414" s="183"/>
      <c r="AB414" s="183"/>
      <c r="AC414" s="183"/>
      <c r="AD414" s="183"/>
      <c r="AE414" s="183"/>
    </row>
    <row r="415" spans="1:31" ht="27.6" hidden="1">
      <c r="A415" s="183" t="s">
        <v>694</v>
      </c>
      <c r="B415" s="183" t="s">
        <v>373</v>
      </c>
      <c r="C415" s="183" t="s">
        <v>373</v>
      </c>
      <c r="D415" s="184" t="s">
        <v>1245</v>
      </c>
      <c r="E415" s="183" t="s">
        <v>696</v>
      </c>
      <c r="F415" s="183" t="s">
        <v>697</v>
      </c>
      <c r="G415" s="183" t="s">
        <v>698</v>
      </c>
      <c r="H415" s="183" t="s">
        <v>1</v>
      </c>
      <c r="I415" s="183" t="s">
        <v>1546</v>
      </c>
      <c r="J415" s="188">
        <v>46293</v>
      </c>
      <c r="K415" s="183" t="s">
        <v>1899</v>
      </c>
      <c r="L415" s="183" t="s">
        <v>383</v>
      </c>
      <c r="M415" s="183"/>
      <c r="N415" s="185">
        <v>3</v>
      </c>
      <c r="O415" s="186">
        <v>2</v>
      </c>
      <c r="P415" s="185">
        <v>13</v>
      </c>
      <c r="Q415" s="185">
        <v>3</v>
      </c>
      <c r="R415" s="183" t="s">
        <v>702</v>
      </c>
      <c r="S415" s="185">
        <v>133</v>
      </c>
      <c r="T415" s="189">
        <f t="shared" si="7"/>
        <v>2.2166666666666668</v>
      </c>
      <c r="U415" s="183" t="s">
        <v>703</v>
      </c>
      <c r="V415" s="183" t="s">
        <v>526</v>
      </c>
      <c r="W415" s="183"/>
      <c r="X415" s="183"/>
      <c r="Y415" s="183"/>
      <c r="Z415" s="183"/>
      <c r="AA415" s="183"/>
      <c r="AB415" s="183" t="s">
        <v>708</v>
      </c>
      <c r="AC415" s="183"/>
      <c r="AD415" s="183"/>
      <c r="AE415" s="183"/>
    </row>
    <row r="416" spans="1:31" ht="27.6" hidden="1">
      <c r="A416" s="183" t="s">
        <v>694</v>
      </c>
      <c r="B416" s="183" t="s">
        <v>373</v>
      </c>
      <c r="C416" s="183" t="s">
        <v>373</v>
      </c>
      <c r="D416" s="184" t="s">
        <v>1245</v>
      </c>
      <c r="E416" s="183" t="s">
        <v>696</v>
      </c>
      <c r="F416" s="183" t="s">
        <v>697</v>
      </c>
      <c r="G416" s="183" t="s">
        <v>698</v>
      </c>
      <c r="H416" s="183" t="s">
        <v>1</v>
      </c>
      <c r="I416" s="183" t="s">
        <v>1546</v>
      </c>
      <c r="J416" s="188">
        <v>46293</v>
      </c>
      <c r="K416" s="183" t="s">
        <v>1900</v>
      </c>
      <c r="L416" s="183" t="s">
        <v>282</v>
      </c>
      <c r="M416" s="183"/>
      <c r="N416" s="185">
        <v>3</v>
      </c>
      <c r="O416" s="186">
        <v>5</v>
      </c>
      <c r="P416" s="185">
        <v>46</v>
      </c>
      <c r="Q416" s="185">
        <v>6</v>
      </c>
      <c r="R416" s="183" t="s">
        <v>702</v>
      </c>
      <c r="S416" s="185">
        <v>346</v>
      </c>
      <c r="T416" s="189">
        <f t="shared" si="7"/>
        <v>5.7666666666666666</v>
      </c>
      <c r="U416" s="183" t="s">
        <v>703</v>
      </c>
      <c r="V416" s="183" t="s">
        <v>526</v>
      </c>
      <c r="W416" s="183"/>
      <c r="X416" s="183"/>
      <c r="Y416" s="183"/>
      <c r="Z416" s="183"/>
      <c r="AA416" s="183"/>
      <c r="AB416" s="183"/>
      <c r="AC416" s="183"/>
      <c r="AD416" s="183"/>
      <c r="AE416" s="183"/>
    </row>
    <row r="417" spans="1:31" ht="27.6" hidden="1">
      <c r="A417" s="183" t="s">
        <v>694</v>
      </c>
      <c r="B417" s="183" t="s">
        <v>373</v>
      </c>
      <c r="C417" s="183" t="s">
        <v>373</v>
      </c>
      <c r="D417" s="184" t="s">
        <v>1245</v>
      </c>
      <c r="E417" s="183" t="s">
        <v>696</v>
      </c>
      <c r="F417" s="183" t="s">
        <v>697</v>
      </c>
      <c r="G417" s="183" t="s">
        <v>698</v>
      </c>
      <c r="H417" s="183" t="s">
        <v>1</v>
      </c>
      <c r="I417" s="183" t="s">
        <v>1623</v>
      </c>
      <c r="J417" s="188">
        <v>46290</v>
      </c>
      <c r="K417" s="183" t="s">
        <v>1901</v>
      </c>
      <c r="L417" s="183" t="s">
        <v>384</v>
      </c>
      <c r="M417" s="183"/>
      <c r="N417" s="185">
        <v>6</v>
      </c>
      <c r="O417" s="186">
        <v>3</v>
      </c>
      <c r="P417" s="185">
        <v>17</v>
      </c>
      <c r="Q417" s="185">
        <v>4</v>
      </c>
      <c r="R417" s="183" t="s">
        <v>702</v>
      </c>
      <c r="S417" s="185">
        <v>197</v>
      </c>
      <c r="T417" s="189">
        <f t="shared" si="7"/>
        <v>3.2833333333333332</v>
      </c>
      <c r="U417" s="183" t="s">
        <v>703</v>
      </c>
      <c r="V417" s="183" t="s">
        <v>526</v>
      </c>
      <c r="W417" s="183"/>
      <c r="X417" s="183"/>
      <c r="Y417" s="183"/>
      <c r="Z417" s="183"/>
      <c r="AA417" s="183"/>
      <c r="AB417" s="183"/>
      <c r="AC417" s="183"/>
      <c r="AD417" s="183"/>
      <c r="AE417" s="183"/>
    </row>
    <row r="418" spans="1:31" ht="27.6" hidden="1">
      <c r="A418" s="183" t="s">
        <v>694</v>
      </c>
      <c r="B418" s="183" t="s">
        <v>373</v>
      </c>
      <c r="C418" s="183" t="s">
        <v>373</v>
      </c>
      <c r="D418" s="184" t="s">
        <v>1245</v>
      </c>
      <c r="E418" s="183" t="s">
        <v>696</v>
      </c>
      <c r="F418" s="183" t="s">
        <v>697</v>
      </c>
      <c r="G418" s="183" t="s">
        <v>698</v>
      </c>
      <c r="H418" s="183" t="s">
        <v>1</v>
      </c>
      <c r="I418" s="183" t="s">
        <v>1870</v>
      </c>
      <c r="J418" s="188">
        <v>46295</v>
      </c>
      <c r="K418" s="183" t="s">
        <v>1902</v>
      </c>
      <c r="L418" s="183" t="s">
        <v>385</v>
      </c>
      <c r="M418" s="183"/>
      <c r="N418" s="185">
        <v>1</v>
      </c>
      <c r="O418" s="186">
        <v>1</v>
      </c>
      <c r="P418" s="185">
        <v>8</v>
      </c>
      <c r="Q418" s="185">
        <v>1</v>
      </c>
      <c r="R418" s="183" t="s">
        <v>702</v>
      </c>
      <c r="S418" s="185">
        <v>68</v>
      </c>
      <c r="T418" s="189">
        <f t="shared" si="7"/>
        <v>1.1333333333333333</v>
      </c>
      <c r="U418" s="183" t="s">
        <v>703</v>
      </c>
      <c r="V418" s="183" t="s">
        <v>526</v>
      </c>
      <c r="W418" s="183"/>
      <c r="X418" s="183"/>
      <c r="Y418" s="183"/>
      <c r="Z418" s="183"/>
      <c r="AA418" s="183"/>
      <c r="AB418" s="183"/>
      <c r="AC418" s="183"/>
      <c r="AD418" s="183"/>
      <c r="AE418" s="183"/>
    </row>
    <row r="419" spans="1:31" ht="27.6" hidden="1">
      <c r="A419" s="183" t="s">
        <v>694</v>
      </c>
      <c r="B419" s="183" t="s">
        <v>373</v>
      </c>
      <c r="C419" s="183" t="s">
        <v>373</v>
      </c>
      <c r="D419" s="184" t="s">
        <v>1245</v>
      </c>
      <c r="E419" s="183" t="s">
        <v>696</v>
      </c>
      <c r="F419" s="183" t="s">
        <v>697</v>
      </c>
      <c r="G419" s="183" t="s">
        <v>698</v>
      </c>
      <c r="H419" s="183" t="s">
        <v>1</v>
      </c>
      <c r="I419" s="183" t="s">
        <v>1903</v>
      </c>
      <c r="J419" s="188">
        <v>46289</v>
      </c>
      <c r="K419" s="183" t="s">
        <v>1904</v>
      </c>
      <c r="L419" s="183" t="s">
        <v>386</v>
      </c>
      <c r="M419" s="183"/>
      <c r="N419" s="185">
        <v>7</v>
      </c>
      <c r="O419" s="186">
        <v>9</v>
      </c>
      <c r="P419" s="185">
        <v>23</v>
      </c>
      <c r="Q419" s="185">
        <v>10</v>
      </c>
      <c r="R419" s="183" t="s">
        <v>702</v>
      </c>
      <c r="S419" s="185">
        <v>563</v>
      </c>
      <c r="T419" s="189">
        <f t="shared" si="7"/>
        <v>9.3833333333333329</v>
      </c>
      <c r="U419" s="183" t="s">
        <v>703</v>
      </c>
      <c r="V419" s="183" t="s">
        <v>526</v>
      </c>
      <c r="W419" s="183"/>
      <c r="X419" s="183"/>
      <c r="Y419" s="183"/>
      <c r="Z419" s="183"/>
      <c r="AA419" s="183"/>
      <c r="AB419" s="183"/>
      <c r="AC419" s="183"/>
      <c r="AD419" s="183"/>
      <c r="AE419" s="183"/>
    </row>
    <row r="420" spans="1:31" ht="27.6" hidden="1">
      <c r="A420" s="183" t="s">
        <v>694</v>
      </c>
      <c r="B420" s="183" t="s">
        <v>373</v>
      </c>
      <c r="C420" s="183" t="s">
        <v>373</v>
      </c>
      <c r="D420" s="184" t="s">
        <v>1245</v>
      </c>
      <c r="E420" s="183" t="s">
        <v>696</v>
      </c>
      <c r="F420" s="183" t="s">
        <v>697</v>
      </c>
      <c r="G420" s="183" t="s">
        <v>698</v>
      </c>
      <c r="H420" s="183" t="s">
        <v>1</v>
      </c>
      <c r="I420" s="183" t="s">
        <v>1905</v>
      </c>
      <c r="J420" s="188">
        <v>46283</v>
      </c>
      <c r="K420" s="183" t="s">
        <v>1906</v>
      </c>
      <c r="L420" s="183" t="s">
        <v>387</v>
      </c>
      <c r="M420" s="183"/>
      <c r="N420" s="185">
        <v>13</v>
      </c>
      <c r="O420" s="186">
        <v>18</v>
      </c>
      <c r="P420" s="185">
        <v>54</v>
      </c>
      <c r="Q420" s="185">
        <v>19</v>
      </c>
      <c r="R420" s="183" t="s">
        <v>702</v>
      </c>
      <c r="S420" s="185">
        <v>1134</v>
      </c>
      <c r="T420" s="189">
        <f t="shared" si="7"/>
        <v>18.899999999999999</v>
      </c>
      <c r="U420" s="183" t="s">
        <v>703</v>
      </c>
      <c r="V420" s="183" t="s">
        <v>526</v>
      </c>
      <c r="W420" s="183"/>
      <c r="X420" s="183"/>
      <c r="Y420" s="183"/>
      <c r="Z420" s="183"/>
      <c r="AA420" s="183"/>
      <c r="AB420" s="183"/>
      <c r="AC420" s="183"/>
      <c r="AD420" s="183"/>
      <c r="AE420" s="183"/>
    </row>
    <row r="421" spans="1:31" ht="27.6" hidden="1">
      <c r="A421" s="183" t="s">
        <v>694</v>
      </c>
      <c r="B421" s="183" t="s">
        <v>373</v>
      </c>
      <c r="C421" s="183" t="s">
        <v>373</v>
      </c>
      <c r="D421" s="184" t="s">
        <v>1245</v>
      </c>
      <c r="E421" s="183" t="s">
        <v>696</v>
      </c>
      <c r="F421" s="183" t="s">
        <v>697</v>
      </c>
      <c r="G421" s="183" t="s">
        <v>698</v>
      </c>
      <c r="H421" s="183" t="s">
        <v>1</v>
      </c>
      <c r="I421" s="183" t="s">
        <v>1152</v>
      </c>
      <c r="J421" s="188">
        <v>46282</v>
      </c>
      <c r="K421" s="183" t="s">
        <v>1907</v>
      </c>
      <c r="L421" s="183" t="s">
        <v>388</v>
      </c>
      <c r="M421" s="183"/>
      <c r="N421" s="185">
        <v>14</v>
      </c>
      <c r="O421" s="186">
        <v>1</v>
      </c>
      <c r="P421" s="185">
        <v>31</v>
      </c>
      <c r="Q421" s="185">
        <v>2</v>
      </c>
      <c r="R421" s="183" t="s">
        <v>702</v>
      </c>
      <c r="S421" s="185">
        <v>91</v>
      </c>
      <c r="T421" s="189">
        <f t="shared" si="7"/>
        <v>1.5166666666666666</v>
      </c>
      <c r="U421" s="183" t="s">
        <v>703</v>
      </c>
      <c r="V421" s="183" t="s">
        <v>526</v>
      </c>
      <c r="W421" s="183"/>
      <c r="X421" s="183"/>
      <c r="Y421" s="183"/>
      <c r="Z421" s="183"/>
      <c r="AA421" s="183"/>
      <c r="AB421" s="183"/>
      <c r="AC421" s="183"/>
      <c r="AD421" s="183"/>
      <c r="AE421" s="183"/>
    </row>
    <row r="422" spans="1:31" ht="27.6" hidden="1">
      <c r="A422" s="183" t="s">
        <v>694</v>
      </c>
      <c r="B422" s="183" t="s">
        <v>373</v>
      </c>
      <c r="C422" s="183" t="s">
        <v>373</v>
      </c>
      <c r="D422" s="184" t="s">
        <v>1245</v>
      </c>
      <c r="E422" s="183" t="s">
        <v>696</v>
      </c>
      <c r="F422" s="183" t="s">
        <v>697</v>
      </c>
      <c r="G422" s="183" t="s">
        <v>698</v>
      </c>
      <c r="H422" s="183" t="s">
        <v>1</v>
      </c>
      <c r="I422" s="183" t="s">
        <v>1908</v>
      </c>
      <c r="J422" s="188">
        <v>46282</v>
      </c>
      <c r="K422" s="183" t="s">
        <v>1909</v>
      </c>
      <c r="L422" s="183" t="s">
        <v>389</v>
      </c>
      <c r="M422" s="183"/>
      <c r="N422" s="185">
        <v>14</v>
      </c>
      <c r="O422" s="186">
        <v>2</v>
      </c>
      <c r="P422" s="185">
        <v>34</v>
      </c>
      <c r="Q422" s="185">
        <v>3</v>
      </c>
      <c r="R422" s="183" t="s">
        <v>702</v>
      </c>
      <c r="S422" s="185">
        <v>154</v>
      </c>
      <c r="T422" s="189">
        <f t="shared" si="7"/>
        <v>2.5666666666666669</v>
      </c>
      <c r="U422" s="183" t="s">
        <v>703</v>
      </c>
      <c r="V422" s="183" t="s">
        <v>526</v>
      </c>
      <c r="W422" s="183"/>
      <c r="X422" s="183"/>
      <c r="Y422" s="183"/>
      <c r="Z422" s="183"/>
      <c r="AA422" s="183"/>
      <c r="AB422" s="183"/>
      <c r="AC422" s="183"/>
      <c r="AD422" s="183"/>
      <c r="AE422" s="183"/>
    </row>
    <row r="423" spans="1:31" ht="27.6" hidden="1">
      <c r="A423" s="183" t="s">
        <v>694</v>
      </c>
      <c r="B423" s="183" t="s">
        <v>373</v>
      </c>
      <c r="C423" s="183" t="s">
        <v>373</v>
      </c>
      <c r="D423" s="184" t="s">
        <v>1245</v>
      </c>
      <c r="E423" s="183" t="s">
        <v>696</v>
      </c>
      <c r="F423" s="183" t="s">
        <v>697</v>
      </c>
      <c r="G423" s="183" t="s">
        <v>698</v>
      </c>
      <c r="H423" s="183" t="s">
        <v>1</v>
      </c>
      <c r="I423" s="183" t="s">
        <v>1561</v>
      </c>
      <c r="J423" s="188">
        <v>46289</v>
      </c>
      <c r="K423" s="183" t="s">
        <v>1910</v>
      </c>
      <c r="L423" s="183" t="s">
        <v>280</v>
      </c>
      <c r="M423" s="183"/>
      <c r="N423" s="185">
        <v>7</v>
      </c>
      <c r="O423" s="186">
        <v>2</v>
      </c>
      <c r="P423" s="185">
        <v>16</v>
      </c>
      <c r="Q423" s="185">
        <v>3</v>
      </c>
      <c r="R423" s="183" t="s">
        <v>702</v>
      </c>
      <c r="S423" s="185">
        <v>136</v>
      </c>
      <c r="T423" s="189">
        <f t="shared" si="7"/>
        <v>2.2666666666666666</v>
      </c>
      <c r="U423" s="183" t="s">
        <v>703</v>
      </c>
      <c r="V423" s="183" t="s">
        <v>526</v>
      </c>
      <c r="W423" s="183"/>
      <c r="X423" s="183"/>
      <c r="Y423" s="183"/>
      <c r="Z423" s="183"/>
      <c r="AA423" s="183"/>
      <c r="AB423" s="183"/>
      <c r="AC423" s="183"/>
      <c r="AD423" s="183"/>
      <c r="AE423" s="183"/>
    </row>
    <row r="424" spans="1:31" ht="27.6" hidden="1">
      <c r="A424" s="183" t="s">
        <v>694</v>
      </c>
      <c r="B424" s="183" t="s">
        <v>373</v>
      </c>
      <c r="C424" s="183" t="s">
        <v>373</v>
      </c>
      <c r="D424" s="184" t="s">
        <v>1245</v>
      </c>
      <c r="E424" s="183" t="s">
        <v>696</v>
      </c>
      <c r="F424" s="183" t="s">
        <v>697</v>
      </c>
      <c r="G424" s="183" t="s">
        <v>698</v>
      </c>
      <c r="H424" s="183" t="s">
        <v>1</v>
      </c>
      <c r="I424" s="183" t="s">
        <v>1558</v>
      </c>
      <c r="J424" s="188">
        <v>46295</v>
      </c>
      <c r="K424" s="183" t="s">
        <v>1911</v>
      </c>
      <c r="L424" s="183" t="s">
        <v>390</v>
      </c>
      <c r="M424" s="183"/>
      <c r="N424" s="185">
        <v>1</v>
      </c>
      <c r="O424" s="186">
        <v>39</v>
      </c>
      <c r="P424" s="185">
        <v>14</v>
      </c>
      <c r="Q424" s="185">
        <v>40</v>
      </c>
      <c r="R424" s="183" t="s">
        <v>702</v>
      </c>
      <c r="S424" s="185">
        <v>2354</v>
      </c>
      <c r="T424" s="189">
        <f t="shared" si="7"/>
        <v>39.233333333333334</v>
      </c>
      <c r="U424" s="183" t="s">
        <v>703</v>
      </c>
      <c r="V424" s="183" t="s">
        <v>526</v>
      </c>
      <c r="W424" s="183"/>
      <c r="X424" s="183"/>
      <c r="Y424" s="183"/>
      <c r="Z424" s="183"/>
      <c r="AA424" s="183"/>
      <c r="AB424" s="183"/>
      <c r="AC424" s="183"/>
      <c r="AD424" s="183"/>
      <c r="AE424" s="183"/>
    </row>
    <row r="425" spans="1:31" ht="27.6" hidden="1">
      <c r="A425" s="183" t="s">
        <v>694</v>
      </c>
      <c r="B425" s="183" t="s">
        <v>373</v>
      </c>
      <c r="C425" s="183" t="s">
        <v>373</v>
      </c>
      <c r="D425" s="184" t="s">
        <v>1245</v>
      </c>
      <c r="E425" s="183" t="s">
        <v>696</v>
      </c>
      <c r="F425" s="183" t="s">
        <v>697</v>
      </c>
      <c r="G425" s="183" t="s">
        <v>698</v>
      </c>
      <c r="H425" s="183" t="s">
        <v>1</v>
      </c>
      <c r="I425" s="183" t="s">
        <v>1173</v>
      </c>
      <c r="J425" s="188">
        <v>46290</v>
      </c>
      <c r="K425" s="183" t="s">
        <v>1912</v>
      </c>
      <c r="L425" s="183" t="s">
        <v>292</v>
      </c>
      <c r="M425" s="183"/>
      <c r="N425" s="185">
        <v>6</v>
      </c>
      <c r="O425" s="186">
        <v>48</v>
      </c>
      <c r="P425" s="185">
        <v>27</v>
      </c>
      <c r="Q425" s="185">
        <v>49</v>
      </c>
      <c r="R425" s="183" t="s">
        <v>702</v>
      </c>
      <c r="S425" s="185">
        <v>2907</v>
      </c>
      <c r="T425" s="189">
        <f t="shared" si="7"/>
        <v>48.45</v>
      </c>
      <c r="U425" s="183" t="s">
        <v>703</v>
      </c>
      <c r="V425" s="183" t="s">
        <v>526</v>
      </c>
      <c r="W425" s="183"/>
      <c r="X425" s="183"/>
      <c r="Y425" s="183"/>
      <c r="Z425" s="183"/>
      <c r="AA425" s="183"/>
      <c r="AB425" s="183"/>
      <c r="AC425" s="183"/>
      <c r="AD425" s="183"/>
      <c r="AE425" s="183"/>
    </row>
    <row r="426" spans="1:31" ht="27.6" hidden="1">
      <c r="A426" s="183" t="s">
        <v>694</v>
      </c>
      <c r="B426" s="183" t="s">
        <v>373</v>
      </c>
      <c r="C426" s="183" t="s">
        <v>373</v>
      </c>
      <c r="D426" s="184" t="s">
        <v>1245</v>
      </c>
      <c r="E426" s="183" t="s">
        <v>696</v>
      </c>
      <c r="F426" s="183" t="s">
        <v>697</v>
      </c>
      <c r="G426" s="183" t="s">
        <v>698</v>
      </c>
      <c r="H426" s="183" t="s">
        <v>1</v>
      </c>
      <c r="I426" s="183" t="s">
        <v>1184</v>
      </c>
      <c r="J426" s="188">
        <v>46290</v>
      </c>
      <c r="K426" s="183" t="s">
        <v>1913</v>
      </c>
      <c r="L426" s="183" t="s">
        <v>284</v>
      </c>
      <c r="M426" s="183"/>
      <c r="N426" s="185">
        <v>6</v>
      </c>
      <c r="O426" s="186">
        <v>21</v>
      </c>
      <c r="P426" s="185">
        <v>52</v>
      </c>
      <c r="Q426" s="185">
        <v>22</v>
      </c>
      <c r="R426" s="183" t="s">
        <v>702</v>
      </c>
      <c r="S426" s="185">
        <v>1312</v>
      </c>
      <c r="T426" s="189">
        <f t="shared" si="7"/>
        <v>21.866666666666667</v>
      </c>
      <c r="U426" s="183" t="s">
        <v>703</v>
      </c>
      <c r="V426" s="183" t="s">
        <v>526</v>
      </c>
      <c r="W426" s="183"/>
      <c r="X426" s="183"/>
      <c r="Y426" s="183"/>
      <c r="Z426" s="183"/>
      <c r="AA426" s="183"/>
      <c r="AB426" s="183"/>
      <c r="AC426" s="183"/>
      <c r="AD426" s="183"/>
      <c r="AE426" s="183"/>
    </row>
    <row r="427" spans="1:31" ht="27.6" hidden="1">
      <c r="A427" s="183" t="s">
        <v>694</v>
      </c>
      <c r="B427" s="183" t="s">
        <v>373</v>
      </c>
      <c r="C427" s="183" t="s">
        <v>373</v>
      </c>
      <c r="D427" s="184" t="s">
        <v>1245</v>
      </c>
      <c r="E427" s="183" t="s">
        <v>696</v>
      </c>
      <c r="F427" s="183" t="s">
        <v>697</v>
      </c>
      <c r="G427" s="183" t="s">
        <v>698</v>
      </c>
      <c r="H427" s="183" t="s">
        <v>1</v>
      </c>
      <c r="I427" s="183" t="s">
        <v>1889</v>
      </c>
      <c r="J427" s="188">
        <v>46290</v>
      </c>
      <c r="K427" s="183" t="s">
        <v>1914</v>
      </c>
      <c r="L427" s="183" t="s">
        <v>283</v>
      </c>
      <c r="M427" s="183"/>
      <c r="N427" s="185">
        <v>6</v>
      </c>
      <c r="O427" s="186">
        <v>10</v>
      </c>
      <c r="P427" s="185">
        <v>27</v>
      </c>
      <c r="Q427" s="185">
        <v>11</v>
      </c>
      <c r="R427" s="183" t="s">
        <v>702</v>
      </c>
      <c r="S427" s="185">
        <v>627</v>
      </c>
      <c r="T427" s="189">
        <f t="shared" si="7"/>
        <v>10.45</v>
      </c>
      <c r="U427" s="183" t="s">
        <v>703</v>
      </c>
      <c r="V427" s="183" t="s">
        <v>526</v>
      </c>
      <c r="W427" s="183"/>
      <c r="X427" s="183"/>
      <c r="Y427" s="183"/>
      <c r="Z427" s="183"/>
      <c r="AA427" s="183"/>
      <c r="AB427" s="183"/>
      <c r="AC427" s="183"/>
      <c r="AD427" s="183"/>
      <c r="AE427" s="183"/>
    </row>
    <row r="428" spans="1:31" ht="27.6" hidden="1">
      <c r="A428" s="183" t="s">
        <v>694</v>
      </c>
      <c r="B428" s="183" t="s">
        <v>373</v>
      </c>
      <c r="C428" s="183" t="s">
        <v>373</v>
      </c>
      <c r="D428" s="184" t="s">
        <v>1250</v>
      </c>
      <c r="E428" s="183" t="s">
        <v>696</v>
      </c>
      <c r="F428" s="183" t="s">
        <v>697</v>
      </c>
      <c r="G428" s="183" t="s">
        <v>698</v>
      </c>
      <c r="H428" s="183" t="s">
        <v>1</v>
      </c>
      <c r="I428" s="183" t="s">
        <v>1870</v>
      </c>
      <c r="J428" s="188">
        <v>46287</v>
      </c>
      <c r="K428" s="183" t="s">
        <v>1915</v>
      </c>
      <c r="L428" s="183" t="s">
        <v>391</v>
      </c>
      <c r="M428" s="183"/>
      <c r="N428" s="185">
        <v>9</v>
      </c>
      <c r="O428" s="186">
        <v>3</v>
      </c>
      <c r="P428" s="185">
        <v>44</v>
      </c>
      <c r="Q428" s="185">
        <v>4</v>
      </c>
      <c r="R428" s="183" t="s">
        <v>702</v>
      </c>
      <c r="S428" s="185">
        <v>224</v>
      </c>
      <c r="T428" s="189">
        <f t="shared" si="7"/>
        <v>3.7333333333333334</v>
      </c>
      <c r="U428" s="183" t="s">
        <v>703</v>
      </c>
      <c r="V428" s="183" t="s">
        <v>526</v>
      </c>
      <c r="W428" s="183"/>
      <c r="X428" s="183"/>
      <c r="Y428" s="183"/>
      <c r="Z428" s="183"/>
      <c r="AA428" s="183"/>
      <c r="AB428" s="183"/>
      <c r="AC428" s="183"/>
      <c r="AD428" s="183"/>
      <c r="AE428" s="183"/>
    </row>
    <row r="429" spans="1:31" ht="27.6" hidden="1">
      <c r="A429" s="183" t="s">
        <v>694</v>
      </c>
      <c r="B429" s="183" t="s">
        <v>373</v>
      </c>
      <c r="C429" s="183" t="s">
        <v>373</v>
      </c>
      <c r="D429" s="184" t="s">
        <v>1250</v>
      </c>
      <c r="E429" s="183" t="s">
        <v>696</v>
      </c>
      <c r="F429" s="183" t="s">
        <v>697</v>
      </c>
      <c r="G429" s="183" t="s">
        <v>698</v>
      </c>
      <c r="H429" s="183" t="s">
        <v>1</v>
      </c>
      <c r="I429" s="183" t="s">
        <v>1916</v>
      </c>
      <c r="J429" s="188">
        <v>46288</v>
      </c>
      <c r="K429" s="183" t="s">
        <v>1917</v>
      </c>
      <c r="L429" s="183" t="s">
        <v>296</v>
      </c>
      <c r="M429" s="183"/>
      <c r="N429" s="185">
        <v>8</v>
      </c>
      <c r="O429" s="186">
        <v>7</v>
      </c>
      <c r="P429" s="185">
        <v>19</v>
      </c>
      <c r="Q429" s="185">
        <v>8</v>
      </c>
      <c r="R429" s="183" t="s">
        <v>702</v>
      </c>
      <c r="S429" s="185">
        <v>439</v>
      </c>
      <c r="T429" s="189">
        <f t="shared" si="7"/>
        <v>7.3166666666666664</v>
      </c>
      <c r="U429" s="183" t="s">
        <v>703</v>
      </c>
      <c r="V429" s="183" t="s">
        <v>526</v>
      </c>
      <c r="W429" s="183"/>
      <c r="X429" s="183"/>
      <c r="Y429" s="183"/>
      <c r="Z429" s="183"/>
      <c r="AA429" s="183"/>
      <c r="AB429" s="183"/>
      <c r="AC429" s="183"/>
      <c r="AD429" s="183"/>
      <c r="AE429" s="183"/>
    </row>
    <row r="430" spans="1:31" ht="27.6" hidden="1">
      <c r="A430" s="183" t="s">
        <v>694</v>
      </c>
      <c r="B430" s="183" t="s">
        <v>373</v>
      </c>
      <c r="C430" s="183" t="s">
        <v>373</v>
      </c>
      <c r="D430" s="184" t="s">
        <v>1250</v>
      </c>
      <c r="E430" s="183" t="s">
        <v>696</v>
      </c>
      <c r="F430" s="183" t="s">
        <v>697</v>
      </c>
      <c r="G430" s="183" t="s">
        <v>698</v>
      </c>
      <c r="H430" s="183" t="s">
        <v>1</v>
      </c>
      <c r="I430" s="183" t="s">
        <v>1918</v>
      </c>
      <c r="J430" s="188">
        <v>46288</v>
      </c>
      <c r="K430" s="183" t="s">
        <v>1919</v>
      </c>
      <c r="L430" s="183" t="s">
        <v>297</v>
      </c>
      <c r="M430" s="183"/>
      <c r="N430" s="185">
        <v>8</v>
      </c>
      <c r="O430" s="186">
        <v>15</v>
      </c>
      <c r="P430" s="185">
        <v>52</v>
      </c>
      <c r="Q430" s="185">
        <v>16</v>
      </c>
      <c r="R430" s="183" t="s">
        <v>702</v>
      </c>
      <c r="S430" s="185">
        <v>952</v>
      </c>
      <c r="T430" s="189">
        <f t="shared" si="7"/>
        <v>15.866666666666667</v>
      </c>
      <c r="U430" s="183" t="s">
        <v>703</v>
      </c>
      <c r="V430" s="183" t="s">
        <v>526</v>
      </c>
      <c r="W430" s="183"/>
      <c r="X430" s="183"/>
      <c r="Y430" s="183"/>
      <c r="Z430" s="183"/>
      <c r="AA430" s="183"/>
      <c r="AB430" s="183"/>
      <c r="AC430" s="183"/>
      <c r="AD430" s="183"/>
      <c r="AE430" s="183"/>
    </row>
    <row r="431" spans="1:31" ht="27.6" hidden="1">
      <c r="A431" s="183" t="s">
        <v>694</v>
      </c>
      <c r="B431" s="183" t="s">
        <v>373</v>
      </c>
      <c r="C431" s="183" t="s">
        <v>373</v>
      </c>
      <c r="D431" s="184" t="s">
        <v>1170</v>
      </c>
      <c r="E431" s="183" t="s">
        <v>696</v>
      </c>
      <c r="F431" s="183" t="s">
        <v>697</v>
      </c>
      <c r="G431" s="183" t="s">
        <v>698</v>
      </c>
      <c r="H431" s="183" t="s">
        <v>1</v>
      </c>
      <c r="I431" s="183" t="s">
        <v>1920</v>
      </c>
      <c r="J431" s="188">
        <v>46293</v>
      </c>
      <c r="K431" s="183" t="s">
        <v>1921</v>
      </c>
      <c r="L431" s="183" t="s">
        <v>288</v>
      </c>
      <c r="M431" s="183"/>
      <c r="N431" s="185">
        <v>3</v>
      </c>
      <c r="O431" s="186">
        <v>28</v>
      </c>
      <c r="P431" s="185">
        <v>31</v>
      </c>
      <c r="Q431" s="185">
        <v>29</v>
      </c>
      <c r="R431" s="183" t="s">
        <v>702</v>
      </c>
      <c r="S431" s="185">
        <v>1711</v>
      </c>
      <c r="T431" s="189">
        <f t="shared" si="7"/>
        <v>28.516666666666666</v>
      </c>
      <c r="U431" s="183" t="s">
        <v>703</v>
      </c>
      <c r="V431" s="183" t="s">
        <v>526</v>
      </c>
      <c r="W431" s="183"/>
      <c r="X431" s="183"/>
      <c r="Y431" s="183"/>
      <c r="Z431" s="183"/>
      <c r="AA431" s="183"/>
      <c r="AB431" s="183"/>
      <c r="AC431" s="183"/>
      <c r="AD431" s="183"/>
      <c r="AE431" s="183"/>
    </row>
    <row r="432" spans="1:31" ht="27.6" hidden="1">
      <c r="A432" s="183" t="s">
        <v>694</v>
      </c>
      <c r="B432" s="183" t="s">
        <v>373</v>
      </c>
      <c r="C432" s="183" t="s">
        <v>373</v>
      </c>
      <c r="D432" s="184" t="s">
        <v>1170</v>
      </c>
      <c r="E432" s="183" t="s">
        <v>696</v>
      </c>
      <c r="F432" s="183" t="s">
        <v>697</v>
      </c>
      <c r="G432" s="183" t="s">
        <v>698</v>
      </c>
      <c r="H432" s="183" t="s">
        <v>1</v>
      </c>
      <c r="I432" s="183" t="s">
        <v>1546</v>
      </c>
      <c r="J432" s="188">
        <v>46289</v>
      </c>
      <c r="K432" s="183" t="s">
        <v>1922</v>
      </c>
      <c r="L432" s="183" t="s">
        <v>286</v>
      </c>
      <c r="M432" s="183"/>
      <c r="N432" s="185">
        <v>7</v>
      </c>
      <c r="O432" s="186">
        <v>20</v>
      </c>
      <c r="P432" s="185">
        <v>52</v>
      </c>
      <c r="Q432" s="185">
        <v>21</v>
      </c>
      <c r="R432" s="183" t="s">
        <v>702</v>
      </c>
      <c r="S432" s="185">
        <v>1252</v>
      </c>
      <c r="T432" s="189">
        <f t="shared" si="7"/>
        <v>20.866666666666667</v>
      </c>
      <c r="U432" s="183" t="s">
        <v>703</v>
      </c>
      <c r="V432" s="183" t="s">
        <v>526</v>
      </c>
      <c r="W432" s="183"/>
      <c r="X432" s="183"/>
      <c r="Y432" s="183"/>
      <c r="Z432" s="183"/>
      <c r="AA432" s="183"/>
      <c r="AB432" s="183"/>
      <c r="AC432" s="183"/>
      <c r="AD432" s="183"/>
      <c r="AE432" s="183"/>
    </row>
    <row r="433" spans="1:31" ht="27.6" hidden="1">
      <c r="A433" s="183" t="s">
        <v>694</v>
      </c>
      <c r="B433" s="183" t="s">
        <v>373</v>
      </c>
      <c r="C433" s="183" t="s">
        <v>373</v>
      </c>
      <c r="D433" s="184" t="s">
        <v>1170</v>
      </c>
      <c r="E433" s="183" t="s">
        <v>696</v>
      </c>
      <c r="F433" s="183" t="s">
        <v>697</v>
      </c>
      <c r="G433" s="183" t="s">
        <v>698</v>
      </c>
      <c r="H433" s="183" t="s">
        <v>1</v>
      </c>
      <c r="I433" s="183" t="s">
        <v>1623</v>
      </c>
      <c r="J433" s="188">
        <v>46287</v>
      </c>
      <c r="K433" s="183" t="s">
        <v>1923</v>
      </c>
      <c r="L433" s="183" t="s">
        <v>392</v>
      </c>
      <c r="M433" s="183"/>
      <c r="N433" s="185">
        <v>9</v>
      </c>
      <c r="O433" s="186">
        <v>4</v>
      </c>
      <c r="P433" s="185">
        <v>29</v>
      </c>
      <c r="Q433" s="185">
        <v>5</v>
      </c>
      <c r="R433" s="183" t="s">
        <v>702</v>
      </c>
      <c r="S433" s="185">
        <v>269</v>
      </c>
      <c r="T433" s="189">
        <f t="shared" si="7"/>
        <v>4.4833333333333334</v>
      </c>
      <c r="U433" s="183" t="s">
        <v>703</v>
      </c>
      <c r="V433" s="183" t="s">
        <v>526</v>
      </c>
      <c r="W433" s="183"/>
      <c r="X433" s="183"/>
      <c r="Y433" s="183"/>
      <c r="Z433" s="183"/>
      <c r="AA433" s="183"/>
      <c r="AB433" s="183"/>
      <c r="AC433" s="183"/>
      <c r="AD433" s="183"/>
      <c r="AE433" s="183"/>
    </row>
    <row r="434" spans="1:31" ht="27.6" hidden="1">
      <c r="A434" s="183" t="s">
        <v>694</v>
      </c>
      <c r="B434" s="183" t="s">
        <v>373</v>
      </c>
      <c r="C434" s="183" t="s">
        <v>373</v>
      </c>
      <c r="D434" s="184" t="s">
        <v>1170</v>
      </c>
      <c r="E434" s="183" t="s">
        <v>696</v>
      </c>
      <c r="F434" s="183" t="s">
        <v>697</v>
      </c>
      <c r="G434" s="183" t="s">
        <v>698</v>
      </c>
      <c r="H434" s="183" t="s">
        <v>1</v>
      </c>
      <c r="I434" s="183" t="s">
        <v>1623</v>
      </c>
      <c r="J434" s="188">
        <v>46289</v>
      </c>
      <c r="K434" s="183" t="s">
        <v>1924</v>
      </c>
      <c r="L434" s="183" t="s">
        <v>287</v>
      </c>
      <c r="M434" s="183"/>
      <c r="N434" s="185">
        <v>7</v>
      </c>
      <c r="O434" s="186">
        <v>13</v>
      </c>
      <c r="P434" s="185">
        <v>47</v>
      </c>
      <c r="Q434" s="185">
        <v>14</v>
      </c>
      <c r="R434" s="183" t="s">
        <v>702</v>
      </c>
      <c r="S434" s="185">
        <v>827</v>
      </c>
      <c r="T434" s="189">
        <f t="shared" si="7"/>
        <v>13.783333333333333</v>
      </c>
      <c r="U434" s="183" t="s">
        <v>703</v>
      </c>
      <c r="V434" s="183" t="s">
        <v>526</v>
      </c>
      <c r="W434" s="183"/>
      <c r="X434" s="183"/>
      <c r="Y434" s="183"/>
      <c r="Z434" s="183"/>
      <c r="AA434" s="183"/>
      <c r="AB434" s="183"/>
      <c r="AC434" s="183"/>
      <c r="AD434" s="183"/>
      <c r="AE434" s="183"/>
    </row>
    <row r="435" spans="1:31" ht="27.6" hidden="1">
      <c r="A435" s="183" t="s">
        <v>694</v>
      </c>
      <c r="B435" s="183" t="s">
        <v>373</v>
      </c>
      <c r="C435" s="183" t="s">
        <v>373</v>
      </c>
      <c r="D435" s="184" t="s">
        <v>1170</v>
      </c>
      <c r="E435" s="183" t="s">
        <v>696</v>
      </c>
      <c r="F435" s="183" t="s">
        <v>697</v>
      </c>
      <c r="G435" s="183" t="s">
        <v>698</v>
      </c>
      <c r="H435" s="183" t="s">
        <v>1</v>
      </c>
      <c r="I435" s="183" t="s">
        <v>1875</v>
      </c>
      <c r="J435" s="188">
        <v>46289</v>
      </c>
      <c r="K435" s="183" t="s">
        <v>1925</v>
      </c>
      <c r="L435" s="183" t="s">
        <v>294</v>
      </c>
      <c r="M435" s="183"/>
      <c r="N435" s="185">
        <v>7</v>
      </c>
      <c r="O435" s="186">
        <v>10</v>
      </c>
      <c r="P435" s="185">
        <v>37</v>
      </c>
      <c r="Q435" s="185">
        <v>11</v>
      </c>
      <c r="R435" s="183" t="s">
        <v>702</v>
      </c>
      <c r="S435" s="185">
        <v>637</v>
      </c>
      <c r="T435" s="189">
        <f t="shared" si="7"/>
        <v>10.616666666666667</v>
      </c>
      <c r="U435" s="183" t="s">
        <v>703</v>
      </c>
      <c r="V435" s="183" t="s">
        <v>526</v>
      </c>
      <c r="W435" s="183"/>
      <c r="X435" s="183"/>
      <c r="Y435" s="183"/>
      <c r="Z435" s="183"/>
      <c r="AA435" s="183"/>
      <c r="AB435" s="183"/>
      <c r="AC435" s="183"/>
      <c r="AD435" s="183"/>
      <c r="AE435" s="183"/>
    </row>
    <row r="436" spans="1:31" ht="27.6" hidden="1">
      <c r="A436" s="183" t="s">
        <v>694</v>
      </c>
      <c r="B436" s="183" t="s">
        <v>373</v>
      </c>
      <c r="C436" s="183" t="s">
        <v>373</v>
      </c>
      <c r="D436" s="184" t="s">
        <v>1170</v>
      </c>
      <c r="E436" s="183" t="s">
        <v>696</v>
      </c>
      <c r="F436" s="183" t="s">
        <v>697</v>
      </c>
      <c r="G436" s="183" t="s">
        <v>698</v>
      </c>
      <c r="H436" s="183" t="s">
        <v>1</v>
      </c>
      <c r="I436" s="183" t="s">
        <v>1918</v>
      </c>
      <c r="J436" s="188">
        <v>46290</v>
      </c>
      <c r="K436" s="183" t="s">
        <v>1926</v>
      </c>
      <c r="L436" s="183" t="s">
        <v>293</v>
      </c>
      <c r="M436" s="183"/>
      <c r="N436" s="185">
        <v>6</v>
      </c>
      <c r="O436" s="186">
        <v>20</v>
      </c>
      <c r="P436" s="185">
        <v>17</v>
      </c>
      <c r="Q436" s="185">
        <v>21</v>
      </c>
      <c r="R436" s="183" t="s">
        <v>702</v>
      </c>
      <c r="S436" s="185">
        <v>1217</v>
      </c>
      <c r="T436" s="189">
        <f t="shared" si="7"/>
        <v>20.283333333333335</v>
      </c>
      <c r="U436" s="183" t="s">
        <v>703</v>
      </c>
      <c r="V436" s="183" t="s">
        <v>526</v>
      </c>
      <c r="W436" s="183"/>
      <c r="X436" s="183"/>
      <c r="Y436" s="183"/>
      <c r="Z436" s="183"/>
      <c r="AA436" s="183"/>
      <c r="AB436" s="183"/>
      <c r="AC436" s="183"/>
      <c r="AD436" s="183"/>
      <c r="AE436" s="183"/>
    </row>
    <row r="437" spans="1:31" ht="27.6" hidden="1">
      <c r="A437" s="183" t="s">
        <v>694</v>
      </c>
      <c r="B437" s="183" t="s">
        <v>394</v>
      </c>
      <c r="C437" s="183" t="s">
        <v>394</v>
      </c>
      <c r="D437" s="184" t="s">
        <v>1684</v>
      </c>
      <c r="E437" s="183" t="s">
        <v>696</v>
      </c>
      <c r="F437" s="183" t="s">
        <v>697</v>
      </c>
      <c r="G437" s="183" t="s">
        <v>698</v>
      </c>
      <c r="H437" s="183" t="s">
        <v>1</v>
      </c>
      <c r="I437" s="183" t="s">
        <v>1723</v>
      </c>
      <c r="J437" s="188">
        <v>46290</v>
      </c>
      <c r="K437" s="183" t="s">
        <v>1927</v>
      </c>
      <c r="L437" s="183" t="s">
        <v>393</v>
      </c>
      <c r="M437" s="183" t="s">
        <v>1090</v>
      </c>
      <c r="N437" s="185">
        <v>6</v>
      </c>
      <c r="O437" s="186">
        <v>38</v>
      </c>
      <c r="P437" s="185">
        <v>55.9</v>
      </c>
      <c r="Q437" s="185">
        <v>39</v>
      </c>
      <c r="R437" s="183" t="s">
        <v>702</v>
      </c>
      <c r="S437" s="185">
        <v>2335.9</v>
      </c>
      <c r="T437" s="189">
        <f t="shared" si="7"/>
        <v>38.931666666666665</v>
      </c>
      <c r="U437" s="183" t="s">
        <v>703</v>
      </c>
      <c r="V437" s="183" t="s">
        <v>526</v>
      </c>
      <c r="W437" s="183"/>
      <c r="X437" s="183"/>
      <c r="Y437" s="183"/>
      <c r="Z437" s="183" t="s">
        <v>733</v>
      </c>
      <c r="AA437" s="183" t="s">
        <v>734</v>
      </c>
      <c r="AB437" s="183"/>
      <c r="AC437" s="183"/>
      <c r="AD437" s="183" t="s">
        <v>1928</v>
      </c>
      <c r="AE437" s="183" t="s">
        <v>1688</v>
      </c>
    </row>
    <row r="438" spans="1:31" ht="27.6" hidden="1">
      <c r="A438" s="183" t="s">
        <v>694</v>
      </c>
      <c r="B438" s="183" t="s">
        <v>394</v>
      </c>
      <c r="C438" s="183" t="s">
        <v>394</v>
      </c>
      <c r="D438" s="184" t="s">
        <v>1150</v>
      </c>
      <c r="E438" s="183" t="s">
        <v>696</v>
      </c>
      <c r="F438" s="183" t="s">
        <v>697</v>
      </c>
      <c r="G438" s="183" t="s">
        <v>698</v>
      </c>
      <c r="H438" s="183" t="s">
        <v>1</v>
      </c>
      <c r="I438" s="183" t="s">
        <v>1929</v>
      </c>
      <c r="J438" s="188">
        <v>46267</v>
      </c>
      <c r="K438" s="183" t="s">
        <v>1930</v>
      </c>
      <c r="L438" s="183" t="s">
        <v>395</v>
      </c>
      <c r="M438" s="183" t="s">
        <v>1842</v>
      </c>
      <c r="N438" s="185">
        <v>29</v>
      </c>
      <c r="O438" s="186">
        <v>5</v>
      </c>
      <c r="P438" s="185">
        <v>28.6</v>
      </c>
      <c r="Q438" s="185">
        <v>6</v>
      </c>
      <c r="R438" s="183" t="s">
        <v>702</v>
      </c>
      <c r="S438" s="185">
        <v>328.6</v>
      </c>
      <c r="T438" s="189">
        <f t="shared" si="7"/>
        <v>5.4766666666666675</v>
      </c>
      <c r="U438" s="183" t="s">
        <v>703</v>
      </c>
      <c r="V438" s="183" t="s">
        <v>526</v>
      </c>
      <c r="W438" s="183"/>
      <c r="X438" s="183"/>
      <c r="Y438" s="183"/>
      <c r="Z438" s="183" t="s">
        <v>733</v>
      </c>
      <c r="AA438" s="183" t="s">
        <v>734</v>
      </c>
      <c r="AB438" s="183"/>
      <c r="AC438" s="183"/>
      <c r="AD438" s="183" t="s">
        <v>1931</v>
      </c>
      <c r="AE438" s="183" t="s">
        <v>806</v>
      </c>
    </row>
    <row r="439" spans="1:31" ht="27.6">
      <c r="A439" s="183" t="s">
        <v>694</v>
      </c>
      <c r="B439" s="183" t="s">
        <v>394</v>
      </c>
      <c r="C439" s="183" t="s">
        <v>394</v>
      </c>
      <c r="D439" s="184" t="s">
        <v>1229</v>
      </c>
      <c r="E439" s="183" t="s">
        <v>696</v>
      </c>
      <c r="F439" s="183" t="s">
        <v>697</v>
      </c>
      <c r="G439" s="183" t="s">
        <v>698</v>
      </c>
      <c r="H439" s="183" t="s">
        <v>4</v>
      </c>
      <c r="I439" s="183" t="s">
        <v>729</v>
      </c>
      <c r="J439" s="188">
        <v>46287</v>
      </c>
      <c r="K439" s="183" t="s">
        <v>1932</v>
      </c>
      <c r="L439" s="183" t="s">
        <v>396</v>
      </c>
      <c r="M439" s="183" t="s">
        <v>1933</v>
      </c>
      <c r="N439" s="185">
        <v>9</v>
      </c>
      <c r="O439" s="186">
        <v>4</v>
      </c>
      <c r="P439" s="185">
        <v>52</v>
      </c>
      <c r="Q439" s="185">
        <v>5</v>
      </c>
      <c r="R439" s="183" t="s">
        <v>702</v>
      </c>
      <c r="S439" s="185">
        <v>292</v>
      </c>
      <c r="T439" s="189">
        <f t="shared" si="7"/>
        <v>4.8666666666666663</v>
      </c>
      <c r="U439" s="183" t="s">
        <v>703</v>
      </c>
      <c r="V439" s="183" t="s">
        <v>704</v>
      </c>
      <c r="W439" s="183" t="s">
        <v>1934</v>
      </c>
      <c r="X439" s="183"/>
      <c r="Y439" s="183"/>
      <c r="Z439" s="183" t="s">
        <v>733</v>
      </c>
      <c r="AA439" s="183" t="s">
        <v>734</v>
      </c>
      <c r="AB439" s="183"/>
      <c r="AC439" s="183"/>
      <c r="AD439" s="183" t="s">
        <v>1935</v>
      </c>
      <c r="AE439" s="183" t="s">
        <v>1936</v>
      </c>
    </row>
    <row r="440" spans="1:31" ht="27.6">
      <c r="A440" s="183" t="s">
        <v>694</v>
      </c>
      <c r="B440" s="183" t="s">
        <v>394</v>
      </c>
      <c r="C440" s="183" t="s">
        <v>394</v>
      </c>
      <c r="D440" s="184" t="s">
        <v>1229</v>
      </c>
      <c r="E440" s="183" t="s">
        <v>696</v>
      </c>
      <c r="F440" s="183" t="s">
        <v>697</v>
      </c>
      <c r="G440" s="183" t="s">
        <v>698</v>
      </c>
      <c r="H440" s="183" t="s">
        <v>4</v>
      </c>
      <c r="I440" s="183" t="s">
        <v>729</v>
      </c>
      <c r="J440" s="188">
        <v>46287</v>
      </c>
      <c r="K440" s="183" t="s">
        <v>1937</v>
      </c>
      <c r="L440" s="183" t="s">
        <v>397</v>
      </c>
      <c r="M440" s="183" t="s">
        <v>763</v>
      </c>
      <c r="N440" s="185">
        <v>9</v>
      </c>
      <c r="O440" s="186">
        <v>8</v>
      </c>
      <c r="P440" s="185">
        <v>48</v>
      </c>
      <c r="Q440" s="185">
        <v>9</v>
      </c>
      <c r="R440" s="183" t="s">
        <v>702</v>
      </c>
      <c r="S440" s="185">
        <v>528</v>
      </c>
      <c r="T440" s="189">
        <f t="shared" si="7"/>
        <v>8.8000000000000007</v>
      </c>
      <c r="U440" s="183" t="s">
        <v>703</v>
      </c>
      <c r="V440" s="183" t="s">
        <v>704</v>
      </c>
      <c r="W440" s="183" t="s">
        <v>1938</v>
      </c>
      <c r="X440" s="183"/>
      <c r="Y440" s="183"/>
      <c r="Z440" s="183" t="s">
        <v>733</v>
      </c>
      <c r="AA440" s="183" t="s">
        <v>734</v>
      </c>
      <c r="AB440" s="183" t="s">
        <v>940</v>
      </c>
      <c r="AC440" s="183"/>
      <c r="AD440" s="183" t="s">
        <v>1939</v>
      </c>
      <c r="AE440" s="183" t="s">
        <v>1936</v>
      </c>
    </row>
    <row r="441" spans="1:31" ht="27.6">
      <c r="A441" s="183" t="s">
        <v>694</v>
      </c>
      <c r="B441" s="183" t="s">
        <v>394</v>
      </c>
      <c r="C441" s="183" t="s">
        <v>394</v>
      </c>
      <c r="D441" s="184" t="s">
        <v>1229</v>
      </c>
      <c r="E441" s="183" t="s">
        <v>696</v>
      </c>
      <c r="F441" s="183" t="s">
        <v>697</v>
      </c>
      <c r="G441" s="183" t="s">
        <v>698</v>
      </c>
      <c r="H441" s="183" t="s">
        <v>8</v>
      </c>
      <c r="I441" s="183" t="s">
        <v>729</v>
      </c>
      <c r="J441" s="188">
        <v>46287</v>
      </c>
      <c r="K441" s="183" t="s">
        <v>1940</v>
      </c>
      <c r="L441" s="183" t="s">
        <v>398</v>
      </c>
      <c r="M441" s="183" t="s">
        <v>1941</v>
      </c>
      <c r="N441" s="185">
        <v>9</v>
      </c>
      <c r="O441" s="186">
        <v>8</v>
      </c>
      <c r="P441" s="185">
        <v>36</v>
      </c>
      <c r="Q441" s="185">
        <v>9</v>
      </c>
      <c r="R441" s="183" t="s">
        <v>702</v>
      </c>
      <c r="S441" s="185">
        <v>516</v>
      </c>
      <c r="T441" s="189">
        <f t="shared" si="7"/>
        <v>8.6</v>
      </c>
      <c r="U441" s="183" t="s">
        <v>703</v>
      </c>
      <c r="V441" s="183" t="s">
        <v>704</v>
      </c>
      <c r="W441" s="183" t="s">
        <v>1942</v>
      </c>
      <c r="X441" s="183"/>
      <c r="Y441" s="183"/>
      <c r="Z441" s="183" t="s">
        <v>733</v>
      </c>
      <c r="AA441" s="183" t="s">
        <v>734</v>
      </c>
      <c r="AB441" s="183"/>
      <c r="AC441" s="183"/>
      <c r="AD441" s="183" t="s">
        <v>1943</v>
      </c>
      <c r="AE441" s="183" t="s">
        <v>1936</v>
      </c>
    </row>
    <row r="442" spans="1:31" ht="27.6" hidden="1">
      <c r="A442" s="183" t="s">
        <v>694</v>
      </c>
      <c r="B442" s="183" t="s">
        <v>394</v>
      </c>
      <c r="C442" s="183" t="s">
        <v>394</v>
      </c>
      <c r="D442" s="184" t="s">
        <v>1157</v>
      </c>
      <c r="E442" s="183" t="s">
        <v>696</v>
      </c>
      <c r="F442" s="183" t="s">
        <v>697</v>
      </c>
      <c r="G442" s="183" t="s">
        <v>698</v>
      </c>
      <c r="H442" s="183" t="s">
        <v>4</v>
      </c>
      <c r="I442" s="183" t="s">
        <v>729</v>
      </c>
      <c r="J442" s="188">
        <v>46224</v>
      </c>
      <c r="K442" s="183" t="s">
        <v>1944</v>
      </c>
      <c r="L442" s="183" t="s">
        <v>399</v>
      </c>
      <c r="M442" s="183" t="s">
        <v>1945</v>
      </c>
      <c r="N442" s="185">
        <v>72</v>
      </c>
      <c r="O442" s="186">
        <v>0</v>
      </c>
      <c r="P442" s="185">
        <v>11</v>
      </c>
      <c r="Q442" s="185">
        <v>1</v>
      </c>
      <c r="R442" s="183" t="s">
        <v>702</v>
      </c>
      <c r="S442" s="185">
        <v>11</v>
      </c>
      <c r="T442" s="189">
        <f t="shared" si="7"/>
        <v>0.18333333333333332</v>
      </c>
      <c r="U442" s="183" t="s">
        <v>703</v>
      </c>
      <c r="V442" s="183" t="s">
        <v>704</v>
      </c>
      <c r="W442" s="183" t="s">
        <v>1946</v>
      </c>
      <c r="X442" s="183"/>
      <c r="Y442" s="183"/>
      <c r="Z442" s="183" t="s">
        <v>733</v>
      </c>
      <c r="AA442" s="183" t="s">
        <v>734</v>
      </c>
      <c r="AB442" s="183"/>
      <c r="AC442" s="183"/>
      <c r="AD442" s="183" t="s">
        <v>1947</v>
      </c>
      <c r="AE442" s="183" t="s">
        <v>1948</v>
      </c>
    </row>
    <row r="443" spans="1:31" ht="27.6">
      <c r="A443" s="183" t="s">
        <v>694</v>
      </c>
      <c r="B443" s="183" t="s">
        <v>394</v>
      </c>
      <c r="C443" s="183" t="s">
        <v>394</v>
      </c>
      <c r="D443" s="184" t="s">
        <v>1157</v>
      </c>
      <c r="E443" s="183" t="s">
        <v>696</v>
      </c>
      <c r="F443" s="183" t="s">
        <v>697</v>
      </c>
      <c r="G443" s="183" t="s">
        <v>698</v>
      </c>
      <c r="H443" s="183" t="s">
        <v>4</v>
      </c>
      <c r="I443" s="183" t="s">
        <v>729</v>
      </c>
      <c r="J443" s="188">
        <v>46287</v>
      </c>
      <c r="K443" s="183" t="s">
        <v>1949</v>
      </c>
      <c r="L443" s="183" t="s">
        <v>45</v>
      </c>
      <c r="M443" s="183" t="s">
        <v>755</v>
      </c>
      <c r="N443" s="185">
        <v>9</v>
      </c>
      <c r="O443" s="186">
        <v>3</v>
      </c>
      <c r="P443" s="185">
        <v>3</v>
      </c>
      <c r="Q443" s="185">
        <v>3</v>
      </c>
      <c r="R443" s="183" t="s">
        <v>702</v>
      </c>
      <c r="S443" s="185">
        <v>183</v>
      </c>
      <c r="T443" s="189">
        <f t="shared" si="7"/>
        <v>3.05</v>
      </c>
      <c r="U443" s="183" t="s">
        <v>703</v>
      </c>
      <c r="V443" s="183" t="s">
        <v>704</v>
      </c>
      <c r="W443" s="183" t="s">
        <v>1950</v>
      </c>
      <c r="X443" s="183"/>
      <c r="Y443" s="183"/>
      <c r="Z443" s="183" t="s">
        <v>733</v>
      </c>
      <c r="AA443" s="183" t="s">
        <v>734</v>
      </c>
      <c r="AB443" s="183"/>
      <c r="AC443" s="183"/>
      <c r="AD443" s="183" t="s">
        <v>1951</v>
      </c>
      <c r="AE443" s="183" t="s">
        <v>1948</v>
      </c>
    </row>
    <row r="444" spans="1:31" ht="27.6">
      <c r="A444" s="183" t="s">
        <v>694</v>
      </c>
      <c r="B444" s="183" t="s">
        <v>394</v>
      </c>
      <c r="C444" s="183" t="s">
        <v>394</v>
      </c>
      <c r="D444" s="184" t="s">
        <v>1157</v>
      </c>
      <c r="E444" s="183" t="s">
        <v>696</v>
      </c>
      <c r="F444" s="183" t="s">
        <v>697</v>
      </c>
      <c r="G444" s="183" t="s">
        <v>698</v>
      </c>
      <c r="H444" s="183" t="s">
        <v>4</v>
      </c>
      <c r="I444" s="183" t="s">
        <v>729</v>
      </c>
      <c r="J444" s="188">
        <v>46287</v>
      </c>
      <c r="K444" s="183" t="s">
        <v>1952</v>
      </c>
      <c r="L444" s="183" t="s">
        <v>81</v>
      </c>
      <c r="M444" s="183" t="s">
        <v>921</v>
      </c>
      <c r="N444" s="185">
        <v>9</v>
      </c>
      <c r="O444" s="186">
        <v>8</v>
      </c>
      <c r="P444" s="185">
        <v>46</v>
      </c>
      <c r="Q444" s="185">
        <v>9</v>
      </c>
      <c r="R444" s="183" t="s">
        <v>702</v>
      </c>
      <c r="S444" s="185">
        <v>526</v>
      </c>
      <c r="T444" s="189">
        <f t="shared" si="7"/>
        <v>8.7666666666666675</v>
      </c>
      <c r="U444" s="183" t="s">
        <v>703</v>
      </c>
      <c r="V444" s="183" t="s">
        <v>704</v>
      </c>
      <c r="W444" s="183" t="s">
        <v>1953</v>
      </c>
      <c r="X444" s="183"/>
      <c r="Y444" s="183"/>
      <c r="Z444" s="183" t="s">
        <v>733</v>
      </c>
      <c r="AA444" s="183" t="s">
        <v>734</v>
      </c>
      <c r="AB444" s="183"/>
      <c r="AC444" s="183"/>
      <c r="AD444" s="183" t="s">
        <v>1954</v>
      </c>
      <c r="AE444" s="183" t="s">
        <v>1948</v>
      </c>
    </row>
    <row r="445" spans="1:31" ht="27.6">
      <c r="A445" s="183" t="s">
        <v>694</v>
      </c>
      <c r="B445" s="183" t="s">
        <v>394</v>
      </c>
      <c r="C445" s="183" t="s">
        <v>394</v>
      </c>
      <c r="D445" s="184" t="s">
        <v>1157</v>
      </c>
      <c r="E445" s="183" t="s">
        <v>696</v>
      </c>
      <c r="F445" s="183" t="s">
        <v>697</v>
      </c>
      <c r="G445" s="183" t="s">
        <v>698</v>
      </c>
      <c r="H445" s="183" t="s">
        <v>4</v>
      </c>
      <c r="I445" s="183" t="s">
        <v>729</v>
      </c>
      <c r="J445" s="188">
        <v>46287</v>
      </c>
      <c r="K445" s="183" t="s">
        <v>1955</v>
      </c>
      <c r="L445" s="183" t="s">
        <v>207</v>
      </c>
      <c r="M445" s="183" t="s">
        <v>1324</v>
      </c>
      <c r="N445" s="185">
        <v>9</v>
      </c>
      <c r="O445" s="186">
        <v>15</v>
      </c>
      <c r="P445" s="185">
        <v>46</v>
      </c>
      <c r="Q445" s="185">
        <v>16</v>
      </c>
      <c r="R445" s="183" t="s">
        <v>702</v>
      </c>
      <c r="S445" s="185">
        <v>946</v>
      </c>
      <c r="T445" s="189">
        <f t="shared" si="7"/>
        <v>15.766666666666667</v>
      </c>
      <c r="U445" s="183" t="s">
        <v>703</v>
      </c>
      <c r="V445" s="183" t="s">
        <v>704</v>
      </c>
      <c r="W445" s="183" t="s">
        <v>1956</v>
      </c>
      <c r="X445" s="183"/>
      <c r="Y445" s="183"/>
      <c r="Z445" s="183" t="s">
        <v>733</v>
      </c>
      <c r="AA445" s="183" t="s">
        <v>734</v>
      </c>
      <c r="AB445" s="183" t="s">
        <v>1326</v>
      </c>
      <c r="AC445" s="183"/>
      <c r="AD445" s="183" t="s">
        <v>1957</v>
      </c>
      <c r="AE445" s="183" t="s">
        <v>1948</v>
      </c>
    </row>
    <row r="446" spans="1:31" ht="27.6">
      <c r="A446" s="183" t="s">
        <v>694</v>
      </c>
      <c r="B446" s="183" t="s">
        <v>394</v>
      </c>
      <c r="C446" s="183" t="s">
        <v>394</v>
      </c>
      <c r="D446" s="184" t="s">
        <v>1157</v>
      </c>
      <c r="E446" s="183" t="s">
        <v>696</v>
      </c>
      <c r="F446" s="183" t="s">
        <v>697</v>
      </c>
      <c r="G446" s="183" t="s">
        <v>698</v>
      </c>
      <c r="H446" s="183" t="s">
        <v>8</v>
      </c>
      <c r="I446" s="183" t="s">
        <v>729</v>
      </c>
      <c r="J446" s="188">
        <v>46287</v>
      </c>
      <c r="K446" s="183" t="s">
        <v>1958</v>
      </c>
      <c r="L446" s="183" t="s">
        <v>400</v>
      </c>
      <c r="M446" s="183" t="s">
        <v>1941</v>
      </c>
      <c r="N446" s="185">
        <v>9</v>
      </c>
      <c r="O446" s="186">
        <v>6</v>
      </c>
      <c r="P446" s="185">
        <v>40</v>
      </c>
      <c r="Q446" s="185">
        <v>7</v>
      </c>
      <c r="R446" s="183" t="s">
        <v>702</v>
      </c>
      <c r="S446" s="185">
        <v>400</v>
      </c>
      <c r="T446" s="189">
        <f t="shared" si="7"/>
        <v>6.666666666666667</v>
      </c>
      <c r="U446" s="183" t="s">
        <v>703</v>
      </c>
      <c r="V446" s="183" t="s">
        <v>704</v>
      </c>
      <c r="W446" s="183" t="s">
        <v>1959</v>
      </c>
      <c r="X446" s="183"/>
      <c r="Y446" s="183"/>
      <c r="Z446" s="183" t="s">
        <v>733</v>
      </c>
      <c r="AA446" s="183" t="s">
        <v>734</v>
      </c>
      <c r="AB446" s="183"/>
      <c r="AC446" s="183"/>
      <c r="AD446" s="183" t="s">
        <v>1960</v>
      </c>
      <c r="AE446" s="183" t="s">
        <v>1948</v>
      </c>
    </row>
    <row r="447" spans="1:31" ht="27.6">
      <c r="A447" s="183" t="s">
        <v>694</v>
      </c>
      <c r="B447" s="183" t="s">
        <v>394</v>
      </c>
      <c r="C447" s="183" t="s">
        <v>394</v>
      </c>
      <c r="D447" s="184" t="s">
        <v>1157</v>
      </c>
      <c r="E447" s="183" t="s">
        <v>696</v>
      </c>
      <c r="F447" s="183" t="s">
        <v>697</v>
      </c>
      <c r="G447" s="183" t="s">
        <v>698</v>
      </c>
      <c r="H447" s="183" t="s">
        <v>7</v>
      </c>
      <c r="I447" s="183" t="s">
        <v>729</v>
      </c>
      <c r="J447" s="188">
        <v>46287</v>
      </c>
      <c r="K447" s="183" t="s">
        <v>1961</v>
      </c>
      <c r="L447" s="183" t="s">
        <v>401</v>
      </c>
      <c r="M447" s="183" t="s">
        <v>1962</v>
      </c>
      <c r="N447" s="185">
        <v>9</v>
      </c>
      <c r="O447" s="186">
        <v>8</v>
      </c>
      <c r="P447" s="185">
        <v>31</v>
      </c>
      <c r="Q447" s="185">
        <v>9</v>
      </c>
      <c r="R447" s="183" t="s">
        <v>702</v>
      </c>
      <c r="S447" s="185">
        <v>511</v>
      </c>
      <c r="T447" s="189">
        <f t="shared" si="7"/>
        <v>8.5166666666666675</v>
      </c>
      <c r="U447" s="183" t="s">
        <v>703</v>
      </c>
      <c r="V447" s="183" t="s">
        <v>704</v>
      </c>
      <c r="W447" s="183" t="s">
        <v>1963</v>
      </c>
      <c r="X447" s="183"/>
      <c r="Y447" s="183"/>
      <c r="Z447" s="183" t="s">
        <v>733</v>
      </c>
      <c r="AA447" s="183" t="s">
        <v>734</v>
      </c>
      <c r="AB447" s="183" t="s">
        <v>944</v>
      </c>
      <c r="AC447" s="183"/>
      <c r="AD447" s="183" t="s">
        <v>1964</v>
      </c>
      <c r="AE447" s="183" t="s">
        <v>1948</v>
      </c>
    </row>
    <row r="448" spans="1:31" ht="27.6">
      <c r="A448" s="183" t="s">
        <v>694</v>
      </c>
      <c r="B448" s="183" t="s">
        <v>394</v>
      </c>
      <c r="C448" s="183" t="s">
        <v>394</v>
      </c>
      <c r="D448" s="184" t="s">
        <v>1157</v>
      </c>
      <c r="E448" s="183" t="s">
        <v>696</v>
      </c>
      <c r="F448" s="183" t="s">
        <v>697</v>
      </c>
      <c r="G448" s="183" t="s">
        <v>698</v>
      </c>
      <c r="H448" s="183" t="s">
        <v>7</v>
      </c>
      <c r="I448" s="183" t="s">
        <v>729</v>
      </c>
      <c r="J448" s="188">
        <v>46287</v>
      </c>
      <c r="K448" s="183" t="s">
        <v>1965</v>
      </c>
      <c r="L448" s="183" t="s">
        <v>102</v>
      </c>
      <c r="M448" s="183" t="s">
        <v>1002</v>
      </c>
      <c r="N448" s="185">
        <v>9</v>
      </c>
      <c r="O448" s="186">
        <v>3</v>
      </c>
      <c r="P448" s="185">
        <v>23</v>
      </c>
      <c r="Q448" s="185">
        <v>4</v>
      </c>
      <c r="R448" s="183" t="s">
        <v>702</v>
      </c>
      <c r="S448" s="185">
        <v>203</v>
      </c>
      <c r="T448" s="189">
        <f t="shared" si="7"/>
        <v>3.3833333333333333</v>
      </c>
      <c r="U448" s="183" t="s">
        <v>703</v>
      </c>
      <c r="V448" s="183" t="s">
        <v>704</v>
      </c>
      <c r="W448" s="183" t="s">
        <v>1966</v>
      </c>
      <c r="X448" s="183"/>
      <c r="Y448" s="183"/>
      <c r="Z448" s="183" t="s">
        <v>733</v>
      </c>
      <c r="AA448" s="183" t="s">
        <v>734</v>
      </c>
      <c r="AB448" s="183" t="s">
        <v>765</v>
      </c>
      <c r="AC448" s="183"/>
      <c r="AD448" s="183" t="s">
        <v>1967</v>
      </c>
      <c r="AE448" s="183" t="s">
        <v>1948</v>
      </c>
    </row>
    <row r="449" spans="1:31" ht="27.6" hidden="1">
      <c r="A449" s="183" t="s">
        <v>694</v>
      </c>
      <c r="B449" s="183" t="s">
        <v>394</v>
      </c>
      <c r="C449" s="183" t="s">
        <v>394</v>
      </c>
      <c r="D449" s="184" t="s">
        <v>1166</v>
      </c>
      <c r="E449" s="183" t="s">
        <v>696</v>
      </c>
      <c r="F449" s="183" t="s">
        <v>697</v>
      </c>
      <c r="G449" s="183" t="s">
        <v>698</v>
      </c>
      <c r="H449" s="183" t="s">
        <v>1</v>
      </c>
      <c r="I449" s="183" t="s">
        <v>1084</v>
      </c>
      <c r="J449" s="188">
        <v>46290</v>
      </c>
      <c r="K449" s="183" t="s">
        <v>1968</v>
      </c>
      <c r="L449" s="183" t="s">
        <v>402</v>
      </c>
      <c r="M449" s="183" t="s">
        <v>1969</v>
      </c>
      <c r="N449" s="185">
        <v>6</v>
      </c>
      <c r="O449" s="186">
        <v>4</v>
      </c>
      <c r="P449" s="185">
        <v>57.5</v>
      </c>
      <c r="Q449" s="185">
        <v>5</v>
      </c>
      <c r="R449" s="183" t="s">
        <v>702</v>
      </c>
      <c r="S449" s="185">
        <v>297.5</v>
      </c>
      <c r="T449" s="189">
        <f t="shared" si="7"/>
        <v>4.958333333333333</v>
      </c>
      <c r="U449" s="183" t="s">
        <v>703</v>
      </c>
      <c r="V449" s="183" t="s">
        <v>526</v>
      </c>
      <c r="W449" s="183"/>
      <c r="X449" s="183"/>
      <c r="Y449" s="183"/>
      <c r="Z449" s="183" t="s">
        <v>733</v>
      </c>
      <c r="AA449" s="183" t="s">
        <v>734</v>
      </c>
      <c r="AB449" s="183"/>
      <c r="AC449" s="183"/>
      <c r="AD449" s="183" t="s">
        <v>1970</v>
      </c>
      <c r="AE449" s="183" t="s">
        <v>1617</v>
      </c>
    </row>
    <row r="450" spans="1:31" ht="27.6" hidden="1">
      <c r="A450" s="183" t="s">
        <v>694</v>
      </c>
      <c r="B450" s="183" t="s">
        <v>394</v>
      </c>
      <c r="C450" s="183" t="s">
        <v>394</v>
      </c>
      <c r="D450" s="184" t="s">
        <v>1166</v>
      </c>
      <c r="E450" s="183" t="s">
        <v>696</v>
      </c>
      <c r="F450" s="183" t="s">
        <v>697</v>
      </c>
      <c r="G450" s="183" t="s">
        <v>698</v>
      </c>
      <c r="H450" s="183" t="s">
        <v>1</v>
      </c>
      <c r="I450" s="183" t="s">
        <v>1084</v>
      </c>
      <c r="J450" s="188">
        <v>46290</v>
      </c>
      <c r="K450" s="183" t="s">
        <v>1971</v>
      </c>
      <c r="L450" s="183" t="s">
        <v>403</v>
      </c>
      <c r="M450" s="183" t="s">
        <v>162</v>
      </c>
      <c r="N450" s="185">
        <v>6</v>
      </c>
      <c r="O450" s="186">
        <v>2</v>
      </c>
      <c r="P450" s="185">
        <v>53.3</v>
      </c>
      <c r="Q450" s="185">
        <v>3</v>
      </c>
      <c r="R450" s="183" t="s">
        <v>702</v>
      </c>
      <c r="S450" s="185">
        <v>173.3</v>
      </c>
      <c r="T450" s="189">
        <f t="shared" si="7"/>
        <v>2.8883333333333336</v>
      </c>
      <c r="U450" s="183" t="s">
        <v>703</v>
      </c>
      <c r="V450" s="183" t="s">
        <v>526</v>
      </c>
      <c r="W450" s="183"/>
      <c r="X450" s="183"/>
      <c r="Y450" s="183"/>
      <c r="Z450" s="183" t="s">
        <v>733</v>
      </c>
      <c r="AA450" s="183" t="s">
        <v>734</v>
      </c>
      <c r="AB450" s="183"/>
      <c r="AC450" s="183"/>
      <c r="AD450" s="183" t="s">
        <v>1972</v>
      </c>
      <c r="AE450" s="183" t="s">
        <v>1617</v>
      </c>
    </row>
    <row r="451" spans="1:31" ht="27.6" hidden="1">
      <c r="A451" s="183" t="s">
        <v>694</v>
      </c>
      <c r="B451" s="183" t="s">
        <v>394</v>
      </c>
      <c r="C451" s="183" t="s">
        <v>394</v>
      </c>
      <c r="D451" s="184" t="s">
        <v>1166</v>
      </c>
      <c r="E451" s="183" t="s">
        <v>696</v>
      </c>
      <c r="F451" s="183" t="s">
        <v>697</v>
      </c>
      <c r="G451" s="183" t="s">
        <v>698</v>
      </c>
      <c r="H451" s="183" t="s">
        <v>1</v>
      </c>
      <c r="I451" s="183" t="s">
        <v>1973</v>
      </c>
      <c r="J451" s="188">
        <v>46293</v>
      </c>
      <c r="K451" s="183" t="s">
        <v>1974</v>
      </c>
      <c r="L451" s="183" t="s">
        <v>404</v>
      </c>
      <c r="M451" s="183" t="s">
        <v>1975</v>
      </c>
      <c r="N451" s="185">
        <v>3</v>
      </c>
      <c r="O451" s="186">
        <v>8</v>
      </c>
      <c r="P451" s="185">
        <v>27.9</v>
      </c>
      <c r="Q451" s="185">
        <v>9</v>
      </c>
      <c r="R451" s="183" t="s">
        <v>702</v>
      </c>
      <c r="S451" s="185">
        <v>507.9</v>
      </c>
      <c r="T451" s="189">
        <f t="shared" ref="T451:T485" si="8">S451/60</f>
        <v>8.4649999999999999</v>
      </c>
      <c r="U451" s="183" t="s">
        <v>703</v>
      </c>
      <c r="V451" s="183" t="s">
        <v>526</v>
      </c>
      <c r="W451" s="183"/>
      <c r="X451" s="183"/>
      <c r="Y451" s="183"/>
      <c r="Z451" s="183" t="s">
        <v>733</v>
      </c>
      <c r="AA451" s="183" t="s">
        <v>734</v>
      </c>
      <c r="AB451" s="183" t="s">
        <v>1555</v>
      </c>
      <c r="AC451" s="183"/>
      <c r="AD451" s="183" t="s">
        <v>1976</v>
      </c>
      <c r="AE451" s="183" t="s">
        <v>1617</v>
      </c>
    </row>
    <row r="452" spans="1:31" ht="27.6" hidden="1">
      <c r="A452" s="183" t="s">
        <v>694</v>
      </c>
      <c r="B452" s="183" t="s">
        <v>394</v>
      </c>
      <c r="C452" s="183" t="s">
        <v>394</v>
      </c>
      <c r="D452" s="184" t="s">
        <v>1166</v>
      </c>
      <c r="E452" s="183" t="s">
        <v>696</v>
      </c>
      <c r="F452" s="183" t="s">
        <v>697</v>
      </c>
      <c r="G452" s="183" t="s">
        <v>698</v>
      </c>
      <c r="H452" s="183" t="s">
        <v>1</v>
      </c>
      <c r="I452" s="183" t="s">
        <v>1977</v>
      </c>
      <c r="J452" s="188">
        <v>46290</v>
      </c>
      <c r="K452" s="183" t="s">
        <v>1978</v>
      </c>
      <c r="L452" s="183" t="s">
        <v>405</v>
      </c>
      <c r="M452" s="183" t="s">
        <v>1979</v>
      </c>
      <c r="N452" s="185">
        <v>6</v>
      </c>
      <c r="O452" s="186">
        <v>11</v>
      </c>
      <c r="P452" s="185">
        <v>5.0999999999999996</v>
      </c>
      <c r="Q452" s="185">
        <v>11</v>
      </c>
      <c r="R452" s="183" t="s">
        <v>702</v>
      </c>
      <c r="S452" s="185">
        <v>665.1</v>
      </c>
      <c r="T452" s="189">
        <f t="shared" si="8"/>
        <v>11.085000000000001</v>
      </c>
      <c r="U452" s="183" t="s">
        <v>703</v>
      </c>
      <c r="V452" s="183" t="s">
        <v>526</v>
      </c>
      <c r="W452" s="183"/>
      <c r="X452" s="183"/>
      <c r="Y452" s="183"/>
      <c r="Z452" s="183" t="s">
        <v>733</v>
      </c>
      <c r="AA452" s="183" t="s">
        <v>734</v>
      </c>
      <c r="AB452" s="183"/>
      <c r="AC452" s="183"/>
      <c r="AD452" s="183" t="s">
        <v>1980</v>
      </c>
      <c r="AE452" s="183" t="s">
        <v>1617</v>
      </c>
    </row>
    <row r="453" spans="1:31" ht="27.6">
      <c r="A453" s="183" t="s">
        <v>694</v>
      </c>
      <c r="B453" s="183" t="s">
        <v>394</v>
      </c>
      <c r="C453" s="183" t="s">
        <v>394</v>
      </c>
      <c r="D453" s="184" t="s">
        <v>1166</v>
      </c>
      <c r="E453" s="183" t="s">
        <v>696</v>
      </c>
      <c r="F453" s="183" t="s">
        <v>697</v>
      </c>
      <c r="G453" s="183" t="s">
        <v>698</v>
      </c>
      <c r="H453" s="183" t="s">
        <v>6</v>
      </c>
      <c r="I453" s="183" t="s">
        <v>729</v>
      </c>
      <c r="J453" s="188">
        <v>46287</v>
      </c>
      <c r="K453" s="183" t="s">
        <v>1981</v>
      </c>
      <c r="L453" s="183" t="s">
        <v>406</v>
      </c>
      <c r="M453" s="183" t="s">
        <v>1941</v>
      </c>
      <c r="N453" s="185">
        <v>9</v>
      </c>
      <c r="O453" s="186">
        <v>29</v>
      </c>
      <c r="P453" s="185">
        <v>35</v>
      </c>
      <c r="Q453" s="185">
        <v>30</v>
      </c>
      <c r="R453" s="183" t="s">
        <v>702</v>
      </c>
      <c r="S453" s="185">
        <v>1775</v>
      </c>
      <c r="T453" s="189">
        <f t="shared" si="8"/>
        <v>29.583333333333332</v>
      </c>
      <c r="U453" s="183" t="s">
        <v>703</v>
      </c>
      <c r="V453" s="183" t="s">
        <v>704</v>
      </c>
      <c r="W453" s="183" t="s">
        <v>1982</v>
      </c>
      <c r="X453" s="183"/>
      <c r="Y453" s="183"/>
      <c r="Z453" s="183" t="s">
        <v>733</v>
      </c>
      <c r="AA453" s="183" t="s">
        <v>734</v>
      </c>
      <c r="AB453" s="183"/>
      <c r="AC453" s="183"/>
      <c r="AD453" s="183" t="s">
        <v>1983</v>
      </c>
      <c r="AE453" s="183" t="s">
        <v>1617</v>
      </c>
    </row>
    <row r="454" spans="1:31" ht="27.6">
      <c r="A454" s="183" t="s">
        <v>694</v>
      </c>
      <c r="B454" s="183" t="s">
        <v>394</v>
      </c>
      <c r="C454" s="183" t="s">
        <v>394</v>
      </c>
      <c r="D454" s="184" t="s">
        <v>1166</v>
      </c>
      <c r="E454" s="183" t="s">
        <v>696</v>
      </c>
      <c r="F454" s="183" t="s">
        <v>697</v>
      </c>
      <c r="G454" s="183" t="s">
        <v>698</v>
      </c>
      <c r="H454" s="183" t="s">
        <v>5</v>
      </c>
      <c r="I454" s="183" t="s">
        <v>729</v>
      </c>
      <c r="J454" s="188">
        <v>46287</v>
      </c>
      <c r="K454" s="183" t="s">
        <v>1984</v>
      </c>
      <c r="L454" s="183" t="s">
        <v>407</v>
      </c>
      <c r="M454" s="183" t="s">
        <v>1941</v>
      </c>
      <c r="N454" s="185">
        <v>9</v>
      </c>
      <c r="O454" s="186">
        <v>6</v>
      </c>
      <c r="P454" s="185">
        <v>40</v>
      </c>
      <c r="Q454" s="185">
        <v>7</v>
      </c>
      <c r="R454" s="183" t="s">
        <v>702</v>
      </c>
      <c r="S454" s="185">
        <v>400</v>
      </c>
      <c r="T454" s="189">
        <f t="shared" si="8"/>
        <v>6.666666666666667</v>
      </c>
      <c r="U454" s="183" t="s">
        <v>703</v>
      </c>
      <c r="V454" s="183" t="s">
        <v>704</v>
      </c>
      <c r="W454" s="183" t="s">
        <v>1985</v>
      </c>
      <c r="X454" s="183"/>
      <c r="Y454" s="183"/>
      <c r="Z454" s="183" t="s">
        <v>733</v>
      </c>
      <c r="AA454" s="183" t="s">
        <v>734</v>
      </c>
      <c r="AB454" s="183"/>
      <c r="AC454" s="183"/>
      <c r="AD454" s="183" t="s">
        <v>1986</v>
      </c>
      <c r="AE454" s="183" t="s">
        <v>1617</v>
      </c>
    </row>
    <row r="455" spans="1:31" ht="27.6">
      <c r="A455" s="183" t="s">
        <v>694</v>
      </c>
      <c r="B455" s="183" t="s">
        <v>394</v>
      </c>
      <c r="C455" s="183" t="s">
        <v>394</v>
      </c>
      <c r="D455" s="184" t="s">
        <v>1166</v>
      </c>
      <c r="E455" s="183" t="s">
        <v>696</v>
      </c>
      <c r="F455" s="183" t="s">
        <v>697</v>
      </c>
      <c r="G455" s="183" t="s">
        <v>698</v>
      </c>
      <c r="H455" s="183" t="s">
        <v>5</v>
      </c>
      <c r="I455" s="183" t="s">
        <v>729</v>
      </c>
      <c r="J455" s="188">
        <v>46287</v>
      </c>
      <c r="K455" s="183" t="s">
        <v>1987</v>
      </c>
      <c r="L455" s="183" t="s">
        <v>127</v>
      </c>
      <c r="M455" s="183" t="s">
        <v>1104</v>
      </c>
      <c r="N455" s="185">
        <v>9</v>
      </c>
      <c r="O455" s="186">
        <v>3</v>
      </c>
      <c r="P455" s="185">
        <v>56</v>
      </c>
      <c r="Q455" s="185">
        <v>4</v>
      </c>
      <c r="R455" s="183" t="s">
        <v>702</v>
      </c>
      <c r="S455" s="185">
        <v>236</v>
      </c>
      <c r="T455" s="189">
        <f t="shared" si="8"/>
        <v>3.9333333333333331</v>
      </c>
      <c r="U455" s="183" t="s">
        <v>703</v>
      </c>
      <c r="V455" s="183" t="s">
        <v>704</v>
      </c>
      <c r="W455" s="183" t="s">
        <v>1988</v>
      </c>
      <c r="X455" s="183"/>
      <c r="Y455" s="183"/>
      <c r="Z455" s="183" t="s">
        <v>733</v>
      </c>
      <c r="AA455" s="183" t="s">
        <v>734</v>
      </c>
      <c r="AB455" s="183"/>
      <c r="AC455" s="183"/>
      <c r="AD455" s="183" t="s">
        <v>1989</v>
      </c>
      <c r="AE455" s="183" t="s">
        <v>1617</v>
      </c>
    </row>
    <row r="456" spans="1:31" ht="27.6">
      <c r="A456" s="183" t="s">
        <v>694</v>
      </c>
      <c r="B456" s="183" t="s">
        <v>394</v>
      </c>
      <c r="C456" s="183" t="s">
        <v>394</v>
      </c>
      <c r="D456" s="184" t="s">
        <v>1166</v>
      </c>
      <c r="E456" s="183" t="s">
        <v>696</v>
      </c>
      <c r="F456" s="183" t="s">
        <v>697</v>
      </c>
      <c r="G456" s="183" t="s">
        <v>698</v>
      </c>
      <c r="H456" s="183" t="s">
        <v>5</v>
      </c>
      <c r="I456" s="183" t="s">
        <v>729</v>
      </c>
      <c r="J456" s="188">
        <v>46287</v>
      </c>
      <c r="K456" s="183" t="s">
        <v>1990</v>
      </c>
      <c r="L456" s="183" t="s">
        <v>408</v>
      </c>
      <c r="M456" s="183" t="s">
        <v>1941</v>
      </c>
      <c r="N456" s="185">
        <v>9</v>
      </c>
      <c r="O456" s="186">
        <v>8</v>
      </c>
      <c r="P456" s="185">
        <v>28</v>
      </c>
      <c r="Q456" s="185">
        <v>9</v>
      </c>
      <c r="R456" s="183" t="s">
        <v>702</v>
      </c>
      <c r="S456" s="185">
        <v>508</v>
      </c>
      <c r="T456" s="189">
        <f t="shared" si="8"/>
        <v>8.4666666666666668</v>
      </c>
      <c r="U456" s="183" t="s">
        <v>703</v>
      </c>
      <c r="V456" s="183" t="s">
        <v>704</v>
      </c>
      <c r="W456" s="183" t="s">
        <v>1991</v>
      </c>
      <c r="X456" s="183"/>
      <c r="Y456" s="183"/>
      <c r="Z456" s="183" t="s">
        <v>733</v>
      </c>
      <c r="AA456" s="183" t="s">
        <v>734</v>
      </c>
      <c r="AB456" s="183"/>
      <c r="AC456" s="183"/>
      <c r="AD456" s="183" t="s">
        <v>1992</v>
      </c>
      <c r="AE456" s="183" t="s">
        <v>1617</v>
      </c>
    </row>
    <row r="457" spans="1:31" ht="27.6">
      <c r="A457" s="183" t="s">
        <v>694</v>
      </c>
      <c r="B457" s="183" t="s">
        <v>410</v>
      </c>
      <c r="C457" s="183" t="s">
        <v>410</v>
      </c>
      <c r="D457" s="184" t="s">
        <v>830</v>
      </c>
      <c r="E457" s="183" t="s">
        <v>696</v>
      </c>
      <c r="F457" s="183" t="s">
        <v>697</v>
      </c>
      <c r="G457" s="183" t="s">
        <v>698</v>
      </c>
      <c r="H457" s="183" t="s">
        <v>4</v>
      </c>
      <c r="I457" s="183" t="s">
        <v>729</v>
      </c>
      <c r="J457" s="188">
        <v>46287</v>
      </c>
      <c r="K457" s="183" t="s">
        <v>1993</v>
      </c>
      <c r="L457" s="183" t="s">
        <v>409</v>
      </c>
      <c r="M457" s="183" t="s">
        <v>1994</v>
      </c>
      <c r="N457" s="185">
        <v>9</v>
      </c>
      <c r="O457" s="186">
        <v>4</v>
      </c>
      <c r="P457" s="185">
        <v>4</v>
      </c>
      <c r="Q457" s="185">
        <v>4</v>
      </c>
      <c r="R457" s="183" t="s">
        <v>702</v>
      </c>
      <c r="S457" s="185">
        <v>244</v>
      </c>
      <c r="T457" s="189">
        <f t="shared" si="8"/>
        <v>4.0666666666666664</v>
      </c>
      <c r="U457" s="183" t="s">
        <v>703</v>
      </c>
      <c r="V457" s="183" t="s">
        <v>704</v>
      </c>
      <c r="W457" s="183" t="s">
        <v>1995</v>
      </c>
      <c r="X457" s="183"/>
      <c r="Y457" s="183"/>
      <c r="Z457" s="183" t="s">
        <v>733</v>
      </c>
      <c r="AA457" s="183" t="s">
        <v>734</v>
      </c>
      <c r="AB457" s="183" t="s">
        <v>1051</v>
      </c>
      <c r="AC457" s="183"/>
      <c r="AD457" s="183" t="s">
        <v>1996</v>
      </c>
      <c r="AE457" s="183" t="s">
        <v>741</v>
      </c>
    </row>
    <row r="458" spans="1:31" ht="27.6">
      <c r="A458" s="183" t="s">
        <v>694</v>
      </c>
      <c r="B458" s="183" t="s">
        <v>410</v>
      </c>
      <c r="C458" s="183" t="s">
        <v>410</v>
      </c>
      <c r="D458" s="184" t="s">
        <v>1047</v>
      </c>
      <c r="E458" s="183" t="s">
        <v>696</v>
      </c>
      <c r="F458" s="183" t="s">
        <v>697</v>
      </c>
      <c r="G458" s="183" t="s">
        <v>698</v>
      </c>
      <c r="H458" s="183" t="s">
        <v>4</v>
      </c>
      <c r="I458" s="183" t="s">
        <v>729</v>
      </c>
      <c r="J458" s="188">
        <v>46287</v>
      </c>
      <c r="K458" s="183" t="s">
        <v>1997</v>
      </c>
      <c r="L458" s="183" t="s">
        <v>411</v>
      </c>
      <c r="M458" s="183" t="s">
        <v>1998</v>
      </c>
      <c r="N458" s="185">
        <v>9</v>
      </c>
      <c r="O458" s="186">
        <v>8</v>
      </c>
      <c r="P458" s="185">
        <v>8</v>
      </c>
      <c r="Q458" s="185">
        <v>9</v>
      </c>
      <c r="R458" s="183" t="s">
        <v>702</v>
      </c>
      <c r="S458" s="185">
        <v>488</v>
      </c>
      <c r="T458" s="189">
        <f t="shared" si="8"/>
        <v>8.1333333333333329</v>
      </c>
      <c r="U458" s="183" t="s">
        <v>703</v>
      </c>
      <c r="V458" s="183" t="s">
        <v>704</v>
      </c>
      <c r="W458" s="183" t="s">
        <v>1999</v>
      </c>
      <c r="X458" s="183"/>
      <c r="Y458" s="183"/>
      <c r="Z458" s="183" t="s">
        <v>733</v>
      </c>
      <c r="AA458" s="183" t="s">
        <v>734</v>
      </c>
      <c r="AB458" s="183"/>
      <c r="AC458" s="183"/>
      <c r="AD458" s="183" t="s">
        <v>2000</v>
      </c>
      <c r="AE458" s="183" t="s">
        <v>800</v>
      </c>
    </row>
    <row r="459" spans="1:31" ht="27.6">
      <c r="A459" s="183" t="s">
        <v>694</v>
      </c>
      <c r="B459" s="183" t="s">
        <v>410</v>
      </c>
      <c r="C459" s="183" t="s">
        <v>410</v>
      </c>
      <c r="D459" s="184" t="s">
        <v>1047</v>
      </c>
      <c r="E459" s="183" t="s">
        <v>696</v>
      </c>
      <c r="F459" s="183" t="s">
        <v>697</v>
      </c>
      <c r="G459" s="183" t="s">
        <v>698</v>
      </c>
      <c r="H459" s="183" t="s">
        <v>4</v>
      </c>
      <c r="I459" s="183" t="s">
        <v>729</v>
      </c>
      <c r="J459" s="188">
        <v>46287</v>
      </c>
      <c r="K459" s="183" t="s">
        <v>2001</v>
      </c>
      <c r="L459" s="183" t="s">
        <v>412</v>
      </c>
      <c r="M459" s="183" t="s">
        <v>2002</v>
      </c>
      <c r="N459" s="185">
        <v>9</v>
      </c>
      <c r="O459" s="186">
        <v>9</v>
      </c>
      <c r="P459" s="185">
        <v>53</v>
      </c>
      <c r="Q459" s="185">
        <v>10</v>
      </c>
      <c r="R459" s="183" t="s">
        <v>702</v>
      </c>
      <c r="S459" s="185">
        <v>593</v>
      </c>
      <c r="T459" s="189">
        <f t="shared" si="8"/>
        <v>9.8833333333333329</v>
      </c>
      <c r="U459" s="183" t="s">
        <v>703</v>
      </c>
      <c r="V459" s="183" t="s">
        <v>704</v>
      </c>
      <c r="W459" s="183" t="s">
        <v>2003</v>
      </c>
      <c r="X459" s="183"/>
      <c r="Y459" s="183"/>
      <c r="Z459" s="183" t="s">
        <v>733</v>
      </c>
      <c r="AA459" s="183" t="s">
        <v>734</v>
      </c>
      <c r="AB459" s="183"/>
      <c r="AC459" s="183"/>
      <c r="AD459" s="183" t="s">
        <v>2004</v>
      </c>
      <c r="AE459" s="183" t="s">
        <v>800</v>
      </c>
    </row>
    <row r="460" spans="1:31" ht="27.6">
      <c r="A460" s="183" t="s">
        <v>694</v>
      </c>
      <c r="B460" s="183" t="s">
        <v>410</v>
      </c>
      <c r="C460" s="183" t="s">
        <v>410</v>
      </c>
      <c r="D460" s="184" t="s">
        <v>1047</v>
      </c>
      <c r="E460" s="183" t="s">
        <v>696</v>
      </c>
      <c r="F460" s="183" t="s">
        <v>697</v>
      </c>
      <c r="G460" s="183" t="s">
        <v>698</v>
      </c>
      <c r="H460" s="183" t="s">
        <v>4</v>
      </c>
      <c r="I460" s="183" t="s">
        <v>729</v>
      </c>
      <c r="J460" s="188">
        <v>46287</v>
      </c>
      <c r="K460" s="183" t="s">
        <v>2005</v>
      </c>
      <c r="L460" s="183" t="s">
        <v>413</v>
      </c>
      <c r="M460" s="183" t="s">
        <v>1994</v>
      </c>
      <c r="N460" s="185">
        <v>9</v>
      </c>
      <c r="O460" s="186">
        <v>2</v>
      </c>
      <c r="P460" s="185">
        <v>55</v>
      </c>
      <c r="Q460" s="185">
        <v>3</v>
      </c>
      <c r="R460" s="183" t="s">
        <v>702</v>
      </c>
      <c r="S460" s="185">
        <v>175</v>
      </c>
      <c r="T460" s="189">
        <f t="shared" si="8"/>
        <v>2.9166666666666665</v>
      </c>
      <c r="U460" s="183" t="s">
        <v>703</v>
      </c>
      <c r="V460" s="183" t="s">
        <v>704</v>
      </c>
      <c r="W460" s="183" t="s">
        <v>2006</v>
      </c>
      <c r="X460" s="183"/>
      <c r="Y460" s="183"/>
      <c r="Z460" s="183" t="s">
        <v>733</v>
      </c>
      <c r="AA460" s="183" t="s">
        <v>734</v>
      </c>
      <c r="AB460" s="183" t="s">
        <v>944</v>
      </c>
      <c r="AC460" s="183"/>
      <c r="AD460" s="183" t="s">
        <v>2007</v>
      </c>
      <c r="AE460" s="183" t="s">
        <v>806</v>
      </c>
    </row>
    <row r="461" spans="1:31" ht="27.6" hidden="1">
      <c r="A461" s="183" t="s">
        <v>694</v>
      </c>
      <c r="B461" s="183" t="s">
        <v>410</v>
      </c>
      <c r="C461" s="183" t="s">
        <v>410</v>
      </c>
      <c r="D461" s="184" t="s">
        <v>1047</v>
      </c>
      <c r="E461" s="183" t="s">
        <v>696</v>
      </c>
      <c r="F461" s="183" t="s">
        <v>697</v>
      </c>
      <c r="G461" s="183" t="s">
        <v>698</v>
      </c>
      <c r="H461" s="183" t="s">
        <v>4</v>
      </c>
      <c r="I461" s="183" t="s">
        <v>729</v>
      </c>
      <c r="J461" s="188">
        <v>46294</v>
      </c>
      <c r="K461" s="183" t="s">
        <v>2008</v>
      </c>
      <c r="L461" s="183" t="s">
        <v>212</v>
      </c>
      <c r="M461" s="183" t="s">
        <v>802</v>
      </c>
      <c r="N461" s="185">
        <v>2</v>
      </c>
      <c r="O461" s="186">
        <v>61</v>
      </c>
      <c r="P461" s="185">
        <v>0</v>
      </c>
      <c r="Q461" s="185">
        <v>61</v>
      </c>
      <c r="R461" s="183" t="s">
        <v>702</v>
      </c>
      <c r="S461" s="185">
        <v>3660</v>
      </c>
      <c r="T461" s="189">
        <f t="shared" si="8"/>
        <v>61</v>
      </c>
      <c r="U461" s="183" t="s">
        <v>703</v>
      </c>
      <c r="V461" s="183" t="s">
        <v>526</v>
      </c>
      <c r="W461" s="183"/>
      <c r="X461" s="183"/>
      <c r="Y461" s="183"/>
      <c r="Z461" s="183" t="s">
        <v>803</v>
      </c>
      <c r="AA461" s="183" t="s">
        <v>804</v>
      </c>
      <c r="AB461" s="183"/>
      <c r="AC461" s="183"/>
      <c r="AD461" s="183" t="s">
        <v>2009</v>
      </c>
      <c r="AE461" s="183" t="s">
        <v>800</v>
      </c>
    </row>
    <row r="462" spans="1:31" ht="27.6">
      <c r="A462" s="183" t="s">
        <v>694</v>
      </c>
      <c r="B462" s="183" t="s">
        <v>410</v>
      </c>
      <c r="C462" s="183" t="s">
        <v>410</v>
      </c>
      <c r="D462" s="184" t="s">
        <v>1047</v>
      </c>
      <c r="E462" s="183" t="s">
        <v>696</v>
      </c>
      <c r="F462" s="183" t="s">
        <v>697</v>
      </c>
      <c r="G462" s="183" t="s">
        <v>698</v>
      </c>
      <c r="H462" s="183" t="s">
        <v>8</v>
      </c>
      <c r="I462" s="183" t="s">
        <v>729</v>
      </c>
      <c r="J462" s="188">
        <v>46287</v>
      </c>
      <c r="K462" s="183" t="s">
        <v>2010</v>
      </c>
      <c r="L462" s="183" t="s">
        <v>414</v>
      </c>
      <c r="M462" s="183" t="s">
        <v>2011</v>
      </c>
      <c r="N462" s="185">
        <v>9</v>
      </c>
      <c r="O462" s="186">
        <v>4</v>
      </c>
      <c r="P462" s="185">
        <v>22</v>
      </c>
      <c r="Q462" s="185">
        <v>5</v>
      </c>
      <c r="R462" s="183" t="s">
        <v>702</v>
      </c>
      <c r="S462" s="185">
        <v>262</v>
      </c>
      <c r="T462" s="189">
        <f t="shared" si="8"/>
        <v>4.3666666666666663</v>
      </c>
      <c r="U462" s="183" t="s">
        <v>703</v>
      </c>
      <c r="V462" s="183" t="s">
        <v>704</v>
      </c>
      <c r="W462" s="183" t="s">
        <v>2012</v>
      </c>
      <c r="X462" s="183"/>
      <c r="Y462" s="183"/>
      <c r="Z462" s="183" t="s">
        <v>733</v>
      </c>
      <c r="AA462" s="183" t="s">
        <v>734</v>
      </c>
      <c r="AB462" s="183"/>
      <c r="AC462" s="183"/>
      <c r="AD462" s="183" t="s">
        <v>2013</v>
      </c>
      <c r="AE462" s="183" t="s">
        <v>806</v>
      </c>
    </row>
    <row r="463" spans="1:31" ht="27.6">
      <c r="A463" s="183" t="s">
        <v>694</v>
      </c>
      <c r="B463" s="183" t="s">
        <v>410</v>
      </c>
      <c r="C463" s="183" t="s">
        <v>410</v>
      </c>
      <c r="D463" s="184" t="s">
        <v>1047</v>
      </c>
      <c r="E463" s="183" t="s">
        <v>696</v>
      </c>
      <c r="F463" s="183" t="s">
        <v>697</v>
      </c>
      <c r="G463" s="183" t="s">
        <v>698</v>
      </c>
      <c r="H463" s="183" t="s">
        <v>5</v>
      </c>
      <c r="I463" s="183" t="s">
        <v>729</v>
      </c>
      <c r="J463" s="188">
        <v>46287</v>
      </c>
      <c r="K463" s="183" t="s">
        <v>2014</v>
      </c>
      <c r="L463" s="183" t="s">
        <v>415</v>
      </c>
      <c r="M463" s="183" t="s">
        <v>2011</v>
      </c>
      <c r="N463" s="185">
        <v>9</v>
      </c>
      <c r="O463" s="186">
        <v>21</v>
      </c>
      <c r="P463" s="185">
        <v>45</v>
      </c>
      <c r="Q463" s="185">
        <v>22</v>
      </c>
      <c r="R463" s="183" t="s">
        <v>702</v>
      </c>
      <c r="S463" s="185">
        <v>1305</v>
      </c>
      <c r="T463" s="189">
        <f t="shared" si="8"/>
        <v>21.75</v>
      </c>
      <c r="U463" s="183" t="s">
        <v>703</v>
      </c>
      <c r="V463" s="183" t="s">
        <v>704</v>
      </c>
      <c r="W463" s="183" t="s">
        <v>2015</v>
      </c>
      <c r="X463" s="183"/>
      <c r="Y463" s="183"/>
      <c r="Z463" s="183" t="s">
        <v>733</v>
      </c>
      <c r="AA463" s="183" t="s">
        <v>734</v>
      </c>
      <c r="AB463" s="183"/>
      <c r="AC463" s="183"/>
      <c r="AD463" s="183" t="s">
        <v>2016</v>
      </c>
      <c r="AE463" s="183" t="s">
        <v>1057</v>
      </c>
    </row>
    <row r="464" spans="1:31" ht="27.6">
      <c r="A464" s="183" t="s">
        <v>694</v>
      </c>
      <c r="B464" s="183" t="s">
        <v>410</v>
      </c>
      <c r="C464" s="183" t="s">
        <v>410</v>
      </c>
      <c r="D464" s="184" t="s">
        <v>1229</v>
      </c>
      <c r="E464" s="183" t="s">
        <v>696</v>
      </c>
      <c r="F464" s="183" t="s">
        <v>697</v>
      </c>
      <c r="G464" s="183" t="s">
        <v>698</v>
      </c>
      <c r="H464" s="183" t="s">
        <v>4</v>
      </c>
      <c r="I464" s="183" t="s">
        <v>729</v>
      </c>
      <c r="J464" s="188">
        <v>46287</v>
      </c>
      <c r="K464" s="183" t="s">
        <v>2017</v>
      </c>
      <c r="L464" s="183" t="s">
        <v>416</v>
      </c>
      <c r="M464" s="183" t="s">
        <v>2018</v>
      </c>
      <c r="N464" s="185">
        <v>9</v>
      </c>
      <c r="O464" s="186">
        <v>8</v>
      </c>
      <c r="P464" s="185">
        <v>4</v>
      </c>
      <c r="Q464" s="185">
        <v>8</v>
      </c>
      <c r="R464" s="183" t="s">
        <v>702</v>
      </c>
      <c r="S464" s="185">
        <v>484</v>
      </c>
      <c r="T464" s="189">
        <f t="shared" si="8"/>
        <v>8.0666666666666664</v>
      </c>
      <c r="U464" s="183" t="s">
        <v>703</v>
      </c>
      <c r="V464" s="183" t="s">
        <v>704</v>
      </c>
      <c r="W464" s="183" t="s">
        <v>2019</v>
      </c>
      <c r="X464" s="183"/>
      <c r="Y464" s="183"/>
      <c r="Z464" s="183" t="s">
        <v>733</v>
      </c>
      <c r="AA464" s="183" t="s">
        <v>734</v>
      </c>
      <c r="AB464" s="183"/>
      <c r="AC464" s="183"/>
      <c r="AD464" s="183" t="s">
        <v>2020</v>
      </c>
      <c r="AE464" s="183" t="s">
        <v>1936</v>
      </c>
    </row>
    <row r="465" spans="1:31" ht="27.6">
      <c r="A465" s="183" t="s">
        <v>694</v>
      </c>
      <c r="B465" s="183" t="s">
        <v>410</v>
      </c>
      <c r="C465" s="183" t="s">
        <v>410</v>
      </c>
      <c r="D465" s="184" t="s">
        <v>1229</v>
      </c>
      <c r="E465" s="183" t="s">
        <v>696</v>
      </c>
      <c r="F465" s="183" t="s">
        <v>697</v>
      </c>
      <c r="G465" s="183" t="s">
        <v>698</v>
      </c>
      <c r="H465" s="183" t="s">
        <v>4</v>
      </c>
      <c r="I465" s="183" t="s">
        <v>729</v>
      </c>
      <c r="J465" s="188">
        <v>46287</v>
      </c>
      <c r="K465" s="183" t="s">
        <v>2021</v>
      </c>
      <c r="L465" s="183" t="s">
        <v>81</v>
      </c>
      <c r="M465" s="183" t="s">
        <v>921</v>
      </c>
      <c r="N465" s="185">
        <v>9</v>
      </c>
      <c r="O465" s="186">
        <v>12</v>
      </c>
      <c r="P465" s="185">
        <v>58</v>
      </c>
      <c r="Q465" s="185">
        <v>13</v>
      </c>
      <c r="R465" s="183" t="s">
        <v>702</v>
      </c>
      <c r="S465" s="185">
        <v>778</v>
      </c>
      <c r="T465" s="189">
        <f t="shared" si="8"/>
        <v>12.966666666666667</v>
      </c>
      <c r="U465" s="183" t="s">
        <v>703</v>
      </c>
      <c r="V465" s="183" t="s">
        <v>704</v>
      </c>
      <c r="W465" s="183" t="s">
        <v>2022</v>
      </c>
      <c r="X465" s="183"/>
      <c r="Y465" s="183"/>
      <c r="Z465" s="183" t="s">
        <v>733</v>
      </c>
      <c r="AA465" s="183" t="s">
        <v>734</v>
      </c>
      <c r="AB465" s="183"/>
      <c r="AC465" s="183"/>
      <c r="AD465" s="183" t="s">
        <v>2023</v>
      </c>
      <c r="AE465" s="183" t="s">
        <v>1936</v>
      </c>
    </row>
    <row r="466" spans="1:31" ht="27.6">
      <c r="A466" s="183" t="s">
        <v>694</v>
      </c>
      <c r="B466" s="183" t="s">
        <v>410</v>
      </c>
      <c r="C466" s="183" t="s">
        <v>410</v>
      </c>
      <c r="D466" s="184" t="s">
        <v>1157</v>
      </c>
      <c r="E466" s="183" t="s">
        <v>696</v>
      </c>
      <c r="F466" s="183" t="s">
        <v>697</v>
      </c>
      <c r="G466" s="183" t="s">
        <v>698</v>
      </c>
      <c r="H466" s="183" t="s">
        <v>8</v>
      </c>
      <c r="I466" s="183" t="s">
        <v>729</v>
      </c>
      <c r="J466" s="188">
        <v>46287</v>
      </c>
      <c r="K466" s="183" t="s">
        <v>2024</v>
      </c>
      <c r="L466" s="183" t="s">
        <v>417</v>
      </c>
      <c r="M466" s="183" t="s">
        <v>2011</v>
      </c>
      <c r="N466" s="185">
        <v>9</v>
      </c>
      <c r="O466" s="186">
        <v>6</v>
      </c>
      <c r="P466" s="185">
        <v>47</v>
      </c>
      <c r="Q466" s="185">
        <v>7</v>
      </c>
      <c r="R466" s="183" t="s">
        <v>702</v>
      </c>
      <c r="S466" s="185">
        <v>407</v>
      </c>
      <c r="T466" s="189">
        <f t="shared" si="8"/>
        <v>6.7833333333333332</v>
      </c>
      <c r="U466" s="183" t="s">
        <v>703</v>
      </c>
      <c r="V466" s="183" t="s">
        <v>704</v>
      </c>
      <c r="W466" s="183" t="s">
        <v>2025</v>
      </c>
      <c r="X466" s="183"/>
      <c r="Y466" s="183"/>
      <c r="Z466" s="183" t="s">
        <v>733</v>
      </c>
      <c r="AA466" s="183" t="s">
        <v>734</v>
      </c>
      <c r="AB466" s="183"/>
      <c r="AC466" s="183"/>
      <c r="AD466" s="183" t="s">
        <v>2026</v>
      </c>
      <c r="AE466" s="183" t="s">
        <v>1948</v>
      </c>
    </row>
    <row r="467" spans="1:31" ht="27.6">
      <c r="A467" s="183" t="s">
        <v>694</v>
      </c>
      <c r="B467" s="183" t="s">
        <v>419</v>
      </c>
      <c r="C467" s="183" t="s">
        <v>419</v>
      </c>
      <c r="D467" s="184" t="s">
        <v>1047</v>
      </c>
      <c r="E467" s="183" t="s">
        <v>696</v>
      </c>
      <c r="F467" s="183" t="s">
        <v>697</v>
      </c>
      <c r="G467" s="183" t="s">
        <v>698</v>
      </c>
      <c r="H467" s="183" t="s">
        <v>7</v>
      </c>
      <c r="I467" s="183" t="s">
        <v>729</v>
      </c>
      <c r="J467" s="188">
        <v>46287</v>
      </c>
      <c r="K467" s="183" t="s">
        <v>2027</v>
      </c>
      <c r="L467" s="183" t="s">
        <v>418</v>
      </c>
      <c r="M467" s="183" t="s">
        <v>2028</v>
      </c>
      <c r="N467" s="185">
        <v>9</v>
      </c>
      <c r="O467" s="186">
        <v>3</v>
      </c>
      <c r="P467" s="185">
        <v>13</v>
      </c>
      <c r="Q467" s="185">
        <v>4</v>
      </c>
      <c r="R467" s="183" t="s">
        <v>702</v>
      </c>
      <c r="S467" s="185">
        <v>193</v>
      </c>
      <c r="T467" s="189">
        <f t="shared" si="8"/>
        <v>3.2166666666666668</v>
      </c>
      <c r="U467" s="183" t="s">
        <v>703</v>
      </c>
      <c r="V467" s="183" t="s">
        <v>704</v>
      </c>
      <c r="W467" s="183" t="s">
        <v>2029</v>
      </c>
      <c r="X467" s="183"/>
      <c r="Y467" s="183"/>
      <c r="Z467" s="183" t="s">
        <v>733</v>
      </c>
      <c r="AA467" s="183" t="s">
        <v>734</v>
      </c>
      <c r="AB467" s="183"/>
      <c r="AC467" s="183"/>
      <c r="AD467" s="183" t="s">
        <v>2030</v>
      </c>
      <c r="AE467" s="183" t="s">
        <v>800</v>
      </c>
    </row>
    <row r="468" spans="1:31" ht="27.6" hidden="1">
      <c r="A468" s="183" t="s">
        <v>694</v>
      </c>
      <c r="B468" s="183" t="s">
        <v>421</v>
      </c>
      <c r="C468" s="183" t="s">
        <v>421</v>
      </c>
      <c r="D468" s="184" t="s">
        <v>1047</v>
      </c>
      <c r="E468" s="183" t="s">
        <v>696</v>
      </c>
      <c r="F468" s="183" t="s">
        <v>697</v>
      </c>
      <c r="G468" s="183" t="s">
        <v>698</v>
      </c>
      <c r="H468" s="183" t="s">
        <v>4</v>
      </c>
      <c r="I468" s="183" t="s">
        <v>729</v>
      </c>
      <c r="J468" s="188">
        <v>46133</v>
      </c>
      <c r="K468" s="183" t="s">
        <v>2031</v>
      </c>
      <c r="L468" s="183" t="s">
        <v>420</v>
      </c>
      <c r="M468" s="183" t="s">
        <v>2032</v>
      </c>
      <c r="N468" s="185">
        <v>163</v>
      </c>
      <c r="O468" s="186">
        <v>0</v>
      </c>
      <c r="P468" s="185">
        <v>4</v>
      </c>
      <c r="Q468" s="185">
        <v>1</v>
      </c>
      <c r="R468" s="183" t="s">
        <v>702</v>
      </c>
      <c r="S468" s="185">
        <v>4</v>
      </c>
      <c r="T468" s="189">
        <f t="shared" si="8"/>
        <v>6.6666666666666666E-2</v>
      </c>
      <c r="U468" s="183" t="s">
        <v>703</v>
      </c>
      <c r="V468" s="183" t="s">
        <v>704</v>
      </c>
      <c r="W468" s="183" t="s">
        <v>2033</v>
      </c>
      <c r="X468" s="183"/>
      <c r="Y468" s="183"/>
      <c r="Z468" s="183" t="s">
        <v>733</v>
      </c>
      <c r="AA468" s="183" t="s">
        <v>734</v>
      </c>
      <c r="AB468" s="183"/>
      <c r="AC468" s="183"/>
      <c r="AD468" s="183" t="s">
        <v>2034</v>
      </c>
      <c r="AE468" s="183" t="s">
        <v>1057</v>
      </c>
    </row>
    <row r="469" spans="1:31" ht="27.6" hidden="1">
      <c r="A469" s="183" t="s">
        <v>694</v>
      </c>
      <c r="B469" s="183" t="s">
        <v>421</v>
      </c>
      <c r="C469" s="183" t="s">
        <v>421</v>
      </c>
      <c r="D469" s="184" t="s">
        <v>1047</v>
      </c>
      <c r="E469" s="183" t="s">
        <v>696</v>
      </c>
      <c r="F469" s="183" t="s">
        <v>697</v>
      </c>
      <c r="G469" s="183" t="s">
        <v>698</v>
      </c>
      <c r="H469" s="183" t="s">
        <v>4</v>
      </c>
      <c r="I469" s="183" t="s">
        <v>729</v>
      </c>
      <c r="J469" s="188">
        <v>46133</v>
      </c>
      <c r="K469" s="183" t="s">
        <v>2035</v>
      </c>
      <c r="L469" s="183" t="s">
        <v>422</v>
      </c>
      <c r="M469" s="183" t="s">
        <v>2032</v>
      </c>
      <c r="N469" s="185">
        <v>163</v>
      </c>
      <c r="O469" s="186">
        <v>0</v>
      </c>
      <c r="P469" s="185">
        <v>10</v>
      </c>
      <c r="Q469" s="185">
        <v>1</v>
      </c>
      <c r="R469" s="183" t="s">
        <v>702</v>
      </c>
      <c r="S469" s="185">
        <v>10</v>
      </c>
      <c r="T469" s="189">
        <f t="shared" si="8"/>
        <v>0.16666666666666666</v>
      </c>
      <c r="U469" s="183" t="s">
        <v>703</v>
      </c>
      <c r="V469" s="183" t="s">
        <v>704</v>
      </c>
      <c r="W469" s="183" t="s">
        <v>2036</v>
      </c>
      <c r="X469" s="183"/>
      <c r="Y469" s="183"/>
      <c r="Z469" s="183" t="s">
        <v>733</v>
      </c>
      <c r="AA469" s="183" t="s">
        <v>734</v>
      </c>
      <c r="AB469" s="183"/>
      <c r="AC469" s="183"/>
      <c r="AD469" s="183" t="s">
        <v>2037</v>
      </c>
      <c r="AE469" s="183" t="s">
        <v>1057</v>
      </c>
    </row>
    <row r="470" spans="1:31" ht="27.6">
      <c r="A470" s="183" t="s">
        <v>694</v>
      </c>
      <c r="B470" s="183" t="s">
        <v>421</v>
      </c>
      <c r="C470" s="183" t="s">
        <v>421</v>
      </c>
      <c r="D470" s="184" t="s">
        <v>1047</v>
      </c>
      <c r="E470" s="183" t="s">
        <v>696</v>
      </c>
      <c r="F470" s="183" t="s">
        <v>697</v>
      </c>
      <c r="G470" s="183" t="s">
        <v>698</v>
      </c>
      <c r="H470" s="183" t="s">
        <v>4</v>
      </c>
      <c r="I470" s="183" t="s">
        <v>729</v>
      </c>
      <c r="J470" s="188">
        <v>46287</v>
      </c>
      <c r="K470" s="183" t="s">
        <v>2038</v>
      </c>
      <c r="L470" s="183" t="s">
        <v>423</v>
      </c>
      <c r="M470" s="183" t="s">
        <v>921</v>
      </c>
      <c r="N470" s="185">
        <v>9</v>
      </c>
      <c r="O470" s="186">
        <v>38</v>
      </c>
      <c r="P470" s="185">
        <v>1</v>
      </c>
      <c r="Q470" s="185">
        <v>38</v>
      </c>
      <c r="R470" s="183" t="s">
        <v>702</v>
      </c>
      <c r="S470" s="185">
        <v>2281</v>
      </c>
      <c r="T470" s="189">
        <f t="shared" si="8"/>
        <v>38.016666666666666</v>
      </c>
      <c r="U470" s="183" t="s">
        <v>703</v>
      </c>
      <c r="V470" s="183" t="s">
        <v>704</v>
      </c>
      <c r="W470" s="183" t="s">
        <v>2039</v>
      </c>
      <c r="X470" s="183"/>
      <c r="Y470" s="183"/>
      <c r="Z470" s="183" t="s">
        <v>733</v>
      </c>
      <c r="AA470" s="183" t="s">
        <v>734</v>
      </c>
      <c r="AB470" s="183"/>
      <c r="AC470" s="183"/>
      <c r="AD470" s="183" t="s">
        <v>2040</v>
      </c>
      <c r="AE470" s="183" t="s">
        <v>1057</v>
      </c>
    </row>
    <row r="471" spans="1:31" ht="27.6">
      <c r="A471" s="183" t="s">
        <v>694</v>
      </c>
      <c r="B471" s="183" t="s">
        <v>421</v>
      </c>
      <c r="C471" s="183" t="s">
        <v>421</v>
      </c>
      <c r="D471" s="184" t="s">
        <v>1047</v>
      </c>
      <c r="E471" s="183" t="s">
        <v>696</v>
      </c>
      <c r="F471" s="183" t="s">
        <v>697</v>
      </c>
      <c r="G471" s="183" t="s">
        <v>698</v>
      </c>
      <c r="H471" s="183" t="s">
        <v>4</v>
      </c>
      <c r="I471" s="183" t="s">
        <v>729</v>
      </c>
      <c r="J471" s="188">
        <v>46287</v>
      </c>
      <c r="K471" s="183" t="s">
        <v>2041</v>
      </c>
      <c r="L471" s="183" t="s">
        <v>424</v>
      </c>
      <c r="M471" s="183" t="s">
        <v>763</v>
      </c>
      <c r="N471" s="185">
        <v>9</v>
      </c>
      <c r="O471" s="186">
        <v>8</v>
      </c>
      <c r="P471" s="185">
        <v>51</v>
      </c>
      <c r="Q471" s="185">
        <v>9</v>
      </c>
      <c r="R471" s="183" t="s">
        <v>702</v>
      </c>
      <c r="S471" s="185">
        <v>531</v>
      </c>
      <c r="T471" s="189">
        <f t="shared" si="8"/>
        <v>8.85</v>
      </c>
      <c r="U471" s="183" t="s">
        <v>703</v>
      </c>
      <c r="V471" s="183" t="s">
        <v>704</v>
      </c>
      <c r="W471" s="183" t="s">
        <v>2042</v>
      </c>
      <c r="X471" s="183"/>
      <c r="Y471" s="183"/>
      <c r="Z471" s="183" t="s">
        <v>733</v>
      </c>
      <c r="AA471" s="183" t="s">
        <v>734</v>
      </c>
      <c r="AB471" s="183" t="s">
        <v>940</v>
      </c>
      <c r="AC471" s="183"/>
      <c r="AD471" s="183" t="s">
        <v>2043</v>
      </c>
      <c r="AE471" s="183" t="s">
        <v>800</v>
      </c>
    </row>
    <row r="472" spans="1:31" ht="27.6">
      <c r="A472" s="183" t="s">
        <v>694</v>
      </c>
      <c r="B472" s="183" t="s">
        <v>421</v>
      </c>
      <c r="C472" s="183" t="s">
        <v>421</v>
      </c>
      <c r="D472" s="184" t="s">
        <v>1047</v>
      </c>
      <c r="E472" s="183" t="s">
        <v>696</v>
      </c>
      <c r="F472" s="183" t="s">
        <v>697</v>
      </c>
      <c r="G472" s="183" t="s">
        <v>698</v>
      </c>
      <c r="H472" s="183" t="s">
        <v>4</v>
      </c>
      <c r="I472" s="183" t="s">
        <v>729</v>
      </c>
      <c r="J472" s="188">
        <v>46287</v>
      </c>
      <c r="K472" s="183" t="s">
        <v>2044</v>
      </c>
      <c r="L472" s="183" t="s">
        <v>425</v>
      </c>
      <c r="M472" s="183" t="s">
        <v>2045</v>
      </c>
      <c r="N472" s="185">
        <v>9</v>
      </c>
      <c r="O472" s="186">
        <v>2</v>
      </c>
      <c r="P472" s="185">
        <v>57</v>
      </c>
      <c r="Q472" s="185">
        <v>3</v>
      </c>
      <c r="R472" s="183" t="s">
        <v>702</v>
      </c>
      <c r="S472" s="185">
        <v>177</v>
      </c>
      <c r="T472" s="189">
        <f t="shared" si="8"/>
        <v>2.95</v>
      </c>
      <c r="U472" s="183" t="s">
        <v>703</v>
      </c>
      <c r="V472" s="183" t="s">
        <v>704</v>
      </c>
      <c r="W472" s="183" t="s">
        <v>2046</v>
      </c>
      <c r="X472" s="183"/>
      <c r="Y472" s="183"/>
      <c r="Z472" s="183" t="s">
        <v>733</v>
      </c>
      <c r="AA472" s="183" t="s">
        <v>734</v>
      </c>
      <c r="AB472" s="183" t="s">
        <v>821</v>
      </c>
      <c r="AC472" s="183"/>
      <c r="AD472" s="183" t="s">
        <v>2047</v>
      </c>
      <c r="AE472" s="183" t="s">
        <v>1057</v>
      </c>
    </row>
    <row r="473" spans="1:31" ht="27.6">
      <c r="A473" s="183" t="s">
        <v>694</v>
      </c>
      <c r="B473" s="183" t="s">
        <v>421</v>
      </c>
      <c r="C473" s="183" t="s">
        <v>421</v>
      </c>
      <c r="D473" s="184" t="s">
        <v>1047</v>
      </c>
      <c r="E473" s="183" t="s">
        <v>696</v>
      </c>
      <c r="F473" s="183" t="s">
        <v>697</v>
      </c>
      <c r="G473" s="183" t="s">
        <v>698</v>
      </c>
      <c r="H473" s="183" t="s">
        <v>4</v>
      </c>
      <c r="I473" s="183" t="s">
        <v>729</v>
      </c>
      <c r="J473" s="188">
        <v>46287</v>
      </c>
      <c r="K473" s="183" t="s">
        <v>2048</v>
      </c>
      <c r="L473" s="183" t="s">
        <v>426</v>
      </c>
      <c r="M473" s="183" t="s">
        <v>2049</v>
      </c>
      <c r="N473" s="185">
        <v>9</v>
      </c>
      <c r="O473" s="186">
        <v>8</v>
      </c>
      <c r="P473" s="185">
        <v>52</v>
      </c>
      <c r="Q473" s="185">
        <v>9</v>
      </c>
      <c r="R473" s="183" t="s">
        <v>702</v>
      </c>
      <c r="S473" s="185">
        <v>532</v>
      </c>
      <c r="T473" s="189">
        <f t="shared" si="8"/>
        <v>8.8666666666666671</v>
      </c>
      <c r="U473" s="183" t="s">
        <v>703</v>
      </c>
      <c r="V473" s="183" t="s">
        <v>704</v>
      </c>
      <c r="W473" s="183" t="s">
        <v>2050</v>
      </c>
      <c r="X473" s="183"/>
      <c r="Y473" s="183"/>
      <c r="Z473" s="183" t="s">
        <v>733</v>
      </c>
      <c r="AA473" s="183" t="s">
        <v>734</v>
      </c>
      <c r="AB473" s="183"/>
      <c r="AC473" s="183"/>
      <c r="AD473" s="183" t="s">
        <v>2051</v>
      </c>
      <c r="AE473" s="183" t="s">
        <v>800</v>
      </c>
    </row>
    <row r="474" spans="1:31" ht="27.6">
      <c r="A474" s="183" t="s">
        <v>694</v>
      </c>
      <c r="B474" s="183" t="s">
        <v>421</v>
      </c>
      <c r="C474" s="183" t="s">
        <v>421</v>
      </c>
      <c r="D474" s="184" t="s">
        <v>1047</v>
      </c>
      <c r="E474" s="183" t="s">
        <v>696</v>
      </c>
      <c r="F474" s="183" t="s">
        <v>697</v>
      </c>
      <c r="G474" s="183" t="s">
        <v>698</v>
      </c>
      <c r="H474" s="183" t="s">
        <v>7</v>
      </c>
      <c r="I474" s="183" t="s">
        <v>729</v>
      </c>
      <c r="J474" s="188">
        <v>46287</v>
      </c>
      <c r="K474" s="183" t="s">
        <v>2052</v>
      </c>
      <c r="L474" s="183" t="s">
        <v>427</v>
      </c>
      <c r="M474" s="183" t="s">
        <v>2053</v>
      </c>
      <c r="N474" s="185">
        <v>9</v>
      </c>
      <c r="O474" s="186">
        <v>9</v>
      </c>
      <c r="P474" s="185">
        <v>4</v>
      </c>
      <c r="Q474" s="185">
        <v>9</v>
      </c>
      <c r="R474" s="183" t="s">
        <v>702</v>
      </c>
      <c r="S474" s="185">
        <v>544</v>
      </c>
      <c r="T474" s="189">
        <f t="shared" si="8"/>
        <v>9.0666666666666664</v>
      </c>
      <c r="U474" s="183" t="s">
        <v>703</v>
      </c>
      <c r="V474" s="183" t="s">
        <v>704</v>
      </c>
      <c r="W474" s="183" t="s">
        <v>2054</v>
      </c>
      <c r="X474" s="183"/>
      <c r="Y474" s="183"/>
      <c r="Z474" s="183" t="s">
        <v>733</v>
      </c>
      <c r="AA474" s="183" t="s">
        <v>734</v>
      </c>
      <c r="AB474" s="183" t="s">
        <v>940</v>
      </c>
      <c r="AC474" s="183"/>
      <c r="AD474" s="183" t="s">
        <v>2055</v>
      </c>
      <c r="AE474" s="183" t="s">
        <v>1057</v>
      </c>
    </row>
    <row r="475" spans="1:31" ht="27.6">
      <c r="A475" s="183" t="s">
        <v>694</v>
      </c>
      <c r="B475" s="183" t="s">
        <v>421</v>
      </c>
      <c r="C475" s="183" t="s">
        <v>421</v>
      </c>
      <c r="D475" s="184" t="s">
        <v>1047</v>
      </c>
      <c r="E475" s="183" t="s">
        <v>696</v>
      </c>
      <c r="F475" s="183" t="s">
        <v>697</v>
      </c>
      <c r="G475" s="183" t="s">
        <v>698</v>
      </c>
      <c r="H475" s="183" t="s">
        <v>6</v>
      </c>
      <c r="I475" s="183" t="s">
        <v>729</v>
      </c>
      <c r="J475" s="188">
        <v>46287</v>
      </c>
      <c r="K475" s="183" t="s">
        <v>2056</v>
      </c>
      <c r="L475" s="183" t="s">
        <v>428</v>
      </c>
      <c r="M475" s="183" t="s">
        <v>2057</v>
      </c>
      <c r="N475" s="185">
        <v>9</v>
      </c>
      <c r="O475" s="186">
        <v>3</v>
      </c>
      <c r="P475" s="185">
        <v>4</v>
      </c>
      <c r="Q475" s="185">
        <v>3</v>
      </c>
      <c r="R475" s="183" t="s">
        <v>702</v>
      </c>
      <c r="S475" s="185">
        <v>184</v>
      </c>
      <c r="T475" s="189">
        <f t="shared" si="8"/>
        <v>3.0666666666666669</v>
      </c>
      <c r="U475" s="183" t="s">
        <v>703</v>
      </c>
      <c r="V475" s="183" t="s">
        <v>704</v>
      </c>
      <c r="W475" s="183" t="s">
        <v>2058</v>
      </c>
      <c r="X475" s="183"/>
      <c r="Y475" s="183"/>
      <c r="Z475" s="183" t="s">
        <v>733</v>
      </c>
      <c r="AA475" s="183" t="s">
        <v>734</v>
      </c>
      <c r="AB475" s="183"/>
      <c r="AC475" s="183"/>
      <c r="AD475" s="183" t="s">
        <v>2059</v>
      </c>
      <c r="AE475" s="183" t="s">
        <v>1057</v>
      </c>
    </row>
    <row r="476" spans="1:31" ht="27.6">
      <c r="A476" s="183" t="s">
        <v>694</v>
      </c>
      <c r="B476" s="183" t="s">
        <v>430</v>
      </c>
      <c r="C476" s="183" t="s">
        <v>430</v>
      </c>
      <c r="D476" s="184" t="s">
        <v>1166</v>
      </c>
      <c r="E476" s="183" t="s">
        <v>696</v>
      </c>
      <c r="F476" s="183" t="s">
        <v>697</v>
      </c>
      <c r="G476" s="183" t="s">
        <v>698</v>
      </c>
      <c r="H476" s="183" t="s">
        <v>4</v>
      </c>
      <c r="I476" s="183" t="s">
        <v>729</v>
      </c>
      <c r="J476" s="188">
        <v>46287</v>
      </c>
      <c r="K476" s="183" t="s">
        <v>2060</v>
      </c>
      <c r="L476" s="183" t="s">
        <v>429</v>
      </c>
      <c r="M476" s="183" t="s">
        <v>2061</v>
      </c>
      <c r="N476" s="185">
        <v>9</v>
      </c>
      <c r="O476" s="186">
        <v>5</v>
      </c>
      <c r="P476" s="185">
        <v>47</v>
      </c>
      <c r="Q476" s="185">
        <v>6</v>
      </c>
      <c r="R476" s="183" t="s">
        <v>702</v>
      </c>
      <c r="S476" s="185">
        <v>347</v>
      </c>
      <c r="T476" s="189">
        <f t="shared" si="8"/>
        <v>5.7833333333333332</v>
      </c>
      <c r="U476" s="183" t="s">
        <v>703</v>
      </c>
      <c r="V476" s="183" t="s">
        <v>704</v>
      </c>
      <c r="W476" s="183" t="s">
        <v>2062</v>
      </c>
      <c r="X476" s="183"/>
      <c r="Y476" s="183"/>
      <c r="Z476" s="183" t="s">
        <v>733</v>
      </c>
      <c r="AA476" s="183" t="s">
        <v>734</v>
      </c>
      <c r="AB476" s="183"/>
      <c r="AC476" s="183"/>
      <c r="AD476" s="183" t="s">
        <v>2063</v>
      </c>
      <c r="AE476" s="183" t="s">
        <v>1617</v>
      </c>
    </row>
    <row r="477" spans="1:31" ht="27.6">
      <c r="A477" s="183" t="s">
        <v>694</v>
      </c>
      <c r="B477" s="183" t="s">
        <v>430</v>
      </c>
      <c r="C477" s="183" t="s">
        <v>430</v>
      </c>
      <c r="D477" s="184" t="s">
        <v>1166</v>
      </c>
      <c r="E477" s="183" t="s">
        <v>696</v>
      </c>
      <c r="F477" s="183" t="s">
        <v>697</v>
      </c>
      <c r="G477" s="183" t="s">
        <v>698</v>
      </c>
      <c r="H477" s="183" t="s">
        <v>4</v>
      </c>
      <c r="I477" s="183" t="s">
        <v>729</v>
      </c>
      <c r="J477" s="188">
        <v>46287</v>
      </c>
      <c r="K477" s="183" t="s">
        <v>2064</v>
      </c>
      <c r="L477" s="183" t="s">
        <v>431</v>
      </c>
      <c r="M477" s="183" t="s">
        <v>2065</v>
      </c>
      <c r="N477" s="185">
        <v>9</v>
      </c>
      <c r="O477" s="186">
        <v>4</v>
      </c>
      <c r="P477" s="185">
        <v>1</v>
      </c>
      <c r="Q477" s="185">
        <v>4</v>
      </c>
      <c r="R477" s="183" t="s">
        <v>702</v>
      </c>
      <c r="S477" s="185">
        <v>241</v>
      </c>
      <c r="T477" s="189">
        <f t="shared" si="8"/>
        <v>4.0166666666666666</v>
      </c>
      <c r="U477" s="183" t="s">
        <v>703</v>
      </c>
      <c r="V477" s="183" t="s">
        <v>704</v>
      </c>
      <c r="W477" s="183" t="s">
        <v>2066</v>
      </c>
      <c r="X477" s="183"/>
      <c r="Y477" s="183"/>
      <c r="Z477" s="183" t="s">
        <v>733</v>
      </c>
      <c r="AA477" s="183" t="s">
        <v>734</v>
      </c>
      <c r="AB477" s="183"/>
      <c r="AC477" s="183"/>
      <c r="AD477" s="183" t="s">
        <v>2067</v>
      </c>
      <c r="AE477" s="183" t="s">
        <v>1617</v>
      </c>
    </row>
    <row r="478" spans="1:31" ht="27.6">
      <c r="A478" s="183" t="s">
        <v>694</v>
      </c>
      <c r="B478" s="183" t="s">
        <v>430</v>
      </c>
      <c r="C478" s="183" t="s">
        <v>430</v>
      </c>
      <c r="D478" s="184" t="s">
        <v>1166</v>
      </c>
      <c r="E478" s="183" t="s">
        <v>696</v>
      </c>
      <c r="F478" s="183" t="s">
        <v>697</v>
      </c>
      <c r="G478" s="183" t="s">
        <v>698</v>
      </c>
      <c r="H478" s="183" t="s">
        <v>4</v>
      </c>
      <c r="I478" s="183" t="s">
        <v>729</v>
      </c>
      <c r="J478" s="188">
        <v>46287</v>
      </c>
      <c r="K478" s="183" t="s">
        <v>2068</v>
      </c>
      <c r="L478" s="183" t="s">
        <v>432</v>
      </c>
      <c r="M478" s="183" t="s">
        <v>1063</v>
      </c>
      <c r="N478" s="185">
        <v>9</v>
      </c>
      <c r="O478" s="186">
        <v>18</v>
      </c>
      <c r="P478" s="185">
        <v>30</v>
      </c>
      <c r="Q478" s="185">
        <v>19</v>
      </c>
      <c r="R478" s="183" t="s">
        <v>702</v>
      </c>
      <c r="S478" s="185">
        <v>1110</v>
      </c>
      <c r="T478" s="189">
        <f t="shared" si="8"/>
        <v>18.5</v>
      </c>
      <c r="U478" s="183" t="s">
        <v>703</v>
      </c>
      <c r="V478" s="183" t="s">
        <v>704</v>
      </c>
      <c r="W478" s="183" t="s">
        <v>2069</v>
      </c>
      <c r="X478" s="183"/>
      <c r="Y478" s="183"/>
      <c r="Z478" s="183" t="s">
        <v>733</v>
      </c>
      <c r="AA478" s="183" t="s">
        <v>734</v>
      </c>
      <c r="AB478" s="183"/>
      <c r="AC478" s="183"/>
      <c r="AD478" s="183" t="s">
        <v>2070</v>
      </c>
      <c r="AE478" s="183" t="s">
        <v>1617</v>
      </c>
    </row>
    <row r="479" spans="1:31" ht="27.6" hidden="1">
      <c r="A479" s="183" t="s">
        <v>694</v>
      </c>
      <c r="B479" s="183" t="s">
        <v>430</v>
      </c>
      <c r="C479" s="183" t="s">
        <v>430</v>
      </c>
      <c r="D479" s="184" t="s">
        <v>1166</v>
      </c>
      <c r="E479" s="183" t="s">
        <v>696</v>
      </c>
      <c r="F479" s="183" t="s">
        <v>697</v>
      </c>
      <c r="G479" s="183" t="s">
        <v>698</v>
      </c>
      <c r="H479" s="183" t="s">
        <v>1</v>
      </c>
      <c r="I479" s="183" t="s">
        <v>2071</v>
      </c>
      <c r="J479" s="188">
        <v>46265</v>
      </c>
      <c r="K479" s="183" t="s">
        <v>2072</v>
      </c>
      <c r="L479" s="183" t="s">
        <v>433</v>
      </c>
      <c r="M479" s="183" t="s">
        <v>2073</v>
      </c>
      <c r="N479" s="185">
        <v>31</v>
      </c>
      <c r="O479" s="186">
        <v>88</v>
      </c>
      <c r="P479" s="185">
        <v>9.9</v>
      </c>
      <c r="Q479" s="185">
        <v>89</v>
      </c>
      <c r="R479" s="183" t="s">
        <v>702</v>
      </c>
      <c r="S479" s="185">
        <v>5289.9</v>
      </c>
      <c r="T479" s="189">
        <f t="shared" si="8"/>
        <v>88.164999999999992</v>
      </c>
      <c r="U479" s="183" t="s">
        <v>703</v>
      </c>
      <c r="V479" s="183" t="s">
        <v>526</v>
      </c>
      <c r="W479" s="183"/>
      <c r="X479" s="183"/>
      <c r="Y479" s="183"/>
      <c r="Z479" s="183" t="s">
        <v>715</v>
      </c>
      <c r="AA479" s="183" t="s">
        <v>716</v>
      </c>
      <c r="AB479" s="183"/>
      <c r="AC479" s="183"/>
      <c r="AD479" s="183" t="s">
        <v>2074</v>
      </c>
      <c r="AE479" s="183" t="s">
        <v>2075</v>
      </c>
    </row>
    <row r="480" spans="1:31" ht="27.6" hidden="1">
      <c r="A480" s="183" t="s">
        <v>694</v>
      </c>
      <c r="B480" s="183" t="s">
        <v>430</v>
      </c>
      <c r="C480" s="183" t="s">
        <v>430</v>
      </c>
      <c r="D480" s="184" t="s">
        <v>1166</v>
      </c>
      <c r="E480" s="183" t="s">
        <v>696</v>
      </c>
      <c r="F480" s="183" t="s">
        <v>697</v>
      </c>
      <c r="G480" s="183" t="s">
        <v>698</v>
      </c>
      <c r="H480" s="183" t="s">
        <v>1</v>
      </c>
      <c r="I480" s="183" t="s">
        <v>2076</v>
      </c>
      <c r="J480" s="188">
        <v>46290</v>
      </c>
      <c r="K480" s="183" t="s">
        <v>2077</v>
      </c>
      <c r="L480" s="183" t="s">
        <v>434</v>
      </c>
      <c r="M480" s="183" t="s">
        <v>763</v>
      </c>
      <c r="N480" s="185">
        <v>6</v>
      </c>
      <c r="O480" s="186">
        <v>43</v>
      </c>
      <c r="P480" s="185">
        <v>50.4</v>
      </c>
      <c r="Q480" s="185">
        <v>44</v>
      </c>
      <c r="R480" s="183" t="s">
        <v>702</v>
      </c>
      <c r="S480" s="185">
        <v>2630.4</v>
      </c>
      <c r="T480" s="189">
        <f t="shared" si="8"/>
        <v>43.84</v>
      </c>
      <c r="U480" s="183" t="s">
        <v>703</v>
      </c>
      <c r="V480" s="183" t="s">
        <v>526</v>
      </c>
      <c r="W480" s="183"/>
      <c r="X480" s="183"/>
      <c r="Y480" s="183"/>
      <c r="Z480" s="183" t="s">
        <v>733</v>
      </c>
      <c r="AA480" s="183" t="s">
        <v>734</v>
      </c>
      <c r="AB480" s="183" t="s">
        <v>940</v>
      </c>
      <c r="AC480" s="183"/>
      <c r="AD480" s="183" t="s">
        <v>2078</v>
      </c>
      <c r="AE480" s="183" t="s">
        <v>1617</v>
      </c>
    </row>
    <row r="481" spans="1:31" hidden="1">
      <c r="A481" s="183" t="s">
        <v>694</v>
      </c>
      <c r="B481" s="183" t="s">
        <v>162</v>
      </c>
      <c r="C481" s="183" t="s">
        <v>162</v>
      </c>
      <c r="D481" s="183"/>
      <c r="E481" s="183" t="s">
        <v>696</v>
      </c>
      <c r="F481" s="183" t="s">
        <v>697</v>
      </c>
      <c r="G481" s="183" t="s">
        <v>698</v>
      </c>
      <c r="H481" s="183" t="s">
        <v>1</v>
      </c>
      <c r="I481" s="183" t="s">
        <v>2079</v>
      </c>
      <c r="J481" s="188">
        <v>45960</v>
      </c>
      <c r="K481" s="183" t="s">
        <v>2080</v>
      </c>
      <c r="L481" s="183" t="s">
        <v>179</v>
      </c>
      <c r="M481" s="183"/>
      <c r="N481" s="185">
        <v>336</v>
      </c>
      <c r="O481" s="186">
        <v>1</v>
      </c>
      <c r="P481" s="185">
        <v>10</v>
      </c>
      <c r="Q481" s="185">
        <v>7</v>
      </c>
      <c r="R481" s="183" t="s">
        <v>702</v>
      </c>
      <c r="S481" s="185">
        <v>70</v>
      </c>
      <c r="T481" s="189">
        <f t="shared" si="8"/>
        <v>1.1666666666666667</v>
      </c>
      <c r="U481" s="183" t="s">
        <v>703</v>
      </c>
      <c r="V481" s="183" t="s">
        <v>704</v>
      </c>
      <c r="W481" s="183" t="s">
        <v>2081</v>
      </c>
      <c r="X481" s="183" t="s">
        <v>2082</v>
      </c>
      <c r="Y481" s="183"/>
      <c r="Z481" s="183"/>
      <c r="AA481" s="183"/>
      <c r="AB481" s="183"/>
      <c r="AC481" s="183"/>
      <c r="AD481" s="183"/>
      <c r="AE481" s="183"/>
    </row>
    <row r="482" spans="1:31" hidden="1">
      <c r="A482" s="183" t="s">
        <v>694</v>
      </c>
      <c r="B482" s="183" t="s">
        <v>162</v>
      </c>
      <c r="C482" s="183" t="s">
        <v>162</v>
      </c>
      <c r="D482" s="183"/>
      <c r="E482" s="183" t="s">
        <v>696</v>
      </c>
      <c r="F482" s="183" t="s">
        <v>697</v>
      </c>
      <c r="G482" s="183" t="s">
        <v>698</v>
      </c>
      <c r="H482" s="183" t="s">
        <v>1</v>
      </c>
      <c r="I482" s="183" t="s">
        <v>2079</v>
      </c>
      <c r="J482" s="188">
        <v>45960</v>
      </c>
      <c r="K482" s="183" t="s">
        <v>2083</v>
      </c>
      <c r="L482" s="183" t="s">
        <v>179</v>
      </c>
      <c r="M482" s="183"/>
      <c r="N482" s="185">
        <v>336</v>
      </c>
      <c r="O482" s="186">
        <v>1</v>
      </c>
      <c r="P482" s="185">
        <v>10</v>
      </c>
      <c r="Q482" s="185">
        <v>7</v>
      </c>
      <c r="R482" s="183" t="s">
        <v>702</v>
      </c>
      <c r="S482" s="185">
        <v>70</v>
      </c>
      <c r="T482" s="189">
        <f t="shared" si="8"/>
        <v>1.1666666666666667</v>
      </c>
      <c r="U482" s="183" t="s">
        <v>703</v>
      </c>
      <c r="V482" s="183" t="s">
        <v>704</v>
      </c>
      <c r="W482" s="183" t="s">
        <v>2081</v>
      </c>
      <c r="X482" s="183" t="s">
        <v>2082</v>
      </c>
      <c r="Y482" s="183"/>
      <c r="Z482" s="183"/>
      <c r="AA482" s="183"/>
      <c r="AB482" s="183"/>
      <c r="AC482" s="183"/>
      <c r="AD482" s="183"/>
      <c r="AE482" s="183"/>
    </row>
    <row r="483" spans="1:31" hidden="1">
      <c r="A483" s="183" t="s">
        <v>694</v>
      </c>
      <c r="B483" s="183" t="s">
        <v>162</v>
      </c>
      <c r="C483" s="183" t="s">
        <v>162</v>
      </c>
      <c r="D483" s="183"/>
      <c r="E483" s="183" t="s">
        <v>696</v>
      </c>
      <c r="F483" s="183" t="s">
        <v>697</v>
      </c>
      <c r="G483" s="183" t="s">
        <v>698</v>
      </c>
      <c r="H483" s="183" t="s">
        <v>1</v>
      </c>
      <c r="I483" s="183" t="s">
        <v>2079</v>
      </c>
      <c r="J483" s="188">
        <v>45960</v>
      </c>
      <c r="K483" s="183" t="s">
        <v>2084</v>
      </c>
      <c r="L483" s="183" t="s">
        <v>179</v>
      </c>
      <c r="M483" s="183"/>
      <c r="N483" s="185">
        <v>336</v>
      </c>
      <c r="O483" s="186">
        <v>1</v>
      </c>
      <c r="P483" s="185">
        <v>10</v>
      </c>
      <c r="Q483" s="185">
        <v>7</v>
      </c>
      <c r="R483" s="183" t="s">
        <v>702</v>
      </c>
      <c r="S483" s="185">
        <v>70</v>
      </c>
      <c r="T483" s="189">
        <f t="shared" si="8"/>
        <v>1.1666666666666667</v>
      </c>
      <c r="U483" s="183" t="s">
        <v>703</v>
      </c>
      <c r="V483" s="183" t="s">
        <v>704</v>
      </c>
      <c r="W483" s="183" t="s">
        <v>2081</v>
      </c>
      <c r="X483" s="183" t="s">
        <v>2082</v>
      </c>
      <c r="Y483" s="183"/>
      <c r="Z483" s="183"/>
      <c r="AA483" s="183"/>
      <c r="AB483" s="183"/>
      <c r="AC483" s="183"/>
      <c r="AD483" s="183"/>
      <c r="AE483" s="183"/>
    </row>
    <row r="484" spans="1:31" hidden="1">
      <c r="A484" s="183" t="s">
        <v>694</v>
      </c>
      <c r="B484" s="183" t="s">
        <v>162</v>
      </c>
      <c r="C484" s="183" t="s">
        <v>162</v>
      </c>
      <c r="D484" s="183"/>
      <c r="E484" s="183" t="s">
        <v>696</v>
      </c>
      <c r="F484" s="183" t="s">
        <v>697</v>
      </c>
      <c r="G484" s="183" t="s">
        <v>698</v>
      </c>
      <c r="H484" s="183" t="s">
        <v>1</v>
      </c>
      <c r="I484" s="183" t="s">
        <v>2079</v>
      </c>
      <c r="J484" s="188">
        <v>45960</v>
      </c>
      <c r="K484" s="183" t="s">
        <v>2085</v>
      </c>
      <c r="L484" s="183" t="s">
        <v>179</v>
      </c>
      <c r="M484" s="183"/>
      <c r="N484" s="185">
        <v>336</v>
      </c>
      <c r="O484" s="186">
        <v>1</v>
      </c>
      <c r="P484" s="185">
        <v>10</v>
      </c>
      <c r="Q484" s="185">
        <v>7</v>
      </c>
      <c r="R484" s="183" t="s">
        <v>702</v>
      </c>
      <c r="S484" s="185">
        <v>70</v>
      </c>
      <c r="T484" s="189">
        <f t="shared" si="8"/>
        <v>1.1666666666666667</v>
      </c>
      <c r="U484" s="183" t="s">
        <v>703</v>
      </c>
      <c r="V484" s="183" t="s">
        <v>704</v>
      </c>
      <c r="W484" s="183" t="s">
        <v>2081</v>
      </c>
      <c r="X484" s="183" t="s">
        <v>2082</v>
      </c>
      <c r="Y484" s="183"/>
      <c r="Z484" s="183"/>
      <c r="AA484" s="183"/>
      <c r="AB484" s="183"/>
      <c r="AC484" s="183"/>
      <c r="AD484" s="183"/>
      <c r="AE484" s="183"/>
    </row>
    <row r="485" spans="1:31" hidden="1">
      <c r="A485" s="183" t="s">
        <v>694</v>
      </c>
      <c r="B485" s="183" t="s">
        <v>162</v>
      </c>
      <c r="C485" s="183" t="s">
        <v>162</v>
      </c>
      <c r="D485" s="183"/>
      <c r="E485" s="183" t="s">
        <v>696</v>
      </c>
      <c r="F485" s="183" t="s">
        <v>697</v>
      </c>
      <c r="G485" s="183" t="s">
        <v>698</v>
      </c>
      <c r="H485" s="183" t="s">
        <v>1</v>
      </c>
      <c r="I485" s="183" t="s">
        <v>2079</v>
      </c>
      <c r="J485" s="188">
        <v>45960</v>
      </c>
      <c r="K485" s="183" t="s">
        <v>2086</v>
      </c>
      <c r="L485" s="183" t="s">
        <v>179</v>
      </c>
      <c r="M485" s="183"/>
      <c r="N485" s="185">
        <v>336</v>
      </c>
      <c r="O485" s="186">
        <v>1</v>
      </c>
      <c r="P485" s="185">
        <v>10</v>
      </c>
      <c r="Q485" s="185">
        <v>1</v>
      </c>
      <c r="R485" s="183" t="s">
        <v>702</v>
      </c>
      <c r="S485" s="185">
        <v>70</v>
      </c>
      <c r="T485" s="189">
        <f t="shared" si="8"/>
        <v>1.1666666666666667</v>
      </c>
      <c r="U485" s="183" t="s">
        <v>703</v>
      </c>
      <c r="V485" s="183" t="s">
        <v>704</v>
      </c>
      <c r="W485" s="183" t="s">
        <v>2081</v>
      </c>
      <c r="X485" s="183" t="s">
        <v>2082</v>
      </c>
      <c r="Y485" s="183"/>
      <c r="Z485" s="183"/>
      <c r="AA485" s="183"/>
      <c r="AB485" s="183"/>
      <c r="AC485" s="183"/>
      <c r="AD485" s="183"/>
      <c r="AE485" s="183"/>
    </row>
    <row r="487" spans="1:31">
      <c r="T487" s="1">
        <f>SUBTOTAL(9,T2:T486)</f>
        <v>2714.4999999999995</v>
      </c>
    </row>
  </sheetData>
  <autoFilter ref="A1:AE485" xr:uid="{63756018-4D81-476D-B29E-AE3FD6679A6B}">
    <filterColumn colId="10">
      <filters>
        <filter val="2025/2026-41-3306-49KK0045/SOMBOFCS/XCE17F01"/>
        <filter val="2025/2026-41-3307-49KK0020/SOIMOIFCS/XCE111F01"/>
        <filter val="2025/2026-41-3310-49KK2001/C/BULK"/>
        <filter val="2025/2026-41-3311-49KK2011/C/BULK"/>
        <filter val="2025/2026-41-3312-48KK2011/C/BULK"/>
        <filter val="2025/2026-41-3319-49KK0097/BWOGOESTATE/29CF00140"/>
        <filter val="2025/2026-41-3320-49KK0020/SOIMOIFCS/XCE111F01"/>
        <filter val="2025/2026-41-3322-49KK0022/SUBOECOLTD/CI.0131"/>
        <filter val="2025/2026-41-3324-46KK0021/SOMBOFCS/XCE17F01"/>
        <filter val="2025/2026-41-3326-49KK0075/PILIPILIFOXES/35C3008"/>
        <filter val="2025/2026-41-3328-49KK0083/LALIATFCS/XCE08F01"/>
        <filter val="2025/2026-41-3330-49KK0051/SIWOTFCS/XCE29F01"/>
        <filter val="2025/2026-41-3331-49KK0066/ITBOESTATE/EB.0071"/>
        <filter val="2025/2026-41-3332-49KK0053/RWANDITFCS/XCE77F01"/>
        <filter val="2025/2026-41-3337-49KK0074/SIWOTFCS/XCE29F01"/>
        <filter val="2025/2026-41-3338-49KK0006/MOINDICOFFEEFARM/EB.013"/>
        <filter val="2025/2026-41-3339-49KK0044/NGIGEPN/CI.0059"/>
        <filter val="2025/2026-41-3342-49KK0097/BWOGOESTATE/29CF00140"/>
        <filter val="2025/2026-41-3344-49KK0105/MICROSESTATE/35CE130"/>
        <filter val="2025/2026-41-3346-49KK0035/ALFREDKIPKEMOI/29ZAO022"/>
        <filter val="2025/2026-41-3347-49KK2005/C/BULK"/>
        <filter val="2025/2026-41-3348-49KK0041/SERENGFCS/XCE37F01"/>
        <filter val="2025/2026-41-3351-47KK0061/SOIMOIFCS/XCE111F01"/>
        <filter val="2025/2026-41-3352-49KK0081/CHOMISIANFCS/XCE142F01"/>
        <filter val="2025/2026-41-3353-49KK0061/KAPIASFCS/XCE84F01"/>
        <filter val="2025/2026-41-3354-49KK0066/ITBOESTATE/EB.0071"/>
        <filter val="2025/2026-41-3355-49KK0022/SUBOECOLTD/CI.0131"/>
        <filter val="2025/2026-41-3358-49KK0051/SIWOTFCS/XCE29F01"/>
        <filter val="2025/2026-41-3362-49KK0040/SERENGFCS/XCE37F01"/>
        <filter val="2025/2026-41-3363-49KK0089/KIPSINENDEFCS/XCE50F01"/>
        <filter val="2025/2026-41-3371-48KK2004/C/BULK"/>
        <filter val="2025/2026-41-3372-49KK2007/C/BULK"/>
        <filter val="2025/2026-41-3374-49KK0097/BWOGO/29CF00140"/>
        <filter val="2025/2026-41-3377-49KK0081/CHOMISIANFCS/XCE142F01"/>
        <filter val="2025/2026-41-3378-49KK0061/KAPIASFCS/XCE84F01"/>
        <filter val="2025/2026-41-3379-49KK0074/SIWOTFCS/XCE29F01"/>
        <filter val="2025/2026-41-3382-49KK0084/CHEBILATFACTORY/XCE08F0"/>
        <filter val="2025/2026-41-3383-49KK0040/SERENGFCS/XCE37F01"/>
        <filter val="2025/2026-41-3388-49KK0070/KOISAGATFCS/XCE32F01"/>
        <filter val="2025/2026-41-3389-49KK0024/TOROCHMWAIFCS/XCE95F01"/>
        <filter val="2025/2026-41-3391-49KK0006/MOINDICOFFEEFARM/EB.013"/>
        <filter val="2025/2026-41-3392-48KK2015/C/BULK"/>
        <filter val="2025/2026-41-3394-49KK0041/SERENGFCS/XCE37F01"/>
        <filter val="2025/2026-41-3395-48KK2003/C/BULK"/>
        <filter val="2025/2026-41-3408-49KK0020/SOIMOIFCS/XCE111F01"/>
        <filter val="2025/2026-41-3510-48LE0015/CHESKAKIFCS/XDA002F01"/>
        <filter val="2025/2026-41-3512-49LE0056/KIKAIFCS/XDA023F01"/>
        <filter val="2025/2026-41-3549-48LE0023/NGOMANOFCS/XBE033F01"/>
        <filter val="2025/2026-41-3707-49FH1001/P/BULK"/>
        <filter val="2025/2026-41-3711-49FH0022/GAKURARI/XAB40F02"/>
        <filter val="2025/2026-41-3727-50FH1001/P/BULK"/>
        <filter val="2025/2026-41-3728-50FH1002/P/BULK"/>
        <filter val="2025/2026-41-4122-GIKONGOROFCSGIKONGOROFCS/XBB51F0"/>
        <filter val="2025/2026-41-4124-NUKUNUFCSNUKUNUATHI/XBA14F01"/>
        <filter val="2025/2026-41-4129-KATHAMBARAFCSMAKURI/XBC31F01"/>
        <filter val="2025/2026-41-4130-P/BULKPARCHMENTBULK/PBULK"/>
        <filter val="2025/2026-41-4137-GIKONGOROFCSGIKONGOROFCS/XBB51F0"/>
        <filter val="2025/2026-41-4143-KAGURUFCSKAGURU/XBB30F01"/>
        <filter val="2025/2026-41-4145-CLEANBULKCLEANBULK/CBULK"/>
        <filter val="2025/2026-41-4150-P/BULKPARCHMENTBULK/PBULK"/>
        <filter val="2025/2026-41-4301-P-BULK/PARCHMENTBULK"/>
        <filter val="2025/2026-41-4303-P-BULK/PARCHMENTBULK"/>
        <filter val="2025/2026-41-4307-KAPSACHOFCS/XDA48]F01"/>
        <filter val="2025/2026-41-4309-MENUFCS/XDA13F01"/>
        <filter val="2025/2026-41-4310-MENUFCS/XDA13F01"/>
        <filter val="2025/2026-41-4311-P-BULK/PARCHMENTBULK"/>
        <filter val="2025/2026-41-4314-P-BULK/PARCHMENTBULK"/>
        <filter val="2025/2026-41-4315-MENUFCS/XDA13F01"/>
        <filter val="2025/2026-41-4316-KAPSACHOFCS/XDA48]F01"/>
        <filter val="2025/2026-41-4321-MENUFCS/XDA13.F01"/>
        <filter val="2025/2026-41-4326-P-BULK/PARCHMENTBULK"/>
        <filter val="2025/2026-41-4327-P-BULK/PARCHMENTBULK"/>
        <filter val="2025/2026-41-4328-P-BULK/PARCHMENTBULK"/>
        <filter val="2025/2026-41-4329-MWAIMWAIFCS/XDA49F01"/>
        <filter val="2025/2026-41-4901-T/BULK"/>
        <filter val="2025/2026-41-4903-C/BULK"/>
        <filter val="2025/2026-41-4905-M/NYABONGE/XEA008F02"/>
        <filter val="2025/2026-41-4907-AB/BULK"/>
        <filter val="2025/2026-41-5602-T/BULK"/>
        <filter val="2025/2026-41-5611-TT/BULK"/>
        <filter val="2025/2026-41-5613-47MM0046/MIKUMBUNEFCSMUNANI/XBB6"/>
        <filter val="2025/2026-41-5620-49MM1001/P/BULK"/>
        <filter val="2025/2026-41-5621-C/BULK"/>
        <filter val="2025/2026-41-5622-35MM0070/GITARENIFCSKIAMUCHI/XBC"/>
        <filter val="2025/2026-41-5624-48MM0031/NTAMICHUESTATE/BA0011"/>
        <filter val="2025/2026-41-5626-49KP0098/NYABIKONDOFCS/XEB12F01"/>
        <filter val="2025/2026-41-5634-49KP0201/ADEQUATEVENTURESLTD/46E"/>
        <filter val="2025/2026-41-5641-49KP0134/NGIBUNYICOFFEEFARM/44EB"/>
        <filter val="2025/2026-41-5646-45MM0001/KIRAAFARMLTD/BB0013"/>
        <filter val="2025/2026-41-5648-49KP1009/P/BULK"/>
        <filter val="2025/2026-41-5651-BULK"/>
        <filter val="2025/2026-41-5652-47MM1020/NTORUNGUESTATE/12BB013"/>
        <filter val="2025/2026-41-5657-45MM0002/KIRAAFARMLTD/BB0013"/>
        <filter val="2025/2026-41-5668-49MM1001/P/BULK"/>
        <filter val="2025/2026-41-5669-45MM0003/KIRAAFARMLTD/BB0013"/>
        <filter val="2025/2026-41-5690-49KP0201/ADEQUATEVENTURESLTD/46E"/>
        <filter val="2025/2026-41-5708-49KP0201/ADEQUATEVENTURESLTD/46E"/>
        <filter val="2025/2026-41-5744-49KP1009/P/BULK"/>
        <filter val="2025/2026-41-5747-T/BULK"/>
        <filter val="2025/2026-41-5763-48MM0029/TIGANIANORTHFCSNDULUMA/"/>
        <filter val="2025/2026-41-5917-P/BULK"/>
        <filter val="2025/2026-41-5926-SAKOFANEXUSLTD/35CE.0258"/>
        <filter val="2025/2026-41-5928-CHANIAESTATE/AB.0021"/>
        <filter val="2025/2026-41-5930-CHANIAESTATE/AB.0021"/>
        <filter val="2025/2026-41-5945-KITHINOFCS/XBB08"/>
        <filter val="2025/2026-41-5952-P/BULK"/>
        <filter val="2025/2026-41-5954-KIGUTHA/AA.0045"/>
        <filter val="2025/2026-41-5959-P/BULK"/>
        <filter val="2025/2026-41-5962-MURTOKWESESTATE/AZ020RC"/>
        <filter val="2025/2026-41-5974-BARIKONGO/XAA03F03"/>
        <filter val="2025/2026-41-5978-AB/BULK"/>
        <filter val="2025/2026-41-5989-KIAMBENE/XBB08F06"/>
        <filter val="2025/2026-41-6000-KAIMBU/XAA03F09"/>
        <filter val="2025/2026-41-6046-KIGANJO/XAA25F01"/>
        <filter val="2025/2026-41-6062-PB/BULK"/>
        <filter val="2025/2026-41-6063-MUHUGU/AA.0050"/>
        <filter val="2025/2026-41-6405-T/BULK"/>
        <filter val="2025/2026-41-6407-T/BULK"/>
        <filter val="2025/2026-41-6411-TT/BULK"/>
        <filter val="2025/2026-41-6413-TT/BULK"/>
        <filter val="2025/2026-41-6416-P/BULK"/>
        <filter val="2025/2026-41-6417-KASACH/XCF043"/>
        <filter val="2025/2026-41-6418-C/BULK"/>
        <filter val="2025/2026-41-6420-LELU/XCE.044"/>
        <filter val="2025/2026-41-6421-MESWON/29XCF0057"/>
        <filter val="2025/2026-41-6425-GITHAKA/AB.0234"/>
        <filter val="2025/2026-41-6426-CHUJUN/36CGE0027"/>
        <filter val="2025/2026-41-6431-PB/BULK"/>
        <filter val="2025/2026-41-6432-PB/BULK"/>
        <filter val="2025/2026-41-6433-MESWON/29XCF0057"/>
        <filter val="2025/2026-41-6435-PB/BULK"/>
        <filter val="2025/2026-41-6436-GITWA/XBD.020F01"/>
        <filter val="2025/2026-41-6601-NGORANO/XAD05F03"/>
        <filter val="2025/2026-41-6602-GAKUYU-INI/XAD16F01"/>
        <filter val="2025/2026-41-6606-P/BULK"/>
        <filter val="2025/2026-41-6613-TT/CLEANBULK"/>
        <filter val="2025/2026-41-6614-TT/CLEANBULK"/>
        <filter val="2025/2026-41-6615-P/BULK"/>
        <filter val="2025/2026-41-6616-P/BULK"/>
        <filter val="2025/2026-41-6623-GAKUYU-INI/XAD16F01"/>
        <filter val="2025/2026-41-6626-P/BULK"/>
        <filter val="2025/2026-41-6628-P/BULK"/>
        <filter val="2025/2026-41-6631-P/BULK"/>
        <filter val="2025/2026-41-6632-OLOCHOY/29CF0060"/>
        <filter val="2025/2026-41-6638-P/BULK"/>
        <filter val="2025/2026-41-6647-PB/CLEANBULK"/>
        <filter val="2025/2026-41-6648-PB/CLEANBULK"/>
        <filter val="2025/2026-41-6650-PB/CLEANBULK"/>
        <filter val="2025/2026-41-6652-KONYU/XAD02F02"/>
        <filter val="2025/2026-41-6655-P/BULK"/>
        <filter val="2025/2026-41-6675-KII/XAD14F01"/>
        <filter val="2025/2026-41-6677-P/BULK"/>
        <filter val="2025/2026-41-6681-P/BULK"/>
        <filter val="2025/2026-41-7002-MENUFCS/XDA13"/>
        <filter val="2025/2026-41-7012-RIASAKAMIESTATE/EB0095"/>
        <filter val="2025/2026-41-7014-P/BULK"/>
        <filter val="2025/2026-41-7033-MENUFCS/XDA13"/>
        <filter val="2025/2026-41-7035-BULK"/>
        <filter val="2025/2026-41-7041-RIASAKAMIESTATE/EB0095"/>
        <filter val="2025/2026-41-7044-KIBIRIRGUTFCS/XCE110"/>
        <filter val="2025/2026-41-7309-CHEMUIFCS/29ZA0117CHEMUI"/>
        <filter val="2025/2026-41-7310-KARIUAFCS-IRERA/XAB92F01"/>
        <filter val="2025/2026-41-7312-MENUFCS/XDA13F01"/>
        <filter val="2025/2026-41-7316-KIANGUAFCS/XBB13"/>
        <filter val="2025/2026-41-7324-BECILLA/35CE069"/>
        <filter val="2025/2026-41-7329-KARIUAFCS-IRERA/XAB92F01"/>
        <filter val="2025/2026-41-7331-MENUFCS/XDA13F01"/>
        <filter val="2025/2026-41-7332-WOODVALE/BF0257"/>
        <filter val="2025/2026-41-7342-MUCHOMBA/BB0102"/>
        <filter val="2025/2026-41-7352-MAKENGA/BF0269"/>
        <filter val="2025/2026-41-7366-NATUI/27CJ130"/>
        <filter val="2025/2026-41-7371-NTHIMBIRIFCS-NTONGORO/XBB42F01"/>
        <filter val="2025/2026-41-7372-NTHIMBIRIFCS-NTONGORO/XBB42F01"/>
        <filter val="2025/2026-41-7624-CHEPSANGORFCS"/>
        <filter val="2025/2026-41-8007-FINWARE/CH.0039"/>
        <filter val="2025/2026-41-8009-LELGOKIPLANGAT/ZA.020"/>
        <filter val="2025/2026-41-8012-SHALOM/AB.0728"/>
        <filter val="2025/2026-41-8016-LELGOKIPLANGAT/ZA.020"/>
        <filter val="2025/2026-41-8025-UKWELIFARM/14BD145"/>
        <filter val="2025/2026-41-8306-48GR0002/HIGHLANDCOFFEEESTATE/"/>
        <filter val="2025/2026-41-8307-49KK0015/TORCHASISESTATE/35CE024"/>
        <filter val="2025/2026-41-8308-49KK0013/CHBARUSFCS/XCEXCE88F01"/>
        <filter val="2025/2026-41-8311-49KK0013/CHBARUSFCS/XCEXCE88F01"/>
        <filter val="2025/2026-41-8313-48GR0002/HIGHLANDCOFFEEESTATE/"/>
        <filter val="2025/2026-41-8318-49KK0013/CHBARUSFCS/XCEXCE88F01"/>
      </filters>
    </filterColumn>
  </autoFilter>
  <phoneticPr fontId="42" type="noConversion"/>
  <pageMargins left="0.7" right="0.7" top="0.75" bottom="0.75" header="0.3" footer="0.3"/>
  <pageSetup paperSize="9" orientation="portrait" r:id="rId1"/>
  <customProperties>
    <customPr name="_pios_id" r:id="rId2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11381-CBC7-4B52-B0CA-20C100144B92}">
  <sheetPr filterMode="1">
    <tabColor rgb="FFFFC000"/>
  </sheetPr>
  <dimension ref="A1:S61"/>
  <sheetViews>
    <sheetView workbookViewId="0">
      <pane ySplit="1" topLeftCell="A2" activePane="bottomLeft" state="frozen"/>
      <selection pane="bottomLeft" activeCell="E5" sqref="E5"/>
      <selection activeCell="T733" sqref="T733:T734"/>
    </sheetView>
  </sheetViews>
  <sheetFormatPr defaultColWidth="9.28515625" defaultRowHeight="13.9"/>
  <cols>
    <col min="1" max="1" width="14.5703125" style="1" bestFit="1" customWidth="1"/>
    <col min="2" max="2" width="9.28515625" style="1" bestFit="1" customWidth="1"/>
    <col min="3" max="3" width="10" style="1" customWidth="1"/>
    <col min="4" max="4" width="14.28515625" style="1" bestFit="1" customWidth="1"/>
    <col min="5" max="5" width="13.7109375" style="1" customWidth="1"/>
    <col min="6" max="6" width="23.7109375" style="1" customWidth="1"/>
    <col min="7" max="7" width="11.42578125" style="1" customWidth="1"/>
    <col min="8" max="8" width="48.5703125" style="1" customWidth="1"/>
    <col min="9" max="9" width="10.85546875" style="1" customWidth="1"/>
    <col min="10" max="10" width="12.28515625" style="1" customWidth="1"/>
    <col min="11" max="11" width="10.7109375" style="1" customWidth="1"/>
    <col min="12" max="12" width="8" style="1" customWidth="1"/>
    <col min="13" max="13" width="9" style="1" customWidth="1"/>
    <col min="14" max="14" width="14.28515625" style="1" customWidth="1"/>
    <col min="15" max="15" width="10.28515625" style="1" customWidth="1"/>
    <col min="16" max="16" width="10.140625" style="1" customWidth="1"/>
    <col min="17" max="17" width="18" style="1" bestFit="1" customWidth="1"/>
    <col min="18" max="18" width="20.28515625" style="1" bestFit="1" customWidth="1"/>
    <col min="19" max="19" width="9.140625" style="1" bestFit="1" customWidth="1"/>
    <col min="20" max="16384" width="9.28515625" style="1"/>
  </cols>
  <sheetData>
    <row r="1" spans="1:19" s="10" customFormat="1">
      <c r="A1" s="9" t="s">
        <v>669</v>
      </c>
      <c r="B1" s="9" t="s">
        <v>670</v>
      </c>
      <c r="C1" s="9" t="s">
        <v>671</v>
      </c>
      <c r="D1" s="9" t="s">
        <v>673</v>
      </c>
      <c r="E1" s="9" t="s">
        <v>674</v>
      </c>
      <c r="F1" s="9" t="s">
        <v>497</v>
      </c>
      <c r="G1" s="9" t="s">
        <v>504</v>
      </c>
      <c r="H1" s="9" t="s">
        <v>2087</v>
      </c>
      <c r="I1" s="9" t="s">
        <v>678</v>
      </c>
      <c r="J1" s="9" t="s">
        <v>2088</v>
      </c>
      <c r="K1" s="9" t="s">
        <v>499</v>
      </c>
      <c r="L1" s="9" t="s">
        <v>500</v>
      </c>
      <c r="M1" s="9" t="s">
        <v>501</v>
      </c>
      <c r="N1" s="9" t="s">
        <v>681</v>
      </c>
      <c r="O1" s="9" t="s">
        <v>682</v>
      </c>
      <c r="P1" s="9" t="s">
        <v>2089</v>
      </c>
      <c r="Q1" s="9" t="s">
        <v>683</v>
      </c>
      <c r="R1" s="9" t="s">
        <v>672</v>
      </c>
      <c r="S1" s="9" t="s">
        <v>693</v>
      </c>
    </row>
    <row r="2" spans="1:19" ht="27.6">
      <c r="A2" s="183" t="s">
        <v>694</v>
      </c>
      <c r="B2" s="183" t="s">
        <v>133</v>
      </c>
      <c r="C2" s="183" t="s">
        <v>133</v>
      </c>
      <c r="D2" s="183" t="s">
        <v>696</v>
      </c>
      <c r="E2" s="183" t="s">
        <v>697</v>
      </c>
      <c r="F2" s="183" t="s">
        <v>1</v>
      </c>
      <c r="G2" s="183" t="s">
        <v>2090</v>
      </c>
      <c r="H2" s="183" t="s">
        <v>2091</v>
      </c>
      <c r="I2" s="183" t="s">
        <v>144</v>
      </c>
      <c r="J2" s="183" t="s">
        <v>2092</v>
      </c>
      <c r="K2" s="185">
        <v>82</v>
      </c>
      <c r="L2" s="186">
        <v>12</v>
      </c>
      <c r="M2" s="185">
        <v>83</v>
      </c>
      <c r="N2" s="183" t="s">
        <v>702</v>
      </c>
      <c r="O2" s="185">
        <v>4932</v>
      </c>
      <c r="P2" s="187">
        <f>O2/60</f>
        <v>82.2</v>
      </c>
      <c r="Q2" s="183" t="s">
        <v>703</v>
      </c>
      <c r="R2" s="184" t="s">
        <v>1150</v>
      </c>
      <c r="S2" s="183"/>
    </row>
    <row r="3" spans="1:19" ht="27.6">
      <c r="A3" s="183" t="s">
        <v>694</v>
      </c>
      <c r="B3" s="183" t="s">
        <v>133</v>
      </c>
      <c r="C3" s="183" t="s">
        <v>133</v>
      </c>
      <c r="D3" s="183" t="s">
        <v>696</v>
      </c>
      <c r="E3" s="183" t="s">
        <v>697</v>
      </c>
      <c r="F3" s="183" t="s">
        <v>1</v>
      </c>
      <c r="G3" s="183" t="s">
        <v>1135</v>
      </c>
      <c r="H3" s="183" t="s">
        <v>2093</v>
      </c>
      <c r="I3" s="183" t="s">
        <v>143</v>
      </c>
      <c r="J3" s="183" t="s">
        <v>2094</v>
      </c>
      <c r="K3" s="185">
        <v>67</v>
      </c>
      <c r="L3" s="186">
        <v>37</v>
      </c>
      <c r="M3" s="185">
        <v>68</v>
      </c>
      <c r="N3" s="183" t="s">
        <v>702</v>
      </c>
      <c r="O3" s="185">
        <v>4057</v>
      </c>
      <c r="P3" s="187">
        <f t="shared" ref="P3:P59" si="0">O3/60</f>
        <v>67.61666666666666</v>
      </c>
      <c r="Q3" s="183" t="s">
        <v>703</v>
      </c>
      <c r="R3" s="184" t="s">
        <v>1123</v>
      </c>
      <c r="S3" s="183"/>
    </row>
    <row r="4" spans="1:19" ht="27.6">
      <c r="A4" s="183" t="s">
        <v>694</v>
      </c>
      <c r="B4" s="183" t="s">
        <v>154</v>
      </c>
      <c r="C4" s="183" t="s">
        <v>154</v>
      </c>
      <c r="D4" s="183" t="s">
        <v>696</v>
      </c>
      <c r="E4" s="183" t="s">
        <v>697</v>
      </c>
      <c r="F4" s="183" t="s">
        <v>1</v>
      </c>
      <c r="G4" s="183" t="s">
        <v>1173</v>
      </c>
      <c r="H4" s="183" t="s">
        <v>2095</v>
      </c>
      <c r="I4" s="183" t="s">
        <v>435</v>
      </c>
      <c r="J4" s="183" t="s">
        <v>2094</v>
      </c>
      <c r="K4" s="185">
        <v>49</v>
      </c>
      <c r="L4" s="186">
        <v>12</v>
      </c>
      <c r="M4" s="185">
        <v>50</v>
      </c>
      <c r="N4" s="183" t="s">
        <v>702</v>
      </c>
      <c r="O4" s="185">
        <v>2952</v>
      </c>
      <c r="P4" s="187">
        <f t="shared" si="0"/>
        <v>49.2</v>
      </c>
      <c r="Q4" s="183" t="s">
        <v>703</v>
      </c>
      <c r="R4" s="184" t="s">
        <v>1150</v>
      </c>
      <c r="S4" s="183"/>
    </row>
    <row r="5" spans="1:19" ht="27.6">
      <c r="A5" s="183" t="s">
        <v>694</v>
      </c>
      <c r="B5" s="183" t="s">
        <v>197</v>
      </c>
      <c r="C5" s="183" t="s">
        <v>197</v>
      </c>
      <c r="D5" s="183" t="s">
        <v>696</v>
      </c>
      <c r="E5" s="183" t="s">
        <v>697</v>
      </c>
      <c r="F5" s="183" t="s">
        <v>1</v>
      </c>
      <c r="G5" s="183" t="s">
        <v>2096</v>
      </c>
      <c r="H5" s="183" t="s">
        <v>2097</v>
      </c>
      <c r="I5" s="183" t="s">
        <v>358</v>
      </c>
      <c r="J5" s="183" t="s">
        <v>2098</v>
      </c>
      <c r="K5" s="185">
        <v>12</v>
      </c>
      <c r="L5" s="186">
        <v>48.3</v>
      </c>
      <c r="M5" s="185">
        <v>13</v>
      </c>
      <c r="N5" s="183" t="s">
        <v>702</v>
      </c>
      <c r="O5" s="185">
        <v>768.3</v>
      </c>
      <c r="P5" s="187">
        <f t="shared" si="0"/>
        <v>12.805</v>
      </c>
      <c r="Q5" s="183" t="s">
        <v>703</v>
      </c>
      <c r="R5" s="184" t="s">
        <v>1217</v>
      </c>
      <c r="S5" s="183" t="s">
        <v>741</v>
      </c>
    </row>
    <row r="6" spans="1:19" ht="27.6">
      <c r="A6" s="183" t="s">
        <v>694</v>
      </c>
      <c r="B6" s="183" t="s">
        <v>197</v>
      </c>
      <c r="C6" s="183" t="s">
        <v>197</v>
      </c>
      <c r="D6" s="183" t="s">
        <v>696</v>
      </c>
      <c r="E6" s="183" t="s">
        <v>697</v>
      </c>
      <c r="F6" s="183" t="s">
        <v>1</v>
      </c>
      <c r="G6" s="183" t="s">
        <v>961</v>
      </c>
      <c r="H6" s="183" t="s">
        <v>2099</v>
      </c>
      <c r="I6" s="183" t="s">
        <v>436</v>
      </c>
      <c r="J6" s="183" t="s">
        <v>2098</v>
      </c>
      <c r="K6" s="185">
        <v>28</v>
      </c>
      <c r="L6" s="186">
        <v>7.8</v>
      </c>
      <c r="M6" s="185">
        <v>28</v>
      </c>
      <c r="N6" s="183" t="s">
        <v>702</v>
      </c>
      <c r="O6" s="185">
        <v>1687.8</v>
      </c>
      <c r="P6" s="187">
        <f t="shared" si="0"/>
        <v>28.13</v>
      </c>
      <c r="Q6" s="183" t="s">
        <v>703</v>
      </c>
      <c r="R6" s="184" t="s">
        <v>1217</v>
      </c>
      <c r="S6" s="183" t="s">
        <v>741</v>
      </c>
    </row>
    <row r="7" spans="1:19" ht="27.6">
      <c r="A7" s="183" t="s">
        <v>694</v>
      </c>
      <c r="B7" s="183" t="s">
        <v>197</v>
      </c>
      <c r="C7" s="183" t="s">
        <v>197</v>
      </c>
      <c r="D7" s="183" t="s">
        <v>696</v>
      </c>
      <c r="E7" s="183" t="s">
        <v>697</v>
      </c>
      <c r="F7" s="183" t="s">
        <v>1</v>
      </c>
      <c r="G7" s="183" t="s">
        <v>965</v>
      </c>
      <c r="H7" s="183" t="s">
        <v>2100</v>
      </c>
      <c r="I7" s="183" t="s">
        <v>437</v>
      </c>
      <c r="J7" s="183" t="s">
        <v>2098</v>
      </c>
      <c r="K7" s="185">
        <v>22</v>
      </c>
      <c r="L7" s="186">
        <v>2.2999999999999998</v>
      </c>
      <c r="M7" s="185">
        <v>23</v>
      </c>
      <c r="N7" s="183" t="s">
        <v>702</v>
      </c>
      <c r="O7" s="185">
        <v>1322.3</v>
      </c>
      <c r="P7" s="187">
        <f t="shared" si="0"/>
        <v>22.038333333333334</v>
      </c>
      <c r="Q7" s="183" t="s">
        <v>703</v>
      </c>
      <c r="R7" s="184" t="s">
        <v>1217</v>
      </c>
      <c r="S7" s="183" t="s">
        <v>741</v>
      </c>
    </row>
    <row r="8" spans="1:19" ht="27.6">
      <c r="A8" s="183" t="s">
        <v>694</v>
      </c>
      <c r="B8" s="183" t="s">
        <v>197</v>
      </c>
      <c r="C8" s="183" t="s">
        <v>197</v>
      </c>
      <c r="D8" s="183" t="s">
        <v>696</v>
      </c>
      <c r="E8" s="183" t="s">
        <v>697</v>
      </c>
      <c r="F8" s="183" t="s">
        <v>1</v>
      </c>
      <c r="G8" s="183" t="s">
        <v>969</v>
      </c>
      <c r="H8" s="183" t="s">
        <v>2101</v>
      </c>
      <c r="I8" s="183" t="s">
        <v>438</v>
      </c>
      <c r="J8" s="183" t="s">
        <v>2098</v>
      </c>
      <c r="K8" s="185">
        <v>26</v>
      </c>
      <c r="L8" s="186">
        <v>49.7</v>
      </c>
      <c r="M8" s="185">
        <v>27</v>
      </c>
      <c r="N8" s="183" t="s">
        <v>702</v>
      </c>
      <c r="O8" s="185">
        <v>1609.7</v>
      </c>
      <c r="P8" s="187">
        <f t="shared" si="0"/>
        <v>26.828333333333333</v>
      </c>
      <c r="Q8" s="183" t="s">
        <v>703</v>
      </c>
      <c r="R8" s="184" t="s">
        <v>1217</v>
      </c>
      <c r="S8" s="183" t="s">
        <v>741</v>
      </c>
    </row>
    <row r="9" spans="1:19" ht="27.6">
      <c r="A9" s="183" t="s">
        <v>694</v>
      </c>
      <c r="B9" s="183" t="s">
        <v>197</v>
      </c>
      <c r="C9" s="183" t="s">
        <v>197</v>
      </c>
      <c r="D9" s="183" t="s">
        <v>696</v>
      </c>
      <c r="E9" s="183" t="s">
        <v>697</v>
      </c>
      <c r="F9" s="183" t="s">
        <v>1</v>
      </c>
      <c r="G9" s="183" t="s">
        <v>973</v>
      </c>
      <c r="H9" s="183" t="s">
        <v>2102</v>
      </c>
      <c r="I9" s="183" t="s">
        <v>439</v>
      </c>
      <c r="J9" s="183" t="s">
        <v>2098</v>
      </c>
      <c r="K9" s="185">
        <v>13</v>
      </c>
      <c r="L9" s="186">
        <v>37.4</v>
      </c>
      <c r="M9" s="185">
        <v>14</v>
      </c>
      <c r="N9" s="183" t="s">
        <v>702</v>
      </c>
      <c r="O9" s="185">
        <v>817.4</v>
      </c>
      <c r="P9" s="187">
        <f t="shared" si="0"/>
        <v>13.623333333333333</v>
      </c>
      <c r="Q9" s="183" t="s">
        <v>703</v>
      </c>
      <c r="R9" s="184" t="s">
        <v>1217</v>
      </c>
      <c r="S9" s="183" t="s">
        <v>741</v>
      </c>
    </row>
    <row r="10" spans="1:19" ht="27.6">
      <c r="A10" s="183" t="s">
        <v>694</v>
      </c>
      <c r="B10" s="183" t="s">
        <v>197</v>
      </c>
      <c r="C10" s="183" t="s">
        <v>197</v>
      </c>
      <c r="D10" s="183" t="s">
        <v>696</v>
      </c>
      <c r="E10" s="183" t="s">
        <v>697</v>
      </c>
      <c r="F10" s="183" t="s">
        <v>1</v>
      </c>
      <c r="G10" s="183" t="s">
        <v>973</v>
      </c>
      <c r="H10" s="183" t="s">
        <v>2103</v>
      </c>
      <c r="I10" s="183" t="s">
        <v>440</v>
      </c>
      <c r="J10" s="183" t="s">
        <v>2098</v>
      </c>
      <c r="K10" s="185">
        <v>10</v>
      </c>
      <c r="L10" s="186">
        <v>18.100000000000001</v>
      </c>
      <c r="M10" s="185">
        <v>11</v>
      </c>
      <c r="N10" s="183" t="s">
        <v>702</v>
      </c>
      <c r="O10" s="185">
        <v>618.1</v>
      </c>
      <c r="P10" s="187">
        <f t="shared" si="0"/>
        <v>10.301666666666668</v>
      </c>
      <c r="Q10" s="183" t="s">
        <v>703</v>
      </c>
      <c r="R10" s="184" t="s">
        <v>1217</v>
      </c>
      <c r="S10" s="183" t="s">
        <v>741</v>
      </c>
    </row>
    <row r="11" spans="1:19" ht="27.6">
      <c r="A11" s="183" t="s">
        <v>694</v>
      </c>
      <c r="B11" s="183" t="s">
        <v>197</v>
      </c>
      <c r="C11" s="183" t="s">
        <v>197</v>
      </c>
      <c r="D11" s="183" t="s">
        <v>696</v>
      </c>
      <c r="E11" s="183" t="s">
        <v>697</v>
      </c>
      <c r="F11" s="183" t="s">
        <v>1</v>
      </c>
      <c r="G11" s="183" t="s">
        <v>2104</v>
      </c>
      <c r="H11" s="183" t="s">
        <v>2105</v>
      </c>
      <c r="I11" s="183" t="s">
        <v>441</v>
      </c>
      <c r="J11" s="183" t="s">
        <v>2098</v>
      </c>
      <c r="K11" s="185">
        <v>15</v>
      </c>
      <c r="L11" s="186">
        <v>59.6</v>
      </c>
      <c r="M11" s="185">
        <v>16</v>
      </c>
      <c r="N11" s="183" t="s">
        <v>702</v>
      </c>
      <c r="O11" s="185">
        <v>959.6</v>
      </c>
      <c r="P11" s="187">
        <f t="shared" si="0"/>
        <v>15.993333333333334</v>
      </c>
      <c r="Q11" s="183" t="s">
        <v>703</v>
      </c>
      <c r="R11" s="184" t="s">
        <v>1217</v>
      </c>
      <c r="S11" s="183" t="s">
        <v>741</v>
      </c>
    </row>
    <row r="12" spans="1:19" ht="27.6">
      <c r="A12" s="183" t="s">
        <v>694</v>
      </c>
      <c r="B12" s="183" t="s">
        <v>197</v>
      </c>
      <c r="C12" s="183" t="s">
        <v>197</v>
      </c>
      <c r="D12" s="183" t="s">
        <v>696</v>
      </c>
      <c r="E12" s="183" t="s">
        <v>697</v>
      </c>
      <c r="F12" s="183" t="s">
        <v>1</v>
      </c>
      <c r="G12" s="183" t="s">
        <v>2106</v>
      </c>
      <c r="H12" s="183" t="s">
        <v>2107</v>
      </c>
      <c r="I12" s="183" t="s">
        <v>442</v>
      </c>
      <c r="J12" s="183" t="s">
        <v>2098</v>
      </c>
      <c r="K12" s="185">
        <v>8</v>
      </c>
      <c r="L12" s="186">
        <v>1.8</v>
      </c>
      <c r="M12" s="185">
        <v>8</v>
      </c>
      <c r="N12" s="183" t="s">
        <v>702</v>
      </c>
      <c r="O12" s="185">
        <v>481.8</v>
      </c>
      <c r="P12" s="187">
        <f t="shared" si="0"/>
        <v>8.0299999999999994</v>
      </c>
      <c r="Q12" s="183" t="s">
        <v>703</v>
      </c>
      <c r="R12" s="184" t="s">
        <v>1217</v>
      </c>
      <c r="S12" s="183" t="s">
        <v>741</v>
      </c>
    </row>
    <row r="13" spans="1:19" ht="27.6">
      <c r="A13" s="183" t="s">
        <v>694</v>
      </c>
      <c r="B13" s="183" t="s">
        <v>197</v>
      </c>
      <c r="C13" s="183" t="s">
        <v>197</v>
      </c>
      <c r="D13" s="183" t="s">
        <v>696</v>
      </c>
      <c r="E13" s="183" t="s">
        <v>697</v>
      </c>
      <c r="F13" s="183" t="s">
        <v>1</v>
      </c>
      <c r="G13" s="183" t="s">
        <v>2108</v>
      </c>
      <c r="H13" s="183" t="s">
        <v>2109</v>
      </c>
      <c r="I13" s="183" t="s">
        <v>443</v>
      </c>
      <c r="J13" s="183" t="s">
        <v>2098</v>
      </c>
      <c r="K13" s="185">
        <v>6</v>
      </c>
      <c r="L13" s="186">
        <v>30.7</v>
      </c>
      <c r="M13" s="185">
        <v>7</v>
      </c>
      <c r="N13" s="183" t="s">
        <v>702</v>
      </c>
      <c r="O13" s="185">
        <v>390.7</v>
      </c>
      <c r="P13" s="187">
        <f t="shared" si="0"/>
        <v>6.5116666666666667</v>
      </c>
      <c r="Q13" s="183" t="s">
        <v>703</v>
      </c>
      <c r="R13" s="184" t="s">
        <v>1217</v>
      </c>
      <c r="S13" s="183" t="s">
        <v>741</v>
      </c>
    </row>
    <row r="14" spans="1:19" ht="27.6">
      <c r="A14" s="183" t="s">
        <v>694</v>
      </c>
      <c r="B14" s="183" t="s">
        <v>197</v>
      </c>
      <c r="C14" s="183" t="s">
        <v>197</v>
      </c>
      <c r="D14" s="183" t="s">
        <v>696</v>
      </c>
      <c r="E14" s="183" t="s">
        <v>697</v>
      </c>
      <c r="F14" s="183" t="s">
        <v>1</v>
      </c>
      <c r="G14" s="183" t="s">
        <v>2110</v>
      </c>
      <c r="H14" s="183" t="s">
        <v>2111</v>
      </c>
      <c r="I14" s="183" t="s">
        <v>444</v>
      </c>
      <c r="J14" s="183" t="s">
        <v>2098</v>
      </c>
      <c r="K14" s="185">
        <v>15</v>
      </c>
      <c r="L14" s="186">
        <v>29.6</v>
      </c>
      <c r="M14" s="185">
        <v>16</v>
      </c>
      <c r="N14" s="183" t="s">
        <v>702</v>
      </c>
      <c r="O14" s="185">
        <v>929.6</v>
      </c>
      <c r="P14" s="187">
        <f t="shared" si="0"/>
        <v>15.493333333333334</v>
      </c>
      <c r="Q14" s="183" t="s">
        <v>703</v>
      </c>
      <c r="R14" s="184" t="s">
        <v>1217</v>
      </c>
      <c r="S14" s="183" t="s">
        <v>741</v>
      </c>
    </row>
    <row r="15" spans="1:19" ht="27.6">
      <c r="A15" s="183" t="s">
        <v>694</v>
      </c>
      <c r="B15" s="183" t="s">
        <v>197</v>
      </c>
      <c r="C15" s="183" t="s">
        <v>197</v>
      </c>
      <c r="D15" s="183" t="s">
        <v>696</v>
      </c>
      <c r="E15" s="183" t="s">
        <v>697</v>
      </c>
      <c r="F15" s="183" t="s">
        <v>1</v>
      </c>
      <c r="G15" s="183" t="s">
        <v>2112</v>
      </c>
      <c r="H15" s="183" t="s">
        <v>2113</v>
      </c>
      <c r="I15" s="183" t="s">
        <v>445</v>
      </c>
      <c r="J15" s="183" t="s">
        <v>2098</v>
      </c>
      <c r="K15" s="185">
        <v>7</v>
      </c>
      <c r="L15" s="186">
        <v>49.8</v>
      </c>
      <c r="M15" s="185">
        <v>8</v>
      </c>
      <c r="N15" s="183" t="s">
        <v>702</v>
      </c>
      <c r="O15" s="185">
        <v>469.8</v>
      </c>
      <c r="P15" s="187">
        <f t="shared" si="0"/>
        <v>7.83</v>
      </c>
      <c r="Q15" s="183" t="s">
        <v>703</v>
      </c>
      <c r="R15" s="184" t="s">
        <v>1217</v>
      </c>
      <c r="S15" s="183" t="s">
        <v>741</v>
      </c>
    </row>
    <row r="16" spans="1:19" ht="27.6">
      <c r="A16" s="183" t="s">
        <v>694</v>
      </c>
      <c r="B16" s="183" t="s">
        <v>197</v>
      </c>
      <c r="C16" s="183" t="s">
        <v>197</v>
      </c>
      <c r="D16" s="183" t="s">
        <v>696</v>
      </c>
      <c r="E16" s="183" t="s">
        <v>697</v>
      </c>
      <c r="F16" s="183" t="s">
        <v>1</v>
      </c>
      <c r="G16" s="183" t="s">
        <v>1084</v>
      </c>
      <c r="H16" s="183" t="s">
        <v>2114</v>
      </c>
      <c r="I16" s="183" t="s">
        <v>446</v>
      </c>
      <c r="J16" s="183" t="s">
        <v>2098</v>
      </c>
      <c r="K16" s="185">
        <v>5</v>
      </c>
      <c r="L16" s="186">
        <v>31.6</v>
      </c>
      <c r="M16" s="185">
        <v>6</v>
      </c>
      <c r="N16" s="183" t="s">
        <v>702</v>
      </c>
      <c r="O16" s="185">
        <v>331.6</v>
      </c>
      <c r="P16" s="187">
        <f t="shared" si="0"/>
        <v>5.5266666666666673</v>
      </c>
      <c r="Q16" s="183" t="s">
        <v>703</v>
      </c>
      <c r="R16" s="184" t="s">
        <v>1217</v>
      </c>
      <c r="S16" s="183" t="s">
        <v>741</v>
      </c>
    </row>
    <row r="17" spans="1:19" ht="27.6">
      <c r="A17" s="183" t="s">
        <v>694</v>
      </c>
      <c r="B17" s="183" t="s">
        <v>197</v>
      </c>
      <c r="C17" s="183" t="s">
        <v>197</v>
      </c>
      <c r="D17" s="183" t="s">
        <v>696</v>
      </c>
      <c r="E17" s="183" t="s">
        <v>697</v>
      </c>
      <c r="F17" s="183" t="s">
        <v>1</v>
      </c>
      <c r="G17" s="183" t="s">
        <v>1084</v>
      </c>
      <c r="H17" s="183" t="s">
        <v>2115</v>
      </c>
      <c r="I17" s="183" t="s">
        <v>447</v>
      </c>
      <c r="J17" s="183" t="s">
        <v>2098</v>
      </c>
      <c r="K17" s="185">
        <v>3</v>
      </c>
      <c r="L17" s="186">
        <v>22.4</v>
      </c>
      <c r="M17" s="185">
        <v>4</v>
      </c>
      <c r="N17" s="183" t="s">
        <v>702</v>
      </c>
      <c r="O17" s="185">
        <v>202.4</v>
      </c>
      <c r="P17" s="187">
        <f t="shared" si="0"/>
        <v>3.3733333333333335</v>
      </c>
      <c r="Q17" s="183" t="s">
        <v>703</v>
      </c>
      <c r="R17" s="184" t="s">
        <v>1217</v>
      </c>
      <c r="S17" s="183" t="s">
        <v>741</v>
      </c>
    </row>
    <row r="18" spans="1:19" ht="27.6">
      <c r="A18" s="183" t="s">
        <v>694</v>
      </c>
      <c r="B18" s="183" t="s">
        <v>197</v>
      </c>
      <c r="C18" s="183" t="s">
        <v>197</v>
      </c>
      <c r="D18" s="183" t="s">
        <v>696</v>
      </c>
      <c r="E18" s="183" t="s">
        <v>697</v>
      </c>
      <c r="F18" s="183" t="s">
        <v>1</v>
      </c>
      <c r="G18" s="183" t="s">
        <v>1084</v>
      </c>
      <c r="H18" s="183" t="s">
        <v>2116</v>
      </c>
      <c r="I18" s="183" t="s">
        <v>448</v>
      </c>
      <c r="J18" s="183" t="s">
        <v>2098</v>
      </c>
      <c r="K18" s="185">
        <v>4</v>
      </c>
      <c r="L18" s="186">
        <v>16.5</v>
      </c>
      <c r="M18" s="185">
        <v>5</v>
      </c>
      <c r="N18" s="183" t="s">
        <v>702</v>
      </c>
      <c r="O18" s="185">
        <v>256.5</v>
      </c>
      <c r="P18" s="187">
        <f t="shared" si="0"/>
        <v>4.2750000000000004</v>
      </c>
      <c r="Q18" s="183" t="s">
        <v>703</v>
      </c>
      <c r="R18" s="184" t="s">
        <v>1217</v>
      </c>
      <c r="S18" s="183" t="s">
        <v>741</v>
      </c>
    </row>
    <row r="19" spans="1:19" ht="27.6">
      <c r="A19" s="183" t="s">
        <v>694</v>
      </c>
      <c r="B19" s="183" t="s">
        <v>197</v>
      </c>
      <c r="C19" s="183" t="s">
        <v>197</v>
      </c>
      <c r="D19" s="183" t="s">
        <v>696</v>
      </c>
      <c r="E19" s="183" t="s">
        <v>697</v>
      </c>
      <c r="F19" s="183" t="s">
        <v>1</v>
      </c>
      <c r="G19" s="183" t="s">
        <v>1084</v>
      </c>
      <c r="H19" s="183" t="s">
        <v>2117</v>
      </c>
      <c r="I19" s="183" t="s">
        <v>449</v>
      </c>
      <c r="J19" s="183" t="s">
        <v>2098</v>
      </c>
      <c r="K19" s="185">
        <v>3</v>
      </c>
      <c r="L19" s="186">
        <v>25.4</v>
      </c>
      <c r="M19" s="185">
        <v>4</v>
      </c>
      <c r="N19" s="183" t="s">
        <v>702</v>
      </c>
      <c r="O19" s="185">
        <v>205.4</v>
      </c>
      <c r="P19" s="187">
        <f t="shared" si="0"/>
        <v>3.4233333333333333</v>
      </c>
      <c r="Q19" s="183" t="s">
        <v>703</v>
      </c>
      <c r="R19" s="184" t="s">
        <v>1217</v>
      </c>
      <c r="S19" s="183" t="s">
        <v>741</v>
      </c>
    </row>
    <row r="20" spans="1:19" ht="27.6">
      <c r="A20" s="183" t="s">
        <v>694</v>
      </c>
      <c r="B20" s="183" t="s">
        <v>197</v>
      </c>
      <c r="C20" s="183" t="s">
        <v>197</v>
      </c>
      <c r="D20" s="183" t="s">
        <v>696</v>
      </c>
      <c r="E20" s="183" t="s">
        <v>697</v>
      </c>
      <c r="F20" s="183" t="s">
        <v>1</v>
      </c>
      <c r="G20" s="183" t="s">
        <v>1084</v>
      </c>
      <c r="H20" s="183" t="s">
        <v>2118</v>
      </c>
      <c r="I20" s="183" t="s">
        <v>450</v>
      </c>
      <c r="J20" s="183" t="s">
        <v>2098</v>
      </c>
      <c r="K20" s="185">
        <v>5</v>
      </c>
      <c r="L20" s="186">
        <v>50.6</v>
      </c>
      <c r="M20" s="185">
        <v>6</v>
      </c>
      <c r="N20" s="183" t="s">
        <v>702</v>
      </c>
      <c r="O20" s="185">
        <v>350.6</v>
      </c>
      <c r="P20" s="187">
        <f t="shared" si="0"/>
        <v>5.8433333333333337</v>
      </c>
      <c r="Q20" s="183" t="s">
        <v>703</v>
      </c>
      <c r="R20" s="184" t="s">
        <v>1217</v>
      </c>
      <c r="S20" s="183" t="s">
        <v>741</v>
      </c>
    </row>
    <row r="21" spans="1:19" ht="27.6">
      <c r="A21" s="183" t="s">
        <v>694</v>
      </c>
      <c r="B21" s="183" t="s">
        <v>197</v>
      </c>
      <c r="C21" s="183" t="s">
        <v>197</v>
      </c>
      <c r="D21" s="183" t="s">
        <v>696</v>
      </c>
      <c r="E21" s="183" t="s">
        <v>697</v>
      </c>
      <c r="F21" s="183" t="s">
        <v>1</v>
      </c>
      <c r="G21" s="183" t="s">
        <v>1084</v>
      </c>
      <c r="H21" s="183" t="s">
        <v>2119</v>
      </c>
      <c r="I21" s="183" t="s">
        <v>451</v>
      </c>
      <c r="J21" s="183" t="s">
        <v>2098</v>
      </c>
      <c r="K21" s="185">
        <v>4</v>
      </c>
      <c r="L21" s="186">
        <v>19.5</v>
      </c>
      <c r="M21" s="185">
        <v>5</v>
      </c>
      <c r="N21" s="183" t="s">
        <v>702</v>
      </c>
      <c r="O21" s="185">
        <v>259.5</v>
      </c>
      <c r="P21" s="187">
        <f t="shared" si="0"/>
        <v>4.3250000000000002</v>
      </c>
      <c r="Q21" s="183" t="s">
        <v>703</v>
      </c>
      <c r="R21" s="184" t="s">
        <v>1217</v>
      </c>
      <c r="S21" s="183" t="s">
        <v>741</v>
      </c>
    </row>
    <row r="22" spans="1:19" ht="27.6">
      <c r="A22" s="183" t="s">
        <v>694</v>
      </c>
      <c r="B22" s="183" t="s">
        <v>197</v>
      </c>
      <c r="C22" s="183" t="s">
        <v>197</v>
      </c>
      <c r="D22" s="183" t="s">
        <v>696</v>
      </c>
      <c r="E22" s="183" t="s">
        <v>697</v>
      </c>
      <c r="F22" s="183" t="s">
        <v>1</v>
      </c>
      <c r="G22" s="183" t="s">
        <v>1084</v>
      </c>
      <c r="H22" s="183" t="s">
        <v>2120</v>
      </c>
      <c r="I22" s="183" t="s">
        <v>452</v>
      </c>
      <c r="J22" s="183" t="s">
        <v>2098</v>
      </c>
      <c r="K22" s="185">
        <v>4</v>
      </c>
      <c r="L22" s="186">
        <v>45.5</v>
      </c>
      <c r="M22" s="185">
        <v>5</v>
      </c>
      <c r="N22" s="183" t="s">
        <v>702</v>
      </c>
      <c r="O22" s="185">
        <v>285.5</v>
      </c>
      <c r="P22" s="187">
        <f t="shared" si="0"/>
        <v>4.7583333333333337</v>
      </c>
      <c r="Q22" s="183" t="s">
        <v>703</v>
      </c>
      <c r="R22" s="184" t="s">
        <v>1217</v>
      </c>
      <c r="S22" s="183" t="s">
        <v>741</v>
      </c>
    </row>
    <row r="23" spans="1:19" ht="27.6">
      <c r="A23" s="183" t="s">
        <v>694</v>
      </c>
      <c r="B23" s="183" t="s">
        <v>197</v>
      </c>
      <c r="C23" s="183" t="s">
        <v>197</v>
      </c>
      <c r="D23" s="183" t="s">
        <v>696</v>
      </c>
      <c r="E23" s="183" t="s">
        <v>697</v>
      </c>
      <c r="F23" s="183" t="s">
        <v>1</v>
      </c>
      <c r="G23" s="183" t="s">
        <v>2121</v>
      </c>
      <c r="H23" s="183" t="s">
        <v>2122</v>
      </c>
      <c r="I23" s="183" t="s">
        <v>453</v>
      </c>
      <c r="J23" s="183" t="s">
        <v>2098</v>
      </c>
      <c r="K23" s="185">
        <v>13</v>
      </c>
      <c r="L23" s="186">
        <v>51.4</v>
      </c>
      <c r="M23" s="185">
        <v>14</v>
      </c>
      <c r="N23" s="183" t="s">
        <v>702</v>
      </c>
      <c r="O23" s="185">
        <v>831.4</v>
      </c>
      <c r="P23" s="187">
        <f t="shared" si="0"/>
        <v>13.856666666666666</v>
      </c>
      <c r="Q23" s="183" t="s">
        <v>703</v>
      </c>
      <c r="R23" s="184" t="s">
        <v>1217</v>
      </c>
      <c r="S23" s="183" t="s">
        <v>741</v>
      </c>
    </row>
    <row r="24" spans="1:19" ht="27.6">
      <c r="A24" s="183" t="s">
        <v>694</v>
      </c>
      <c r="B24" s="183" t="s">
        <v>197</v>
      </c>
      <c r="C24" s="183" t="s">
        <v>197</v>
      </c>
      <c r="D24" s="183" t="s">
        <v>696</v>
      </c>
      <c r="E24" s="183" t="s">
        <v>697</v>
      </c>
      <c r="F24" s="183" t="s">
        <v>1</v>
      </c>
      <c r="G24" s="183" t="s">
        <v>2121</v>
      </c>
      <c r="H24" s="183" t="s">
        <v>2123</v>
      </c>
      <c r="I24" s="183" t="s">
        <v>454</v>
      </c>
      <c r="J24" s="183" t="s">
        <v>2098</v>
      </c>
      <c r="K24" s="185">
        <v>49</v>
      </c>
      <c r="L24" s="186">
        <v>18</v>
      </c>
      <c r="M24" s="185">
        <v>50</v>
      </c>
      <c r="N24" s="183" t="s">
        <v>702</v>
      </c>
      <c r="O24" s="185">
        <v>2958</v>
      </c>
      <c r="P24" s="187">
        <f t="shared" si="0"/>
        <v>49.3</v>
      </c>
      <c r="Q24" s="183" t="s">
        <v>703</v>
      </c>
      <c r="R24" s="184" t="s">
        <v>1217</v>
      </c>
      <c r="S24" s="183" t="s">
        <v>741</v>
      </c>
    </row>
    <row r="25" spans="1:19" ht="27.6">
      <c r="A25" s="183" t="s">
        <v>694</v>
      </c>
      <c r="B25" s="183" t="s">
        <v>197</v>
      </c>
      <c r="C25" s="183" t="s">
        <v>197</v>
      </c>
      <c r="D25" s="183" t="s">
        <v>696</v>
      </c>
      <c r="E25" s="183" t="s">
        <v>697</v>
      </c>
      <c r="F25" s="183" t="s">
        <v>1</v>
      </c>
      <c r="G25" s="183" t="s">
        <v>2121</v>
      </c>
      <c r="H25" s="183" t="s">
        <v>2124</v>
      </c>
      <c r="I25" s="183" t="s">
        <v>455</v>
      </c>
      <c r="J25" s="183" t="s">
        <v>2098</v>
      </c>
      <c r="K25" s="185">
        <v>4</v>
      </c>
      <c r="L25" s="186">
        <v>55.5</v>
      </c>
      <c r="M25" s="185">
        <v>5</v>
      </c>
      <c r="N25" s="183" t="s">
        <v>702</v>
      </c>
      <c r="O25" s="185">
        <v>295.5</v>
      </c>
      <c r="P25" s="187">
        <f t="shared" si="0"/>
        <v>4.9249999999999998</v>
      </c>
      <c r="Q25" s="183" t="s">
        <v>703</v>
      </c>
      <c r="R25" s="184" t="s">
        <v>1217</v>
      </c>
      <c r="S25" s="183" t="s">
        <v>741</v>
      </c>
    </row>
    <row r="26" spans="1:19" ht="27.6">
      <c r="A26" s="183" t="s">
        <v>694</v>
      </c>
      <c r="B26" s="183" t="s">
        <v>197</v>
      </c>
      <c r="C26" s="183" t="s">
        <v>197</v>
      </c>
      <c r="D26" s="183" t="s">
        <v>696</v>
      </c>
      <c r="E26" s="183" t="s">
        <v>697</v>
      </c>
      <c r="F26" s="183" t="s">
        <v>1</v>
      </c>
      <c r="G26" s="183" t="s">
        <v>2121</v>
      </c>
      <c r="H26" s="183" t="s">
        <v>2125</v>
      </c>
      <c r="I26" s="183" t="s">
        <v>456</v>
      </c>
      <c r="J26" s="183" t="s">
        <v>2098</v>
      </c>
      <c r="K26" s="185">
        <v>5</v>
      </c>
      <c r="L26" s="186">
        <v>29.6</v>
      </c>
      <c r="M26" s="185">
        <v>6</v>
      </c>
      <c r="N26" s="183" t="s">
        <v>702</v>
      </c>
      <c r="O26" s="185">
        <v>329.6</v>
      </c>
      <c r="P26" s="187">
        <f t="shared" si="0"/>
        <v>5.4933333333333341</v>
      </c>
      <c r="Q26" s="183" t="s">
        <v>703</v>
      </c>
      <c r="R26" s="184" t="s">
        <v>1217</v>
      </c>
      <c r="S26" s="183" t="s">
        <v>741</v>
      </c>
    </row>
    <row r="27" spans="1:19" ht="27.6">
      <c r="A27" s="183" t="s">
        <v>694</v>
      </c>
      <c r="B27" s="183" t="s">
        <v>197</v>
      </c>
      <c r="C27" s="183" t="s">
        <v>197</v>
      </c>
      <c r="D27" s="183" t="s">
        <v>696</v>
      </c>
      <c r="E27" s="183" t="s">
        <v>697</v>
      </c>
      <c r="F27" s="183" t="s">
        <v>1</v>
      </c>
      <c r="G27" s="183" t="s">
        <v>2121</v>
      </c>
      <c r="H27" s="183" t="s">
        <v>2126</v>
      </c>
      <c r="I27" s="183" t="s">
        <v>457</v>
      </c>
      <c r="J27" s="183" t="s">
        <v>2098</v>
      </c>
      <c r="K27" s="185">
        <v>15</v>
      </c>
      <c r="L27" s="186">
        <v>23.6</v>
      </c>
      <c r="M27" s="185">
        <v>16</v>
      </c>
      <c r="N27" s="183" t="s">
        <v>702</v>
      </c>
      <c r="O27" s="185">
        <v>923.6</v>
      </c>
      <c r="P27" s="187">
        <f t="shared" si="0"/>
        <v>15.393333333333334</v>
      </c>
      <c r="Q27" s="183" t="s">
        <v>703</v>
      </c>
      <c r="R27" s="184" t="s">
        <v>1217</v>
      </c>
      <c r="S27" s="183" t="s">
        <v>741</v>
      </c>
    </row>
    <row r="28" spans="1:19" ht="27.6">
      <c r="A28" s="183" t="s">
        <v>694</v>
      </c>
      <c r="B28" s="183" t="s">
        <v>197</v>
      </c>
      <c r="C28" s="183" t="s">
        <v>197</v>
      </c>
      <c r="D28" s="183" t="s">
        <v>696</v>
      </c>
      <c r="E28" s="183" t="s">
        <v>697</v>
      </c>
      <c r="F28" s="183" t="s">
        <v>1</v>
      </c>
      <c r="G28" s="183" t="s">
        <v>2127</v>
      </c>
      <c r="H28" s="183" t="s">
        <v>2128</v>
      </c>
      <c r="I28" s="183" t="s">
        <v>458</v>
      </c>
      <c r="J28" s="183" t="s">
        <v>2098</v>
      </c>
      <c r="K28" s="185">
        <v>11</v>
      </c>
      <c r="L28" s="186">
        <v>25.2</v>
      </c>
      <c r="M28" s="185">
        <v>12</v>
      </c>
      <c r="N28" s="183" t="s">
        <v>702</v>
      </c>
      <c r="O28" s="185">
        <v>685.2</v>
      </c>
      <c r="P28" s="187">
        <f t="shared" si="0"/>
        <v>11.42</v>
      </c>
      <c r="Q28" s="183" t="s">
        <v>703</v>
      </c>
      <c r="R28" s="184" t="s">
        <v>1217</v>
      </c>
      <c r="S28" s="183" t="s">
        <v>741</v>
      </c>
    </row>
    <row r="29" spans="1:19" ht="27.6">
      <c r="A29" s="183" t="s">
        <v>694</v>
      </c>
      <c r="B29" s="183" t="s">
        <v>197</v>
      </c>
      <c r="C29" s="183" t="s">
        <v>197</v>
      </c>
      <c r="D29" s="183" t="s">
        <v>696</v>
      </c>
      <c r="E29" s="183" t="s">
        <v>697</v>
      </c>
      <c r="F29" s="183" t="s">
        <v>1</v>
      </c>
      <c r="G29" s="183" t="s">
        <v>2129</v>
      </c>
      <c r="H29" s="183" t="s">
        <v>2130</v>
      </c>
      <c r="I29" s="183" t="s">
        <v>459</v>
      </c>
      <c r="J29" s="183" t="s">
        <v>2098</v>
      </c>
      <c r="K29" s="185">
        <v>5</v>
      </c>
      <c r="L29" s="186">
        <v>8.6</v>
      </c>
      <c r="M29" s="185">
        <v>6</v>
      </c>
      <c r="N29" s="183" t="s">
        <v>702</v>
      </c>
      <c r="O29" s="185">
        <v>308.60000000000002</v>
      </c>
      <c r="P29" s="187">
        <f t="shared" si="0"/>
        <v>5.1433333333333335</v>
      </c>
      <c r="Q29" s="183" t="s">
        <v>703</v>
      </c>
      <c r="R29" s="184" t="s">
        <v>1217</v>
      </c>
      <c r="S29" s="183" t="s">
        <v>741</v>
      </c>
    </row>
    <row r="30" spans="1:19" ht="27.6">
      <c r="A30" s="183" t="s">
        <v>694</v>
      </c>
      <c r="B30" s="183" t="s">
        <v>197</v>
      </c>
      <c r="C30" s="183" t="s">
        <v>197</v>
      </c>
      <c r="D30" s="183" t="s">
        <v>696</v>
      </c>
      <c r="E30" s="183" t="s">
        <v>697</v>
      </c>
      <c r="F30" s="183" t="s">
        <v>1</v>
      </c>
      <c r="G30" s="183" t="s">
        <v>2129</v>
      </c>
      <c r="H30" s="183" t="s">
        <v>2131</v>
      </c>
      <c r="I30" s="183" t="s">
        <v>460</v>
      </c>
      <c r="J30" s="183" t="s">
        <v>2098</v>
      </c>
      <c r="K30" s="185">
        <v>5</v>
      </c>
      <c r="L30" s="186">
        <v>54.6</v>
      </c>
      <c r="M30" s="185">
        <v>6</v>
      </c>
      <c r="N30" s="183" t="s">
        <v>702</v>
      </c>
      <c r="O30" s="185">
        <v>354.6</v>
      </c>
      <c r="P30" s="187">
        <f t="shared" si="0"/>
        <v>5.91</v>
      </c>
      <c r="Q30" s="183" t="s">
        <v>703</v>
      </c>
      <c r="R30" s="184" t="s">
        <v>1217</v>
      </c>
      <c r="S30" s="183" t="s">
        <v>741</v>
      </c>
    </row>
    <row r="31" spans="1:19" ht="27.6">
      <c r="A31" s="183" t="s">
        <v>694</v>
      </c>
      <c r="B31" s="183" t="s">
        <v>197</v>
      </c>
      <c r="C31" s="183" t="s">
        <v>197</v>
      </c>
      <c r="D31" s="183" t="s">
        <v>696</v>
      </c>
      <c r="E31" s="183" t="s">
        <v>697</v>
      </c>
      <c r="F31" s="183" t="s">
        <v>1</v>
      </c>
      <c r="G31" s="183" t="s">
        <v>2132</v>
      </c>
      <c r="H31" s="183" t="s">
        <v>2133</v>
      </c>
      <c r="I31" s="183" t="s">
        <v>461</v>
      </c>
      <c r="J31" s="183" t="s">
        <v>2098</v>
      </c>
      <c r="K31" s="185">
        <v>7</v>
      </c>
      <c r="L31" s="186">
        <v>28.8</v>
      </c>
      <c r="M31" s="185">
        <v>8</v>
      </c>
      <c r="N31" s="183" t="s">
        <v>702</v>
      </c>
      <c r="O31" s="185">
        <v>448.8</v>
      </c>
      <c r="P31" s="187">
        <f t="shared" si="0"/>
        <v>7.48</v>
      </c>
      <c r="Q31" s="183" t="s">
        <v>703</v>
      </c>
      <c r="R31" s="184" t="s">
        <v>1217</v>
      </c>
      <c r="S31" s="183" t="s">
        <v>741</v>
      </c>
    </row>
    <row r="32" spans="1:19" ht="27.6">
      <c r="A32" s="183" t="s">
        <v>694</v>
      </c>
      <c r="B32" s="183" t="s">
        <v>197</v>
      </c>
      <c r="C32" s="183" t="s">
        <v>197</v>
      </c>
      <c r="D32" s="183" t="s">
        <v>696</v>
      </c>
      <c r="E32" s="183" t="s">
        <v>697</v>
      </c>
      <c r="F32" s="183" t="s">
        <v>1</v>
      </c>
      <c r="G32" s="183" t="s">
        <v>2134</v>
      </c>
      <c r="H32" s="183" t="s">
        <v>2135</v>
      </c>
      <c r="I32" s="183" t="s">
        <v>462</v>
      </c>
      <c r="J32" s="183" t="s">
        <v>2098</v>
      </c>
      <c r="K32" s="185">
        <v>6</v>
      </c>
      <c r="L32" s="186">
        <v>11.7</v>
      </c>
      <c r="M32" s="185">
        <v>7</v>
      </c>
      <c r="N32" s="183" t="s">
        <v>702</v>
      </c>
      <c r="O32" s="185">
        <v>371.7</v>
      </c>
      <c r="P32" s="187">
        <f t="shared" si="0"/>
        <v>6.1949999999999994</v>
      </c>
      <c r="Q32" s="183" t="s">
        <v>703</v>
      </c>
      <c r="R32" s="184" t="s">
        <v>1217</v>
      </c>
      <c r="S32" s="183" t="s">
        <v>741</v>
      </c>
    </row>
    <row r="33" spans="1:19" ht="27.6">
      <c r="A33" s="183" t="s">
        <v>694</v>
      </c>
      <c r="B33" s="183" t="s">
        <v>197</v>
      </c>
      <c r="C33" s="183" t="s">
        <v>197</v>
      </c>
      <c r="D33" s="183" t="s">
        <v>696</v>
      </c>
      <c r="E33" s="183" t="s">
        <v>697</v>
      </c>
      <c r="F33" s="183" t="s">
        <v>1</v>
      </c>
      <c r="G33" s="183" t="s">
        <v>2136</v>
      </c>
      <c r="H33" s="183" t="s">
        <v>2137</v>
      </c>
      <c r="I33" s="183" t="s">
        <v>463</v>
      </c>
      <c r="J33" s="183" t="s">
        <v>2098</v>
      </c>
      <c r="K33" s="185">
        <v>8</v>
      </c>
      <c r="L33" s="186">
        <v>28.9</v>
      </c>
      <c r="M33" s="185">
        <v>9</v>
      </c>
      <c r="N33" s="183" t="s">
        <v>702</v>
      </c>
      <c r="O33" s="185">
        <v>508.9</v>
      </c>
      <c r="P33" s="187">
        <f t="shared" si="0"/>
        <v>8.4816666666666656</v>
      </c>
      <c r="Q33" s="183" t="s">
        <v>703</v>
      </c>
      <c r="R33" s="184" t="s">
        <v>1217</v>
      </c>
      <c r="S33" s="183" t="s">
        <v>741</v>
      </c>
    </row>
    <row r="34" spans="1:19" ht="27.6">
      <c r="A34" s="183" t="s">
        <v>694</v>
      </c>
      <c r="B34" s="183" t="s">
        <v>197</v>
      </c>
      <c r="C34" s="183" t="s">
        <v>197</v>
      </c>
      <c r="D34" s="183" t="s">
        <v>696</v>
      </c>
      <c r="E34" s="183" t="s">
        <v>697</v>
      </c>
      <c r="F34" s="183" t="s">
        <v>1</v>
      </c>
      <c r="G34" s="183" t="s">
        <v>2138</v>
      </c>
      <c r="H34" s="183" t="s">
        <v>2139</v>
      </c>
      <c r="I34" s="183" t="s">
        <v>464</v>
      </c>
      <c r="J34" s="183" t="s">
        <v>2098</v>
      </c>
      <c r="K34" s="185">
        <v>28</v>
      </c>
      <c r="L34" s="186">
        <v>2.8</v>
      </c>
      <c r="M34" s="185">
        <v>28</v>
      </c>
      <c r="N34" s="183" t="s">
        <v>702</v>
      </c>
      <c r="O34" s="185">
        <v>1682.8</v>
      </c>
      <c r="P34" s="187">
        <f t="shared" si="0"/>
        <v>28.046666666666667</v>
      </c>
      <c r="Q34" s="183" t="s">
        <v>703</v>
      </c>
      <c r="R34" s="184" t="s">
        <v>1217</v>
      </c>
      <c r="S34" s="183" t="s">
        <v>741</v>
      </c>
    </row>
    <row r="35" spans="1:19" ht="27.6">
      <c r="A35" s="183" t="s">
        <v>694</v>
      </c>
      <c r="B35" s="183" t="s">
        <v>197</v>
      </c>
      <c r="C35" s="183" t="s">
        <v>197</v>
      </c>
      <c r="D35" s="183" t="s">
        <v>696</v>
      </c>
      <c r="E35" s="183" t="s">
        <v>697</v>
      </c>
      <c r="F35" s="183" t="s">
        <v>1</v>
      </c>
      <c r="G35" s="183" t="s">
        <v>2140</v>
      </c>
      <c r="H35" s="183" t="s">
        <v>2141</v>
      </c>
      <c r="I35" s="183" t="s">
        <v>465</v>
      </c>
      <c r="J35" s="183" t="s">
        <v>2098</v>
      </c>
      <c r="K35" s="185">
        <v>9</v>
      </c>
      <c r="L35" s="186">
        <v>40</v>
      </c>
      <c r="M35" s="185">
        <v>10</v>
      </c>
      <c r="N35" s="183" t="s">
        <v>702</v>
      </c>
      <c r="O35" s="185">
        <v>580</v>
      </c>
      <c r="P35" s="187">
        <f t="shared" si="0"/>
        <v>9.6666666666666661</v>
      </c>
      <c r="Q35" s="183" t="s">
        <v>703</v>
      </c>
      <c r="R35" s="184" t="s">
        <v>1217</v>
      </c>
      <c r="S35" s="183" t="s">
        <v>741</v>
      </c>
    </row>
    <row r="36" spans="1:19" ht="27.6">
      <c r="A36" s="183" t="s">
        <v>694</v>
      </c>
      <c r="B36" s="183" t="s">
        <v>197</v>
      </c>
      <c r="C36" s="183" t="s">
        <v>197</v>
      </c>
      <c r="D36" s="183" t="s">
        <v>696</v>
      </c>
      <c r="E36" s="183" t="s">
        <v>697</v>
      </c>
      <c r="F36" s="183" t="s">
        <v>1</v>
      </c>
      <c r="G36" s="183" t="s">
        <v>2142</v>
      </c>
      <c r="H36" s="183" t="s">
        <v>2143</v>
      </c>
      <c r="I36" s="183" t="s">
        <v>466</v>
      </c>
      <c r="J36" s="183" t="s">
        <v>2144</v>
      </c>
      <c r="K36" s="185">
        <v>88</v>
      </c>
      <c r="L36" s="186">
        <v>25.9</v>
      </c>
      <c r="M36" s="185">
        <v>89</v>
      </c>
      <c r="N36" s="183" t="s">
        <v>702</v>
      </c>
      <c r="O36" s="185">
        <v>5305.9</v>
      </c>
      <c r="P36" s="187">
        <f t="shared" si="0"/>
        <v>88.431666666666658</v>
      </c>
      <c r="Q36" s="183" t="s">
        <v>703</v>
      </c>
      <c r="R36" s="184" t="s">
        <v>1217</v>
      </c>
      <c r="S36" s="183" t="s">
        <v>741</v>
      </c>
    </row>
    <row r="37" spans="1:19" ht="27.6">
      <c r="A37" s="183" t="s">
        <v>694</v>
      </c>
      <c r="B37" s="183" t="s">
        <v>197</v>
      </c>
      <c r="C37" s="183" t="s">
        <v>197</v>
      </c>
      <c r="D37" s="183" t="s">
        <v>696</v>
      </c>
      <c r="E37" s="183" t="s">
        <v>697</v>
      </c>
      <c r="F37" s="183" t="s">
        <v>1</v>
      </c>
      <c r="G37" s="183" t="s">
        <v>2145</v>
      </c>
      <c r="H37" s="183" t="s">
        <v>2146</v>
      </c>
      <c r="I37" s="183" t="s">
        <v>467</v>
      </c>
      <c r="J37" s="183" t="s">
        <v>2098</v>
      </c>
      <c r="K37" s="185">
        <v>13</v>
      </c>
      <c r="L37" s="186">
        <v>37.4</v>
      </c>
      <c r="M37" s="185">
        <v>14</v>
      </c>
      <c r="N37" s="183" t="s">
        <v>702</v>
      </c>
      <c r="O37" s="185">
        <v>817.4</v>
      </c>
      <c r="P37" s="187">
        <f t="shared" si="0"/>
        <v>13.623333333333333</v>
      </c>
      <c r="Q37" s="183" t="s">
        <v>703</v>
      </c>
      <c r="R37" s="184" t="s">
        <v>1217</v>
      </c>
      <c r="S37" s="183" t="s">
        <v>741</v>
      </c>
    </row>
    <row r="38" spans="1:19" ht="27.6">
      <c r="A38" s="183" t="s">
        <v>694</v>
      </c>
      <c r="B38" s="183" t="s">
        <v>197</v>
      </c>
      <c r="C38" s="183" t="s">
        <v>197</v>
      </c>
      <c r="D38" s="183" t="s">
        <v>696</v>
      </c>
      <c r="E38" s="183" t="s">
        <v>697</v>
      </c>
      <c r="F38" s="183" t="s">
        <v>1</v>
      </c>
      <c r="G38" s="183" t="s">
        <v>2147</v>
      </c>
      <c r="H38" s="183" t="s">
        <v>2148</v>
      </c>
      <c r="I38" s="183" t="s">
        <v>468</v>
      </c>
      <c r="J38" s="183" t="s">
        <v>2098</v>
      </c>
      <c r="K38" s="185">
        <v>9</v>
      </c>
      <c r="L38" s="186">
        <v>37</v>
      </c>
      <c r="M38" s="185">
        <v>10</v>
      </c>
      <c r="N38" s="183" t="s">
        <v>702</v>
      </c>
      <c r="O38" s="185">
        <v>577</v>
      </c>
      <c r="P38" s="187">
        <f t="shared" si="0"/>
        <v>9.6166666666666671</v>
      </c>
      <c r="Q38" s="183" t="s">
        <v>703</v>
      </c>
      <c r="R38" s="184" t="s">
        <v>1217</v>
      </c>
      <c r="S38" s="183" t="s">
        <v>741</v>
      </c>
    </row>
    <row r="39" spans="1:19" ht="27.6">
      <c r="A39" s="183" t="s">
        <v>694</v>
      </c>
      <c r="B39" s="183" t="s">
        <v>197</v>
      </c>
      <c r="C39" s="183" t="s">
        <v>197</v>
      </c>
      <c r="D39" s="183" t="s">
        <v>696</v>
      </c>
      <c r="E39" s="183" t="s">
        <v>697</v>
      </c>
      <c r="F39" s="183" t="s">
        <v>1</v>
      </c>
      <c r="G39" s="183" t="s">
        <v>2149</v>
      </c>
      <c r="H39" s="183" t="s">
        <v>2150</v>
      </c>
      <c r="I39" s="183" t="s">
        <v>469</v>
      </c>
      <c r="J39" s="183" t="s">
        <v>2098</v>
      </c>
      <c r="K39" s="185">
        <v>14</v>
      </c>
      <c r="L39" s="186">
        <v>51.5</v>
      </c>
      <c r="M39" s="185">
        <v>15</v>
      </c>
      <c r="N39" s="183" t="s">
        <v>702</v>
      </c>
      <c r="O39" s="185">
        <v>891.5</v>
      </c>
      <c r="P39" s="187">
        <f t="shared" si="0"/>
        <v>14.858333333333333</v>
      </c>
      <c r="Q39" s="183" t="s">
        <v>703</v>
      </c>
      <c r="R39" s="184" t="s">
        <v>1217</v>
      </c>
      <c r="S39" s="183" t="s">
        <v>741</v>
      </c>
    </row>
    <row r="40" spans="1:19" ht="27.6">
      <c r="A40" s="183" t="s">
        <v>694</v>
      </c>
      <c r="B40" s="183" t="s">
        <v>197</v>
      </c>
      <c r="C40" s="183" t="s">
        <v>197</v>
      </c>
      <c r="D40" s="183" t="s">
        <v>696</v>
      </c>
      <c r="E40" s="183" t="s">
        <v>697</v>
      </c>
      <c r="F40" s="183" t="s">
        <v>1</v>
      </c>
      <c r="G40" s="183" t="s">
        <v>2149</v>
      </c>
      <c r="H40" s="183" t="s">
        <v>2151</v>
      </c>
      <c r="I40" s="183" t="s">
        <v>470</v>
      </c>
      <c r="J40" s="183" t="s">
        <v>2098</v>
      </c>
      <c r="K40" s="185">
        <v>22</v>
      </c>
      <c r="L40" s="186">
        <v>18.3</v>
      </c>
      <c r="M40" s="185">
        <v>23</v>
      </c>
      <c r="N40" s="183" t="s">
        <v>702</v>
      </c>
      <c r="O40" s="185">
        <v>1338.3</v>
      </c>
      <c r="P40" s="187">
        <f t="shared" si="0"/>
        <v>22.305</v>
      </c>
      <c r="Q40" s="183" t="s">
        <v>703</v>
      </c>
      <c r="R40" s="184" t="s">
        <v>1217</v>
      </c>
      <c r="S40" s="183" t="s">
        <v>741</v>
      </c>
    </row>
    <row r="41" spans="1:19" ht="27.6">
      <c r="A41" s="183" t="s">
        <v>694</v>
      </c>
      <c r="B41" s="183" t="s">
        <v>197</v>
      </c>
      <c r="C41" s="183" t="s">
        <v>197</v>
      </c>
      <c r="D41" s="183" t="s">
        <v>696</v>
      </c>
      <c r="E41" s="183" t="s">
        <v>697</v>
      </c>
      <c r="F41" s="183" t="s">
        <v>1</v>
      </c>
      <c r="G41" s="183" t="s">
        <v>2152</v>
      </c>
      <c r="H41" s="183" t="s">
        <v>2153</v>
      </c>
      <c r="I41" s="183" t="s">
        <v>471</v>
      </c>
      <c r="J41" s="183" t="s">
        <v>2098</v>
      </c>
      <c r="K41" s="185">
        <v>7</v>
      </c>
      <c r="L41" s="186">
        <v>24.8</v>
      </c>
      <c r="M41" s="185">
        <v>8</v>
      </c>
      <c r="N41" s="183" t="s">
        <v>702</v>
      </c>
      <c r="O41" s="185">
        <v>444.8</v>
      </c>
      <c r="P41" s="187">
        <f t="shared" si="0"/>
        <v>7.4133333333333331</v>
      </c>
      <c r="Q41" s="183" t="s">
        <v>703</v>
      </c>
      <c r="R41" s="184" t="s">
        <v>1217</v>
      </c>
      <c r="S41" s="183" t="s">
        <v>741</v>
      </c>
    </row>
    <row r="42" spans="1:19" ht="27.6">
      <c r="A42" s="183" t="s">
        <v>694</v>
      </c>
      <c r="B42" s="183" t="s">
        <v>197</v>
      </c>
      <c r="C42" s="183" t="s">
        <v>197</v>
      </c>
      <c r="D42" s="183" t="s">
        <v>696</v>
      </c>
      <c r="E42" s="183" t="s">
        <v>697</v>
      </c>
      <c r="F42" s="183" t="s">
        <v>1</v>
      </c>
      <c r="G42" s="183" t="s">
        <v>2154</v>
      </c>
      <c r="H42" s="183" t="s">
        <v>2155</v>
      </c>
      <c r="I42" s="183" t="s">
        <v>472</v>
      </c>
      <c r="J42" s="183" t="s">
        <v>2098</v>
      </c>
      <c r="K42" s="185">
        <v>40</v>
      </c>
      <c r="L42" s="186">
        <v>50.1</v>
      </c>
      <c r="M42" s="185">
        <v>41</v>
      </c>
      <c r="N42" s="183" t="s">
        <v>702</v>
      </c>
      <c r="O42" s="185">
        <v>2450.1</v>
      </c>
      <c r="P42" s="187">
        <f t="shared" si="0"/>
        <v>40.835000000000001</v>
      </c>
      <c r="Q42" s="183" t="s">
        <v>703</v>
      </c>
      <c r="R42" s="184" t="s">
        <v>1217</v>
      </c>
      <c r="S42" s="183" t="s">
        <v>741</v>
      </c>
    </row>
    <row r="43" spans="1:19" ht="41.45">
      <c r="A43" s="183" t="s">
        <v>694</v>
      </c>
      <c r="B43" s="183" t="s">
        <v>240</v>
      </c>
      <c r="C43" s="183" t="s">
        <v>240</v>
      </c>
      <c r="D43" s="183" t="s">
        <v>696</v>
      </c>
      <c r="E43" s="183" t="s">
        <v>697</v>
      </c>
      <c r="F43" s="183" t="s">
        <v>1</v>
      </c>
      <c r="G43" s="183" t="s">
        <v>1497</v>
      </c>
      <c r="H43" s="183" t="s">
        <v>2156</v>
      </c>
      <c r="I43" s="183" t="s">
        <v>473</v>
      </c>
      <c r="J43" s="183" t="s">
        <v>2094</v>
      </c>
      <c r="K43" s="185">
        <v>133</v>
      </c>
      <c r="L43" s="186">
        <v>12</v>
      </c>
      <c r="M43" s="185">
        <v>134</v>
      </c>
      <c r="N43" s="183" t="s">
        <v>702</v>
      </c>
      <c r="O43" s="185">
        <v>7992</v>
      </c>
      <c r="P43" s="187">
        <f t="shared" si="0"/>
        <v>133.19999999999999</v>
      </c>
      <c r="Q43" s="183" t="s">
        <v>703</v>
      </c>
      <c r="R43" s="184" t="s">
        <v>1530</v>
      </c>
      <c r="S43" s="183"/>
    </row>
    <row r="44" spans="1:19" ht="27.6">
      <c r="A44" s="183" t="s">
        <v>694</v>
      </c>
      <c r="B44" s="183" t="s">
        <v>240</v>
      </c>
      <c r="C44" s="183" t="s">
        <v>240</v>
      </c>
      <c r="D44" s="183" t="s">
        <v>696</v>
      </c>
      <c r="E44" s="183" t="s">
        <v>697</v>
      </c>
      <c r="F44" s="183" t="s">
        <v>1</v>
      </c>
      <c r="G44" s="183" t="s">
        <v>1514</v>
      </c>
      <c r="H44" s="183" t="s">
        <v>2157</v>
      </c>
      <c r="I44" s="183" t="s">
        <v>386</v>
      </c>
      <c r="J44" s="183" t="s">
        <v>2094</v>
      </c>
      <c r="K44" s="185">
        <v>78</v>
      </c>
      <c r="L44" s="186">
        <v>41</v>
      </c>
      <c r="M44" s="185">
        <v>79</v>
      </c>
      <c r="N44" s="183" t="s">
        <v>702</v>
      </c>
      <c r="O44" s="185">
        <v>4721</v>
      </c>
      <c r="P44" s="187">
        <f t="shared" si="0"/>
        <v>78.683333333333337</v>
      </c>
      <c r="Q44" s="183" t="s">
        <v>703</v>
      </c>
      <c r="R44" s="184" t="s">
        <v>1047</v>
      </c>
      <c r="S44" s="183"/>
    </row>
    <row r="45" spans="1:19" ht="27.6">
      <c r="A45" s="183" t="s">
        <v>694</v>
      </c>
      <c r="B45" s="183" t="s">
        <v>240</v>
      </c>
      <c r="C45" s="183" t="s">
        <v>240</v>
      </c>
      <c r="D45" s="183" t="s">
        <v>696</v>
      </c>
      <c r="E45" s="183" t="s">
        <v>697</v>
      </c>
      <c r="F45" s="183" t="s">
        <v>1</v>
      </c>
      <c r="G45" s="183" t="s">
        <v>1514</v>
      </c>
      <c r="H45" s="183" t="s">
        <v>2157</v>
      </c>
      <c r="I45" s="183" t="s">
        <v>386</v>
      </c>
      <c r="J45" s="183" t="s">
        <v>2158</v>
      </c>
      <c r="K45" s="185">
        <v>70</v>
      </c>
      <c r="L45" s="186">
        <v>0</v>
      </c>
      <c r="M45" s="185">
        <v>70</v>
      </c>
      <c r="N45" s="183" t="s">
        <v>702</v>
      </c>
      <c r="O45" s="185">
        <v>4200</v>
      </c>
      <c r="P45" s="187">
        <f t="shared" si="0"/>
        <v>70</v>
      </c>
      <c r="Q45" s="183" t="s">
        <v>703</v>
      </c>
      <c r="R45" s="184" t="s">
        <v>1047</v>
      </c>
      <c r="S45" s="183"/>
    </row>
    <row r="46" spans="1:19" ht="27.6">
      <c r="A46" s="183" t="s">
        <v>694</v>
      </c>
      <c r="B46" s="183" t="s">
        <v>240</v>
      </c>
      <c r="C46" s="183" t="s">
        <v>240</v>
      </c>
      <c r="D46" s="183" t="s">
        <v>696</v>
      </c>
      <c r="E46" s="183" t="s">
        <v>697</v>
      </c>
      <c r="F46" s="183" t="s">
        <v>1</v>
      </c>
      <c r="G46" s="183" t="s">
        <v>1492</v>
      </c>
      <c r="H46" s="183" t="s">
        <v>2159</v>
      </c>
      <c r="I46" s="183" t="s">
        <v>382</v>
      </c>
      <c r="J46" s="183" t="s">
        <v>2094</v>
      </c>
      <c r="K46" s="185">
        <v>26</v>
      </c>
      <c r="L46" s="186">
        <v>55</v>
      </c>
      <c r="M46" s="185">
        <v>27</v>
      </c>
      <c r="N46" s="183" t="s">
        <v>702</v>
      </c>
      <c r="O46" s="185">
        <v>1615</v>
      </c>
      <c r="P46" s="187">
        <f t="shared" si="0"/>
        <v>26.916666666666668</v>
      </c>
      <c r="Q46" s="183" t="s">
        <v>703</v>
      </c>
      <c r="R46" s="184" t="s">
        <v>1047</v>
      </c>
      <c r="S46" s="183"/>
    </row>
    <row r="47" spans="1:19" ht="27.6">
      <c r="A47" s="183" t="s">
        <v>694</v>
      </c>
      <c r="B47" s="183" t="s">
        <v>240</v>
      </c>
      <c r="C47" s="183" t="s">
        <v>240</v>
      </c>
      <c r="D47" s="183" t="s">
        <v>696</v>
      </c>
      <c r="E47" s="183" t="s">
        <v>697</v>
      </c>
      <c r="F47" s="183" t="s">
        <v>1</v>
      </c>
      <c r="G47" s="183" t="s">
        <v>1492</v>
      </c>
      <c r="H47" s="183" t="s">
        <v>2159</v>
      </c>
      <c r="I47" s="183" t="s">
        <v>382</v>
      </c>
      <c r="J47" s="183" t="s">
        <v>2160</v>
      </c>
      <c r="K47" s="185">
        <v>80</v>
      </c>
      <c r="L47" s="186">
        <v>0</v>
      </c>
      <c r="M47" s="185">
        <v>80</v>
      </c>
      <c r="N47" s="183" t="s">
        <v>702</v>
      </c>
      <c r="O47" s="185">
        <v>4800</v>
      </c>
      <c r="P47" s="187">
        <f t="shared" si="0"/>
        <v>80</v>
      </c>
      <c r="Q47" s="183" t="s">
        <v>703</v>
      </c>
      <c r="R47" s="184" t="s">
        <v>1047</v>
      </c>
      <c r="S47" s="183"/>
    </row>
    <row r="48" spans="1:19" ht="27.6">
      <c r="A48" s="183" t="s">
        <v>694</v>
      </c>
      <c r="B48" s="183" t="s">
        <v>240</v>
      </c>
      <c r="C48" s="183" t="s">
        <v>240</v>
      </c>
      <c r="D48" s="183" t="s">
        <v>696</v>
      </c>
      <c r="E48" s="183" t="s">
        <v>697</v>
      </c>
      <c r="F48" s="183" t="s">
        <v>1</v>
      </c>
      <c r="G48" s="183" t="s">
        <v>1584</v>
      </c>
      <c r="H48" s="183" t="s">
        <v>2161</v>
      </c>
      <c r="I48" s="183" t="s">
        <v>474</v>
      </c>
      <c r="J48" s="183" t="s">
        <v>2162</v>
      </c>
      <c r="K48" s="185">
        <v>27</v>
      </c>
      <c r="L48" s="186">
        <v>39</v>
      </c>
      <c r="M48" s="185">
        <v>28</v>
      </c>
      <c r="N48" s="183" t="s">
        <v>702</v>
      </c>
      <c r="O48" s="185">
        <v>1659</v>
      </c>
      <c r="P48" s="187">
        <f t="shared" si="0"/>
        <v>27.65</v>
      </c>
      <c r="Q48" s="183" t="s">
        <v>703</v>
      </c>
      <c r="R48" s="184" t="s">
        <v>695</v>
      </c>
      <c r="S48" s="183"/>
    </row>
    <row r="49" spans="1:19" ht="27.6">
      <c r="A49" s="183" t="s">
        <v>694</v>
      </c>
      <c r="B49" s="183" t="s">
        <v>240</v>
      </c>
      <c r="C49" s="183" t="s">
        <v>240</v>
      </c>
      <c r="D49" s="183" t="s">
        <v>696</v>
      </c>
      <c r="E49" s="183" t="s">
        <v>697</v>
      </c>
      <c r="F49" s="183" t="s">
        <v>1</v>
      </c>
      <c r="G49" s="183" t="s">
        <v>1177</v>
      </c>
      <c r="H49" s="183" t="s">
        <v>2163</v>
      </c>
      <c r="I49" s="183" t="s">
        <v>385</v>
      </c>
      <c r="J49" s="183" t="s">
        <v>2094</v>
      </c>
      <c r="K49" s="185">
        <v>86</v>
      </c>
      <c r="L49" s="186">
        <v>21</v>
      </c>
      <c r="M49" s="185">
        <v>87</v>
      </c>
      <c r="N49" s="183" t="s">
        <v>702</v>
      </c>
      <c r="O49" s="185">
        <v>5181</v>
      </c>
      <c r="P49" s="187">
        <f t="shared" si="0"/>
        <v>86.35</v>
      </c>
      <c r="Q49" s="183" t="s">
        <v>703</v>
      </c>
      <c r="R49" s="184" t="s">
        <v>1150</v>
      </c>
      <c r="S49" s="183"/>
    </row>
    <row r="50" spans="1:19" ht="27.6">
      <c r="A50" s="183" t="s">
        <v>694</v>
      </c>
      <c r="B50" s="183" t="s">
        <v>240</v>
      </c>
      <c r="C50" s="183" t="s">
        <v>240</v>
      </c>
      <c r="D50" s="183" t="s">
        <v>696</v>
      </c>
      <c r="E50" s="183" t="s">
        <v>697</v>
      </c>
      <c r="F50" s="183" t="s">
        <v>1</v>
      </c>
      <c r="G50" s="183" t="s">
        <v>1548</v>
      </c>
      <c r="H50" s="183" t="s">
        <v>1549</v>
      </c>
      <c r="I50" s="183" t="s">
        <v>270</v>
      </c>
      <c r="J50" s="183" t="s">
        <v>2094</v>
      </c>
      <c r="K50" s="185">
        <v>20</v>
      </c>
      <c r="L50" s="186">
        <v>5</v>
      </c>
      <c r="M50" s="185">
        <v>20</v>
      </c>
      <c r="N50" s="183" t="s">
        <v>702</v>
      </c>
      <c r="O50" s="185">
        <v>1205</v>
      </c>
      <c r="P50" s="187">
        <f t="shared" si="0"/>
        <v>20.083333333333332</v>
      </c>
      <c r="Q50" s="183" t="s">
        <v>703</v>
      </c>
      <c r="R50" s="184" t="s">
        <v>1217</v>
      </c>
      <c r="S50" s="183"/>
    </row>
    <row r="51" spans="1:19" ht="27.6">
      <c r="A51" s="183" t="s">
        <v>694</v>
      </c>
      <c r="B51" s="183" t="s">
        <v>240</v>
      </c>
      <c r="C51" s="183" t="s">
        <v>240</v>
      </c>
      <c r="D51" s="183" t="s">
        <v>696</v>
      </c>
      <c r="E51" s="183" t="s">
        <v>697</v>
      </c>
      <c r="F51" s="183" t="s">
        <v>1</v>
      </c>
      <c r="G51" s="183" t="s">
        <v>2164</v>
      </c>
      <c r="H51" s="183" t="s">
        <v>2165</v>
      </c>
      <c r="I51" s="183" t="s">
        <v>379</v>
      </c>
      <c r="J51" s="183" t="s">
        <v>2094</v>
      </c>
      <c r="K51" s="185">
        <v>182</v>
      </c>
      <c r="L51" s="186">
        <v>20</v>
      </c>
      <c r="M51" s="185">
        <v>183</v>
      </c>
      <c r="N51" s="183" t="s">
        <v>702</v>
      </c>
      <c r="O51" s="185">
        <v>10940</v>
      </c>
      <c r="P51" s="187">
        <f t="shared" si="0"/>
        <v>182.33333333333334</v>
      </c>
      <c r="Q51" s="183" t="s">
        <v>703</v>
      </c>
      <c r="R51" s="184" t="s">
        <v>1150</v>
      </c>
      <c r="S51" s="183"/>
    </row>
    <row r="52" spans="1:19" ht="27.6">
      <c r="A52" s="183" t="s">
        <v>694</v>
      </c>
      <c r="B52" s="183" t="s">
        <v>240</v>
      </c>
      <c r="C52" s="183" t="s">
        <v>240</v>
      </c>
      <c r="D52" s="183" t="s">
        <v>696</v>
      </c>
      <c r="E52" s="183" t="s">
        <v>697</v>
      </c>
      <c r="F52" s="183" t="s">
        <v>1</v>
      </c>
      <c r="G52" s="183" t="s">
        <v>1495</v>
      </c>
      <c r="H52" s="183" t="s">
        <v>1496</v>
      </c>
      <c r="I52" s="183" t="s">
        <v>242</v>
      </c>
      <c r="J52" s="183" t="s">
        <v>2162</v>
      </c>
      <c r="K52" s="185">
        <v>72</v>
      </c>
      <c r="L52" s="186">
        <v>21</v>
      </c>
      <c r="M52" s="185">
        <v>72</v>
      </c>
      <c r="N52" s="183" t="s">
        <v>702</v>
      </c>
      <c r="O52" s="185">
        <v>4341</v>
      </c>
      <c r="P52" s="187">
        <f t="shared" si="0"/>
        <v>72.349999999999994</v>
      </c>
      <c r="Q52" s="183" t="s">
        <v>703</v>
      </c>
      <c r="R52" s="184" t="s">
        <v>695</v>
      </c>
      <c r="S52" s="183"/>
    </row>
    <row r="53" spans="1:19" ht="27.6">
      <c r="A53" s="183" t="s">
        <v>694</v>
      </c>
      <c r="B53" s="183" t="s">
        <v>240</v>
      </c>
      <c r="C53" s="183" t="s">
        <v>240</v>
      </c>
      <c r="D53" s="183" t="s">
        <v>696</v>
      </c>
      <c r="E53" s="183" t="s">
        <v>697</v>
      </c>
      <c r="F53" s="183" t="s">
        <v>1</v>
      </c>
      <c r="G53" s="183" t="s">
        <v>1495</v>
      </c>
      <c r="H53" s="183" t="s">
        <v>2166</v>
      </c>
      <c r="I53" s="183" t="s">
        <v>378</v>
      </c>
      <c r="J53" s="183" t="s">
        <v>2094</v>
      </c>
      <c r="K53" s="185">
        <v>74</v>
      </c>
      <c r="L53" s="186">
        <v>5</v>
      </c>
      <c r="M53" s="185">
        <v>74</v>
      </c>
      <c r="N53" s="183" t="s">
        <v>702</v>
      </c>
      <c r="O53" s="185">
        <v>4445</v>
      </c>
      <c r="P53" s="187">
        <f t="shared" si="0"/>
        <v>74.083333333333329</v>
      </c>
      <c r="Q53" s="183" t="s">
        <v>703</v>
      </c>
      <c r="R53" s="184" t="s">
        <v>1150</v>
      </c>
      <c r="S53" s="183"/>
    </row>
    <row r="54" spans="1:19" ht="27.6">
      <c r="A54" s="183" t="s">
        <v>694</v>
      </c>
      <c r="B54" s="183" t="s">
        <v>240</v>
      </c>
      <c r="C54" s="183" t="s">
        <v>240</v>
      </c>
      <c r="D54" s="183" t="s">
        <v>696</v>
      </c>
      <c r="E54" s="183" t="s">
        <v>697</v>
      </c>
      <c r="F54" s="183" t="s">
        <v>1</v>
      </c>
      <c r="G54" s="183" t="s">
        <v>2167</v>
      </c>
      <c r="H54" s="183" t="s">
        <v>2168</v>
      </c>
      <c r="I54" s="183" t="s">
        <v>381</v>
      </c>
      <c r="J54" s="183" t="s">
        <v>2094</v>
      </c>
      <c r="K54" s="185">
        <v>57</v>
      </c>
      <c r="L54" s="186">
        <v>57</v>
      </c>
      <c r="M54" s="185">
        <v>58</v>
      </c>
      <c r="N54" s="183" t="s">
        <v>702</v>
      </c>
      <c r="O54" s="185">
        <v>3477</v>
      </c>
      <c r="P54" s="187">
        <f t="shared" si="0"/>
        <v>57.95</v>
      </c>
      <c r="Q54" s="183" t="s">
        <v>703</v>
      </c>
      <c r="R54" s="184" t="s">
        <v>1047</v>
      </c>
      <c r="S54" s="183"/>
    </row>
    <row r="55" spans="1:19" ht="27.6">
      <c r="A55" s="183" t="s">
        <v>694</v>
      </c>
      <c r="B55" s="183" t="s">
        <v>240</v>
      </c>
      <c r="C55" s="183" t="s">
        <v>240</v>
      </c>
      <c r="D55" s="183" t="s">
        <v>696</v>
      </c>
      <c r="E55" s="183" t="s">
        <v>697</v>
      </c>
      <c r="F55" s="183" t="s">
        <v>1</v>
      </c>
      <c r="G55" s="183" t="s">
        <v>1173</v>
      </c>
      <c r="H55" s="183" t="s">
        <v>2169</v>
      </c>
      <c r="I55" s="183" t="s">
        <v>475</v>
      </c>
      <c r="J55" s="183" t="s">
        <v>2094</v>
      </c>
      <c r="K55" s="185">
        <v>57</v>
      </c>
      <c r="L55" s="186">
        <v>15</v>
      </c>
      <c r="M55" s="185">
        <v>58</v>
      </c>
      <c r="N55" s="183" t="s">
        <v>702</v>
      </c>
      <c r="O55" s="185">
        <v>3435</v>
      </c>
      <c r="P55" s="187">
        <f t="shared" si="0"/>
        <v>57.25</v>
      </c>
      <c r="Q55" s="183" t="s">
        <v>703</v>
      </c>
      <c r="R55" s="184" t="s">
        <v>1150</v>
      </c>
      <c r="S55" s="183"/>
    </row>
    <row r="56" spans="1:19" ht="27.6">
      <c r="A56" s="183" t="s">
        <v>694</v>
      </c>
      <c r="B56" s="183" t="s">
        <v>240</v>
      </c>
      <c r="C56" s="183" t="s">
        <v>240</v>
      </c>
      <c r="D56" s="183" t="s">
        <v>696</v>
      </c>
      <c r="E56" s="183" t="s">
        <v>697</v>
      </c>
      <c r="F56" s="183" t="s">
        <v>1</v>
      </c>
      <c r="G56" s="183" t="s">
        <v>1535</v>
      </c>
      <c r="H56" s="183" t="s">
        <v>2170</v>
      </c>
      <c r="I56" s="183" t="s">
        <v>376</v>
      </c>
      <c r="J56" s="183" t="s">
        <v>2094</v>
      </c>
      <c r="K56" s="185">
        <v>150</v>
      </c>
      <c r="L56" s="186">
        <v>31</v>
      </c>
      <c r="M56" s="185">
        <v>151</v>
      </c>
      <c r="N56" s="183" t="s">
        <v>702</v>
      </c>
      <c r="O56" s="185">
        <v>9031</v>
      </c>
      <c r="P56" s="187">
        <f t="shared" si="0"/>
        <v>150.51666666666668</v>
      </c>
      <c r="Q56" s="183" t="s">
        <v>703</v>
      </c>
      <c r="R56" s="184" t="s">
        <v>1150</v>
      </c>
      <c r="S56" s="183"/>
    </row>
    <row r="57" spans="1:19" ht="27.6">
      <c r="A57" s="183" t="s">
        <v>694</v>
      </c>
      <c r="B57" s="183" t="s">
        <v>240</v>
      </c>
      <c r="C57" s="183" t="s">
        <v>240</v>
      </c>
      <c r="D57" s="183" t="s">
        <v>696</v>
      </c>
      <c r="E57" s="183" t="s">
        <v>697</v>
      </c>
      <c r="F57" s="183" t="s">
        <v>1</v>
      </c>
      <c r="G57" s="183" t="s">
        <v>1526</v>
      </c>
      <c r="H57" s="183" t="s">
        <v>2171</v>
      </c>
      <c r="I57" s="183" t="s">
        <v>390</v>
      </c>
      <c r="J57" s="183" t="s">
        <v>2094</v>
      </c>
      <c r="K57" s="185">
        <v>252</v>
      </c>
      <c r="L57" s="186">
        <v>55</v>
      </c>
      <c r="M57" s="185">
        <v>253</v>
      </c>
      <c r="N57" s="183" t="s">
        <v>702</v>
      </c>
      <c r="O57" s="185">
        <v>15175</v>
      </c>
      <c r="P57" s="187">
        <f t="shared" si="0"/>
        <v>252.91666666666666</v>
      </c>
      <c r="Q57" s="183" t="s">
        <v>703</v>
      </c>
      <c r="R57" s="184" t="s">
        <v>1047</v>
      </c>
      <c r="S57" s="183"/>
    </row>
    <row r="58" spans="1:19" ht="27.6">
      <c r="A58" s="183" t="s">
        <v>694</v>
      </c>
      <c r="B58" s="183" t="s">
        <v>240</v>
      </c>
      <c r="C58" s="183" t="s">
        <v>240</v>
      </c>
      <c r="D58" s="183" t="s">
        <v>696</v>
      </c>
      <c r="E58" s="183" t="s">
        <v>697</v>
      </c>
      <c r="F58" s="183" t="s">
        <v>1</v>
      </c>
      <c r="G58" s="183" t="s">
        <v>2172</v>
      </c>
      <c r="H58" s="183" t="s">
        <v>2173</v>
      </c>
      <c r="I58" s="183" t="s">
        <v>374</v>
      </c>
      <c r="J58" s="183" t="s">
        <v>2094</v>
      </c>
      <c r="K58" s="185">
        <v>202</v>
      </c>
      <c r="L58" s="186">
        <v>54</v>
      </c>
      <c r="M58" s="185">
        <v>203</v>
      </c>
      <c r="N58" s="183" t="s">
        <v>702</v>
      </c>
      <c r="O58" s="185">
        <v>12174</v>
      </c>
      <c r="P58" s="187">
        <f t="shared" si="0"/>
        <v>202.9</v>
      </c>
      <c r="Q58" s="183" t="s">
        <v>703</v>
      </c>
      <c r="R58" s="184" t="s">
        <v>1047</v>
      </c>
      <c r="S58" s="183"/>
    </row>
    <row r="59" spans="1:19" ht="27.6">
      <c r="A59" s="183" t="s">
        <v>694</v>
      </c>
      <c r="B59" s="183" t="s">
        <v>240</v>
      </c>
      <c r="C59" s="183" t="s">
        <v>240</v>
      </c>
      <c r="D59" s="183" t="s">
        <v>696</v>
      </c>
      <c r="E59" s="183" t="s">
        <v>697</v>
      </c>
      <c r="F59" s="183" t="s">
        <v>1</v>
      </c>
      <c r="G59" s="183" t="s">
        <v>1223</v>
      </c>
      <c r="H59" s="183" t="s">
        <v>2174</v>
      </c>
      <c r="I59" s="183" t="s">
        <v>476</v>
      </c>
      <c r="J59" s="183" t="s">
        <v>2175</v>
      </c>
      <c r="K59" s="185">
        <v>486</v>
      </c>
      <c r="L59" s="186">
        <v>11</v>
      </c>
      <c r="M59" s="185">
        <v>487</v>
      </c>
      <c r="N59" s="183" t="s">
        <v>702</v>
      </c>
      <c r="O59" s="185">
        <v>29171</v>
      </c>
      <c r="P59" s="187">
        <f t="shared" si="0"/>
        <v>486.18333333333334</v>
      </c>
      <c r="Q59" s="183" t="s">
        <v>703</v>
      </c>
      <c r="R59" s="184" t="s">
        <v>1217</v>
      </c>
      <c r="S59" s="183"/>
    </row>
    <row r="61" spans="1:19">
      <c r="P61" s="192"/>
    </row>
  </sheetData>
  <autoFilter ref="A1:S59" xr:uid="{94411381-CBC7-4B52-B0CA-20C100144B92}">
    <filterColumn colId="1">
      <filters>
        <filter val="ABOVE"/>
      </filters>
    </filterColumn>
  </autoFilter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9C089DBB6AFC44867DBDC28389AC10" ma:contentTypeVersion="4" ma:contentTypeDescription="Create a new document." ma:contentTypeScope="" ma:versionID="6e8f9c6f93e9a9fed79a263d82b10f96">
  <xsd:schema xmlns:xsd="http://www.w3.org/2001/XMLSchema" xmlns:xs="http://www.w3.org/2001/XMLSchema" xmlns:p="http://schemas.microsoft.com/office/2006/metadata/properties" xmlns:ns2="068e02b3-1a60-4c2f-92e0-2ed9bfbb347d" targetNamespace="http://schemas.microsoft.com/office/2006/metadata/properties" ma:root="true" ma:fieldsID="a9ae9841cbb27d6f5dcd29aaa8095c5e" ns2:_="">
    <xsd:import namespace="068e02b3-1a60-4c2f-92e0-2ed9bfbb34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8e02b3-1a60-4c2f-92e0-2ed9bfbb34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8408142-E83B-45CA-AF6C-C2FCD1F10F1B}"/>
</file>

<file path=customXml/itemProps2.xml><?xml version="1.0" encoding="utf-8"?>
<ds:datastoreItem xmlns:ds="http://schemas.openxmlformats.org/officeDocument/2006/customXml" ds:itemID="{E4309F08-3669-4717-B613-AD243F9FE39B}"/>
</file>

<file path=customXml/itemProps3.xml><?xml version="1.0" encoding="utf-8"?>
<ds:datastoreItem xmlns:ds="http://schemas.openxmlformats.org/officeDocument/2006/customXml" ds:itemID="{6336EC5F-6382-492A-9BD9-06E81313F8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Brian</dc:creator>
  <cp:keywords/>
  <dc:description/>
  <cp:lastModifiedBy>Andrew Tanui</cp:lastModifiedBy>
  <cp:revision/>
  <dcterms:created xsi:type="dcterms:W3CDTF">2017-01-05T06:18:32Z</dcterms:created>
  <dcterms:modified xsi:type="dcterms:W3CDTF">2026-10-11T13:08:10Z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CustomUiType">
    <vt:lpwstr>2</vt:lpwstr>
  </property>
  <property fmtid="{D5CDD505-2E9C-101B-9397-08002B2CF9AE}" pid="4" name="ContentTypeId">
    <vt:lpwstr>0x010100F49C089DBB6AFC44867DBDC28389AC10</vt:lpwstr>
  </property>
  <property fmtid="{D5CDD505-2E9C-101B-9397-08002B2CF9AE}" pid="5" name="MSIP_Label_e9fea72e-161c-48c8-8e82-3fc1e9b3162c_Enabled">
    <vt:lpwstr>true</vt:lpwstr>
  </property>
  <property fmtid="{D5CDD505-2E9C-101B-9397-08002B2CF9AE}" pid="6" name="MSIP_Label_e9fea72e-161c-48c8-8e82-3fc1e9b3162c_SetDate">
    <vt:lpwstr>2023-12-08T05:05:00Z</vt:lpwstr>
  </property>
  <property fmtid="{D5CDD505-2E9C-101B-9397-08002B2CF9AE}" pid="7" name="MSIP_Label_e9fea72e-161c-48c8-8e82-3fc1e9b3162c_Method">
    <vt:lpwstr>Standard</vt:lpwstr>
  </property>
  <property fmtid="{D5CDD505-2E9C-101B-9397-08002B2CF9AE}" pid="8" name="MSIP_Label_e9fea72e-161c-48c8-8e82-3fc1e9b3162c_Name">
    <vt:lpwstr>Normal sensitivity label</vt:lpwstr>
  </property>
  <property fmtid="{D5CDD505-2E9C-101B-9397-08002B2CF9AE}" pid="9" name="MSIP_Label_e9fea72e-161c-48c8-8e82-3fc1e9b3162c_SiteId">
    <vt:lpwstr>ff9c7474-421d-4957-8d47-c4b64dec87b5</vt:lpwstr>
  </property>
  <property fmtid="{D5CDD505-2E9C-101B-9397-08002B2CF9AE}" pid="10" name="MSIP_Label_e9fea72e-161c-48c8-8e82-3fc1e9b3162c_ActionId">
    <vt:lpwstr>24129213-a45f-4067-a1fe-d5f448b57ab4</vt:lpwstr>
  </property>
  <property fmtid="{D5CDD505-2E9C-101B-9397-08002B2CF9AE}" pid="11" name="MSIP_Label_e9fea72e-161c-48c8-8e82-3fc1e9b3162c_ContentBits">
    <vt:lpwstr>0</vt:lpwstr>
  </property>
</Properties>
</file>